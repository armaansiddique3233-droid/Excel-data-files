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Armaan\Desktop\"/>
    </mc:Choice>
  </mc:AlternateContent>
  <xr:revisionPtr revIDLastSave="0" documentId="13_ncr:1_{6241A5A8-E1B4-48B7-8D45-9CC5BC3E4AB0}" xr6:coauthVersionLast="47" xr6:coauthVersionMax="47" xr10:uidLastSave="{00000000-0000-0000-0000-000000000000}"/>
  <bookViews>
    <workbookView xWindow="-108" yWindow="-108" windowWidth="23256" windowHeight="12456" activeTab="2" xr2:uid="{BEF54625-0EB7-45FB-9727-16DF38CDA94F}"/>
  </bookViews>
  <sheets>
    <sheet name="PIVOT TABLE" sheetId="3" r:id="rId1"/>
    <sheet name="DATA SHEET" sheetId="2" r:id="rId2"/>
    <sheet name="DASHBOARD" sheetId="1" r:id="rId3"/>
  </sheets>
  <definedNames>
    <definedName name="ExternalData_1" localSheetId="1" hidden="1">'DATA SHEET'!$A$1:$L$2001</definedName>
    <definedName name="Slicer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 l="1"/>
  <c r="N6" i="2"/>
  <c r="N5" i="2"/>
  <c r="N4" i="2"/>
  <c r="N3" i="2"/>
  <c r="N2" i="2"/>
  <c r="N12" i="2"/>
  <c r="N11" i="2"/>
  <c r="N10" i="2"/>
  <c r="N9" i="2"/>
  <c r="N8" i="2"/>
  <c r="N16" i="2"/>
  <c r="N15" i="2"/>
  <c r="N14" i="2"/>
  <c r="N13" i="2"/>
  <c r="N23" i="2"/>
  <c r="N22" i="2"/>
  <c r="N21" i="2"/>
  <c r="N20" i="2"/>
  <c r="N19" i="2"/>
  <c r="N18" i="2"/>
  <c r="N17" i="2"/>
  <c r="N28" i="2"/>
  <c r="N27" i="2"/>
  <c r="N26" i="2"/>
  <c r="N25" i="2"/>
  <c r="N24" i="2"/>
  <c r="N45" i="2"/>
  <c r="N44" i="2"/>
  <c r="N43" i="2"/>
  <c r="N42" i="2"/>
  <c r="N41" i="2"/>
  <c r="N40" i="2"/>
  <c r="N39" i="2"/>
  <c r="N38" i="2"/>
  <c r="N37" i="2"/>
  <c r="N36" i="2"/>
  <c r="N35" i="2"/>
  <c r="N34" i="2"/>
  <c r="N33" i="2"/>
  <c r="N32" i="2"/>
  <c r="N31" i="2"/>
  <c r="N30" i="2"/>
  <c r="N29" i="2"/>
  <c r="N49" i="2"/>
  <c r="N48" i="2"/>
  <c r="N47" i="2"/>
  <c r="N46" i="2"/>
  <c r="N54" i="2"/>
  <c r="N53" i="2"/>
  <c r="N52" i="2"/>
  <c r="N51" i="2"/>
  <c r="N50" i="2"/>
  <c r="N60" i="2"/>
  <c r="N59" i="2"/>
  <c r="N58" i="2"/>
  <c r="N57" i="2"/>
  <c r="N56" i="2"/>
  <c r="N55" i="2"/>
  <c r="N63" i="2"/>
  <c r="N62" i="2"/>
  <c r="N61" i="2"/>
  <c r="N76" i="2"/>
  <c r="N75" i="2"/>
  <c r="N74" i="2"/>
  <c r="N73" i="2"/>
  <c r="N72" i="2"/>
  <c r="N71" i="2"/>
  <c r="N70" i="2"/>
  <c r="N69" i="2"/>
  <c r="N68" i="2"/>
  <c r="N67" i="2"/>
  <c r="N66" i="2"/>
  <c r="N65" i="2"/>
  <c r="N64" i="2"/>
  <c r="N83" i="2"/>
  <c r="N82" i="2"/>
  <c r="N81" i="2"/>
  <c r="N80" i="2"/>
  <c r="N79" i="2"/>
  <c r="N78" i="2"/>
  <c r="N77" i="2"/>
  <c r="N91" i="2"/>
  <c r="N90" i="2"/>
  <c r="N89" i="2"/>
  <c r="N88" i="2"/>
  <c r="N87" i="2"/>
  <c r="N86" i="2"/>
  <c r="N85" i="2"/>
  <c r="N84" i="2"/>
  <c r="N96" i="2"/>
  <c r="N95" i="2"/>
  <c r="N94" i="2"/>
  <c r="N93" i="2"/>
  <c r="N92" i="2"/>
  <c r="N101" i="2"/>
  <c r="N100" i="2"/>
  <c r="N99" i="2"/>
  <c r="N98" i="2"/>
  <c r="N97" i="2"/>
  <c r="N107" i="2"/>
  <c r="N106" i="2"/>
  <c r="N105" i="2"/>
  <c r="N104" i="2"/>
  <c r="N103" i="2"/>
  <c r="N102" i="2"/>
  <c r="N111" i="2"/>
  <c r="N110" i="2"/>
  <c r="N109" i="2"/>
  <c r="N108" i="2"/>
  <c r="N117" i="2"/>
  <c r="N116" i="2"/>
  <c r="N115" i="2"/>
  <c r="N114" i="2"/>
  <c r="N113" i="2"/>
  <c r="N112" i="2"/>
  <c r="N118" i="2"/>
  <c r="N122" i="2"/>
  <c r="N121" i="2"/>
  <c r="N120" i="2"/>
  <c r="N119" i="2"/>
  <c r="N126" i="2"/>
  <c r="N125" i="2"/>
  <c r="N124" i="2"/>
  <c r="N123" i="2"/>
  <c r="N130" i="2"/>
  <c r="N129" i="2"/>
  <c r="N128" i="2"/>
  <c r="N127" i="2"/>
  <c r="N138" i="2"/>
  <c r="N137" i="2"/>
  <c r="N136" i="2"/>
  <c r="N135" i="2"/>
  <c r="N134" i="2"/>
  <c r="N133" i="2"/>
  <c r="N132" i="2"/>
  <c r="N131" i="2"/>
  <c r="N143" i="2"/>
  <c r="N142" i="2"/>
  <c r="N141" i="2"/>
  <c r="N140" i="2"/>
  <c r="N139" i="2"/>
  <c r="N147" i="2"/>
  <c r="N146" i="2"/>
  <c r="N145" i="2"/>
  <c r="N144" i="2"/>
  <c r="N152" i="2"/>
  <c r="N151" i="2"/>
  <c r="N150" i="2"/>
  <c r="N149" i="2"/>
  <c r="N148" i="2"/>
  <c r="N156" i="2"/>
  <c r="N155" i="2"/>
  <c r="N154" i="2"/>
  <c r="N153" i="2"/>
  <c r="N164" i="2"/>
  <c r="N163" i="2"/>
  <c r="N162" i="2"/>
  <c r="N161" i="2"/>
  <c r="N160" i="2"/>
  <c r="N159" i="2"/>
  <c r="N158" i="2"/>
  <c r="N157" i="2"/>
  <c r="N169" i="2"/>
  <c r="N168" i="2"/>
  <c r="N167" i="2"/>
  <c r="N166" i="2"/>
  <c r="N165" i="2"/>
  <c r="N178" i="2"/>
  <c r="N177" i="2"/>
  <c r="N176" i="2"/>
  <c r="N175" i="2"/>
  <c r="N174" i="2"/>
  <c r="N173" i="2"/>
  <c r="N172" i="2"/>
  <c r="N171" i="2"/>
  <c r="N170" i="2"/>
  <c r="N181" i="2"/>
  <c r="N180" i="2"/>
  <c r="N179" i="2"/>
  <c r="N187" i="2"/>
  <c r="N186" i="2"/>
  <c r="N185" i="2"/>
  <c r="N184" i="2"/>
  <c r="N183" i="2"/>
  <c r="N182" i="2"/>
  <c r="N194" i="2"/>
  <c r="N193" i="2"/>
  <c r="N192" i="2"/>
  <c r="N191" i="2"/>
  <c r="N190" i="2"/>
  <c r="N189" i="2"/>
  <c r="N188" i="2"/>
  <c r="N197" i="2"/>
  <c r="N196" i="2"/>
  <c r="N195" i="2"/>
  <c r="N203" i="2"/>
  <c r="N202" i="2"/>
  <c r="N201" i="2"/>
  <c r="N200" i="2"/>
  <c r="N199" i="2"/>
  <c r="N198" i="2"/>
  <c r="N212" i="2"/>
  <c r="N211" i="2"/>
  <c r="N210" i="2"/>
  <c r="N209" i="2"/>
  <c r="N208" i="2"/>
  <c r="N207" i="2"/>
  <c r="N206" i="2"/>
  <c r="N205" i="2"/>
  <c r="N204" i="2"/>
  <c r="N214" i="2"/>
  <c r="N213" i="2"/>
  <c r="N217" i="2"/>
  <c r="N216" i="2"/>
  <c r="N215" i="2"/>
  <c r="N224" i="2"/>
  <c r="N223" i="2"/>
  <c r="N222" i="2"/>
  <c r="N221" i="2"/>
  <c r="N220" i="2"/>
  <c r="N219" i="2"/>
  <c r="N218" i="2"/>
  <c r="N226" i="2"/>
  <c r="N225" i="2"/>
  <c r="N231" i="2"/>
  <c r="N230" i="2"/>
  <c r="N229" i="2"/>
  <c r="N228" i="2"/>
  <c r="N227" i="2"/>
  <c r="N239" i="2"/>
  <c r="N238" i="2"/>
  <c r="N237" i="2"/>
  <c r="N236" i="2"/>
  <c r="N235" i="2"/>
  <c r="N234" i="2"/>
  <c r="N233" i="2"/>
  <c r="N232" i="2"/>
  <c r="N244" i="2"/>
  <c r="N243" i="2"/>
  <c r="N242" i="2"/>
  <c r="N241" i="2"/>
  <c r="N240" i="2"/>
  <c r="N248" i="2"/>
  <c r="N247" i="2"/>
  <c r="N246" i="2"/>
  <c r="N245" i="2"/>
  <c r="N254" i="2"/>
  <c r="N253" i="2"/>
  <c r="N252" i="2"/>
  <c r="N251" i="2"/>
  <c r="N250" i="2"/>
  <c r="N249" i="2"/>
  <c r="N263" i="2"/>
  <c r="N262" i="2"/>
  <c r="N261" i="2"/>
  <c r="N260" i="2"/>
  <c r="N259" i="2"/>
  <c r="N258" i="2"/>
  <c r="N257" i="2"/>
  <c r="N256" i="2"/>
  <c r="N255" i="2"/>
  <c r="N272" i="2"/>
  <c r="N271" i="2"/>
  <c r="N270" i="2"/>
  <c r="N269" i="2"/>
  <c r="N268" i="2"/>
  <c r="N267" i="2"/>
  <c r="N266" i="2"/>
  <c r="N265" i="2"/>
  <c r="N264" i="2"/>
  <c r="N275" i="2"/>
  <c r="N274" i="2"/>
  <c r="N273" i="2"/>
  <c r="N282" i="2"/>
  <c r="N281" i="2"/>
  <c r="N280" i="2"/>
  <c r="N279" i="2"/>
  <c r="N278" i="2"/>
  <c r="N277" i="2"/>
  <c r="N276" i="2"/>
  <c r="N289" i="2"/>
  <c r="N288" i="2"/>
  <c r="N287" i="2"/>
  <c r="N286" i="2"/>
  <c r="N285" i="2"/>
  <c r="N284" i="2"/>
  <c r="N283" i="2"/>
  <c r="N292" i="2"/>
  <c r="N291" i="2"/>
  <c r="N290" i="2"/>
  <c r="N298" i="2"/>
  <c r="N297" i="2"/>
  <c r="N296" i="2"/>
  <c r="N295" i="2"/>
  <c r="N294" i="2"/>
  <c r="N293" i="2"/>
  <c r="N300" i="2"/>
  <c r="N299" i="2"/>
  <c r="N305" i="2"/>
  <c r="N304" i="2"/>
  <c r="N303" i="2"/>
  <c r="N302" i="2"/>
  <c r="N301" i="2"/>
  <c r="N310" i="2"/>
  <c r="N309" i="2"/>
  <c r="N308" i="2"/>
  <c r="N307" i="2"/>
  <c r="N306" i="2"/>
  <c r="N314" i="2"/>
  <c r="N313" i="2"/>
  <c r="N312" i="2"/>
  <c r="N311" i="2"/>
  <c r="N326" i="2"/>
  <c r="N325" i="2"/>
  <c r="N324" i="2"/>
  <c r="N323" i="2"/>
  <c r="N322" i="2"/>
  <c r="N321" i="2"/>
  <c r="N320" i="2"/>
  <c r="N319" i="2"/>
  <c r="N318" i="2"/>
  <c r="N317" i="2"/>
  <c r="N316" i="2"/>
  <c r="N315" i="2"/>
  <c r="N329" i="2"/>
  <c r="N328" i="2"/>
  <c r="N327" i="2"/>
  <c r="N333" i="2"/>
  <c r="N332" i="2"/>
  <c r="N331" i="2"/>
  <c r="N330" i="2"/>
  <c r="N338" i="2"/>
  <c r="N337" i="2"/>
  <c r="N336" i="2"/>
  <c r="N335" i="2"/>
  <c r="N334" i="2"/>
  <c r="N342" i="2"/>
  <c r="N341" i="2"/>
  <c r="N340" i="2"/>
  <c r="N339" i="2"/>
  <c r="N347" i="2"/>
  <c r="N346" i="2"/>
  <c r="N345" i="2"/>
  <c r="N344" i="2"/>
  <c r="N343" i="2"/>
  <c r="N356" i="2"/>
  <c r="N355" i="2"/>
  <c r="N354" i="2"/>
  <c r="N353" i="2"/>
  <c r="N352" i="2"/>
  <c r="N351" i="2"/>
  <c r="N350" i="2"/>
  <c r="N349" i="2"/>
  <c r="N348" i="2"/>
  <c r="N364" i="2"/>
  <c r="N363" i="2"/>
  <c r="N362" i="2"/>
  <c r="N361" i="2"/>
  <c r="N360" i="2"/>
  <c r="N359" i="2"/>
  <c r="N358" i="2"/>
  <c r="N357" i="2"/>
  <c r="N369" i="2"/>
  <c r="N368" i="2"/>
  <c r="N367" i="2"/>
  <c r="N366" i="2"/>
  <c r="N365" i="2"/>
  <c r="N380" i="2"/>
  <c r="N379" i="2"/>
  <c r="N378" i="2"/>
  <c r="N377" i="2"/>
  <c r="N376" i="2"/>
  <c r="N375" i="2"/>
  <c r="N374" i="2"/>
  <c r="N373" i="2"/>
  <c r="N372" i="2"/>
  <c r="N371" i="2"/>
  <c r="N370" i="2"/>
  <c r="N385" i="2"/>
  <c r="N384" i="2"/>
  <c r="N383" i="2"/>
  <c r="N382" i="2"/>
  <c r="N381" i="2"/>
  <c r="N388" i="2"/>
  <c r="N387" i="2"/>
  <c r="N386" i="2"/>
  <c r="N394" i="2"/>
  <c r="N393" i="2"/>
  <c r="N392" i="2"/>
  <c r="N391" i="2"/>
  <c r="N390" i="2"/>
  <c r="N389" i="2"/>
  <c r="N399" i="2"/>
  <c r="N398" i="2"/>
  <c r="N397" i="2"/>
  <c r="N396" i="2"/>
  <c r="N395" i="2"/>
  <c r="N407" i="2"/>
  <c r="N406" i="2"/>
  <c r="N405" i="2"/>
  <c r="N404" i="2"/>
  <c r="N403" i="2"/>
  <c r="N402" i="2"/>
  <c r="N401" i="2"/>
  <c r="N400" i="2"/>
  <c r="N410" i="2"/>
  <c r="N409" i="2"/>
  <c r="N408" i="2"/>
  <c r="N416" i="2"/>
  <c r="N415" i="2"/>
  <c r="N414" i="2"/>
  <c r="N413" i="2"/>
  <c r="N412" i="2"/>
  <c r="N411" i="2"/>
  <c r="N419" i="2"/>
  <c r="N418" i="2"/>
  <c r="N417" i="2"/>
  <c r="N427" i="2"/>
  <c r="N426" i="2"/>
  <c r="N425" i="2"/>
  <c r="N424" i="2"/>
  <c r="N423" i="2"/>
  <c r="N422" i="2"/>
  <c r="N421" i="2"/>
  <c r="N420" i="2"/>
  <c r="N432" i="2"/>
  <c r="N431" i="2"/>
  <c r="N430" i="2"/>
  <c r="N429" i="2"/>
  <c r="N428" i="2"/>
  <c r="N434" i="2"/>
  <c r="N433" i="2"/>
  <c r="N441" i="2"/>
  <c r="N440" i="2"/>
  <c r="N439" i="2"/>
  <c r="N438" i="2"/>
  <c r="N437" i="2"/>
  <c r="N436" i="2"/>
  <c r="N435" i="2"/>
  <c r="N445" i="2"/>
  <c r="N444" i="2"/>
  <c r="N443" i="2"/>
  <c r="N442" i="2"/>
  <c r="N450" i="2"/>
  <c r="N449" i="2"/>
  <c r="N448" i="2"/>
  <c r="N447" i="2"/>
  <c r="N446" i="2"/>
  <c r="N453" i="2"/>
  <c r="N452" i="2"/>
  <c r="N451" i="2"/>
  <c r="N457" i="2"/>
  <c r="N456" i="2"/>
  <c r="N455" i="2"/>
  <c r="N454" i="2"/>
  <c r="N464" i="2"/>
  <c r="N463" i="2"/>
  <c r="N462" i="2"/>
  <c r="N461" i="2"/>
  <c r="N460" i="2"/>
  <c r="N459" i="2"/>
  <c r="N458" i="2"/>
  <c r="N468" i="2"/>
  <c r="N467" i="2"/>
  <c r="N466" i="2"/>
  <c r="N465" i="2"/>
  <c r="N473" i="2"/>
  <c r="N472" i="2"/>
  <c r="N471" i="2"/>
  <c r="N470" i="2"/>
  <c r="N469" i="2"/>
  <c r="N482" i="2"/>
  <c r="N481" i="2"/>
  <c r="N480" i="2"/>
  <c r="N479" i="2"/>
  <c r="N478" i="2"/>
  <c r="N477" i="2"/>
  <c r="N476" i="2"/>
  <c r="N475" i="2"/>
  <c r="N474" i="2"/>
  <c r="N484" i="2"/>
  <c r="N483" i="2"/>
  <c r="N487" i="2"/>
  <c r="N486" i="2"/>
  <c r="N485" i="2"/>
  <c r="N492" i="2"/>
  <c r="N491" i="2"/>
  <c r="N490" i="2"/>
  <c r="N489" i="2"/>
  <c r="N488" i="2"/>
  <c r="N498" i="2"/>
  <c r="N497" i="2"/>
  <c r="N496" i="2"/>
  <c r="N495" i="2"/>
  <c r="N494" i="2"/>
  <c r="N493" i="2"/>
  <c r="N502" i="2"/>
  <c r="N501" i="2"/>
  <c r="N500" i="2"/>
  <c r="N499" i="2"/>
  <c r="N506" i="2"/>
  <c r="N505" i="2"/>
  <c r="N504" i="2"/>
  <c r="N503" i="2"/>
  <c r="N511" i="2"/>
  <c r="N510" i="2"/>
  <c r="N509" i="2"/>
  <c r="N508" i="2"/>
  <c r="N507" i="2"/>
  <c r="N519" i="2"/>
  <c r="N518" i="2"/>
  <c r="N517" i="2"/>
  <c r="N516" i="2"/>
  <c r="N515" i="2"/>
  <c r="N514" i="2"/>
  <c r="N513" i="2"/>
  <c r="N512" i="2"/>
  <c r="N525" i="2"/>
  <c r="N524" i="2"/>
  <c r="N523" i="2"/>
  <c r="N522" i="2"/>
  <c r="N521" i="2"/>
  <c r="N520" i="2"/>
  <c r="N530" i="2"/>
  <c r="N529" i="2"/>
  <c r="N528" i="2"/>
  <c r="N527" i="2"/>
  <c r="N526" i="2"/>
  <c r="N533" i="2"/>
  <c r="N532" i="2"/>
  <c r="N531" i="2"/>
  <c r="N538" i="2"/>
  <c r="N537" i="2"/>
  <c r="N536" i="2"/>
  <c r="N535" i="2"/>
  <c r="N534" i="2"/>
  <c r="N544" i="2"/>
  <c r="N543" i="2"/>
  <c r="N542" i="2"/>
  <c r="N541" i="2"/>
  <c r="N540" i="2"/>
  <c r="N539" i="2"/>
  <c r="N546" i="2"/>
  <c r="N545" i="2"/>
  <c r="N550" i="2"/>
  <c r="N549" i="2"/>
  <c r="N548" i="2"/>
  <c r="N547" i="2"/>
  <c r="N558" i="2"/>
  <c r="N557" i="2"/>
  <c r="N556" i="2"/>
  <c r="N555" i="2"/>
  <c r="N554" i="2"/>
  <c r="N553" i="2"/>
  <c r="N552" i="2"/>
  <c r="N551" i="2"/>
  <c r="N561" i="2"/>
  <c r="N560" i="2"/>
  <c r="N559" i="2"/>
  <c r="N565" i="2"/>
  <c r="N564" i="2"/>
  <c r="N563" i="2"/>
  <c r="N562" i="2"/>
  <c r="N574" i="2"/>
  <c r="N573" i="2"/>
  <c r="N572" i="2"/>
  <c r="N571" i="2"/>
  <c r="N570" i="2"/>
  <c r="N569" i="2"/>
  <c r="N568" i="2"/>
  <c r="N567" i="2"/>
  <c r="N566" i="2"/>
  <c r="N582" i="2"/>
  <c r="N581" i="2"/>
  <c r="N580" i="2"/>
  <c r="N579" i="2"/>
  <c r="N578" i="2"/>
  <c r="N577" i="2"/>
  <c r="N576" i="2"/>
  <c r="N575" i="2"/>
  <c r="N588" i="2"/>
  <c r="N587" i="2"/>
  <c r="N586" i="2"/>
  <c r="N585" i="2"/>
  <c r="N584" i="2"/>
  <c r="N583" i="2"/>
  <c r="N591" i="2"/>
  <c r="N590" i="2"/>
  <c r="N589" i="2"/>
  <c r="N597" i="2"/>
  <c r="N596" i="2"/>
  <c r="N595" i="2"/>
  <c r="N594" i="2"/>
  <c r="N593" i="2"/>
  <c r="N592" i="2"/>
  <c r="N600" i="2"/>
  <c r="N599" i="2"/>
  <c r="N598" i="2"/>
  <c r="N602" i="2"/>
  <c r="N601" i="2"/>
  <c r="N609" i="2"/>
  <c r="N608" i="2"/>
  <c r="N607" i="2"/>
  <c r="N606" i="2"/>
  <c r="N605" i="2"/>
  <c r="N604" i="2"/>
  <c r="N603" i="2"/>
  <c r="N615" i="2"/>
  <c r="N614" i="2"/>
  <c r="N613" i="2"/>
  <c r="N612" i="2"/>
  <c r="N611" i="2"/>
  <c r="N610" i="2"/>
  <c r="N622" i="2"/>
  <c r="N621" i="2"/>
  <c r="N620" i="2"/>
  <c r="N619" i="2"/>
  <c r="N618" i="2"/>
  <c r="N617" i="2"/>
  <c r="N616" i="2"/>
  <c r="N624" i="2"/>
  <c r="N623" i="2"/>
  <c r="N627" i="2"/>
  <c r="N626" i="2"/>
  <c r="N625" i="2"/>
  <c r="N634" i="2"/>
  <c r="N633" i="2"/>
  <c r="N632" i="2"/>
  <c r="N631" i="2"/>
  <c r="N630" i="2"/>
  <c r="N629" i="2"/>
  <c r="N628" i="2"/>
  <c r="N640" i="2"/>
  <c r="N639" i="2"/>
  <c r="N638" i="2"/>
  <c r="N637" i="2"/>
  <c r="N636" i="2"/>
  <c r="N635" i="2"/>
  <c r="N646" i="2"/>
  <c r="N645" i="2"/>
  <c r="N644" i="2"/>
  <c r="N643" i="2"/>
  <c r="N642" i="2"/>
  <c r="N641" i="2"/>
  <c r="N650" i="2"/>
  <c r="N649" i="2"/>
  <c r="N648" i="2"/>
  <c r="N647" i="2"/>
  <c r="N654" i="2"/>
  <c r="N653" i="2"/>
  <c r="N652" i="2"/>
  <c r="N651" i="2"/>
  <c r="N662" i="2"/>
  <c r="N661" i="2"/>
  <c r="N660" i="2"/>
  <c r="N659" i="2"/>
  <c r="N658" i="2"/>
  <c r="N657" i="2"/>
  <c r="N656" i="2"/>
  <c r="N655" i="2"/>
  <c r="N670" i="2"/>
  <c r="N669" i="2"/>
  <c r="N668" i="2"/>
  <c r="N667" i="2"/>
  <c r="N666" i="2"/>
  <c r="N665" i="2"/>
  <c r="N664" i="2"/>
  <c r="N663" i="2"/>
  <c r="N672" i="2"/>
  <c r="N671" i="2"/>
  <c r="N679" i="2"/>
  <c r="N678" i="2"/>
  <c r="N677" i="2"/>
  <c r="N676" i="2"/>
  <c r="N675" i="2"/>
  <c r="N674" i="2"/>
  <c r="N673" i="2"/>
  <c r="N684" i="2"/>
  <c r="N683" i="2"/>
  <c r="N682" i="2"/>
  <c r="N681" i="2"/>
  <c r="N680" i="2"/>
  <c r="N688" i="2"/>
  <c r="N687" i="2"/>
  <c r="N686" i="2"/>
  <c r="N685" i="2"/>
  <c r="N696" i="2"/>
  <c r="N695" i="2"/>
  <c r="N694" i="2"/>
  <c r="N693" i="2"/>
  <c r="N692" i="2"/>
  <c r="N691" i="2"/>
  <c r="N690" i="2"/>
  <c r="N689" i="2"/>
  <c r="N701" i="2"/>
  <c r="N700" i="2"/>
  <c r="N699" i="2"/>
  <c r="N698" i="2"/>
  <c r="N697" i="2"/>
  <c r="N706" i="2"/>
  <c r="N705" i="2"/>
  <c r="N704" i="2"/>
  <c r="N703" i="2"/>
  <c r="N702" i="2"/>
  <c r="N713" i="2"/>
  <c r="N712" i="2"/>
  <c r="N711" i="2"/>
  <c r="N710" i="2"/>
  <c r="N709" i="2"/>
  <c r="N708" i="2"/>
  <c r="N707" i="2"/>
  <c r="N722" i="2"/>
  <c r="N721" i="2"/>
  <c r="N720" i="2"/>
  <c r="N719" i="2"/>
  <c r="N718" i="2"/>
  <c r="N717" i="2"/>
  <c r="N716" i="2"/>
  <c r="N715" i="2"/>
  <c r="N714" i="2"/>
  <c r="N731" i="2"/>
  <c r="N730" i="2"/>
  <c r="N729" i="2"/>
  <c r="N728" i="2"/>
  <c r="N727" i="2"/>
  <c r="N726" i="2"/>
  <c r="N725" i="2"/>
  <c r="N724" i="2"/>
  <c r="N723" i="2"/>
  <c r="N737" i="2"/>
  <c r="N736" i="2"/>
  <c r="N735" i="2"/>
  <c r="N734" i="2"/>
  <c r="N733" i="2"/>
  <c r="N732" i="2"/>
  <c r="N741" i="2"/>
  <c r="N740" i="2"/>
  <c r="N739" i="2"/>
  <c r="N738" i="2"/>
  <c r="N742" i="2"/>
  <c r="N752" i="2"/>
  <c r="N751" i="2"/>
  <c r="N750" i="2"/>
  <c r="N749" i="2"/>
  <c r="N748" i="2"/>
  <c r="N747" i="2"/>
  <c r="N746" i="2"/>
  <c r="N745" i="2"/>
  <c r="N744" i="2"/>
  <c r="N743" i="2"/>
  <c r="N754" i="2"/>
  <c r="N753" i="2"/>
  <c r="N758" i="2"/>
  <c r="N757" i="2"/>
  <c r="N756" i="2"/>
  <c r="N755" i="2"/>
  <c r="N769" i="2"/>
  <c r="N768" i="2"/>
  <c r="N767" i="2"/>
  <c r="N766" i="2"/>
  <c r="N765" i="2"/>
  <c r="N764" i="2"/>
  <c r="N763" i="2"/>
  <c r="N762" i="2"/>
  <c r="N761" i="2"/>
  <c r="N760" i="2"/>
  <c r="N759" i="2"/>
  <c r="N772" i="2"/>
  <c r="N771" i="2"/>
  <c r="N770" i="2"/>
  <c r="N780" i="2"/>
  <c r="N779" i="2"/>
  <c r="N778" i="2"/>
  <c r="N777" i="2"/>
  <c r="N776" i="2"/>
  <c r="N775" i="2"/>
  <c r="N774" i="2"/>
  <c r="N773" i="2"/>
  <c r="N786" i="2"/>
  <c r="N785" i="2"/>
  <c r="N784" i="2"/>
  <c r="N783" i="2"/>
  <c r="N782" i="2"/>
  <c r="N781" i="2"/>
  <c r="N791" i="2"/>
  <c r="N790" i="2"/>
  <c r="N789" i="2"/>
  <c r="N788" i="2"/>
  <c r="N787" i="2"/>
  <c r="N798" i="2"/>
  <c r="N797" i="2"/>
  <c r="N796" i="2"/>
  <c r="N795" i="2"/>
  <c r="N794" i="2"/>
  <c r="N793" i="2"/>
  <c r="N792" i="2"/>
  <c r="N800" i="2"/>
  <c r="N799" i="2"/>
  <c r="N804" i="2"/>
  <c r="N803" i="2"/>
  <c r="N802" i="2"/>
  <c r="N801" i="2"/>
  <c r="N809" i="2"/>
  <c r="N808" i="2"/>
  <c r="N807" i="2"/>
  <c r="N806" i="2"/>
  <c r="N805" i="2"/>
  <c r="N814" i="2"/>
  <c r="N813" i="2"/>
  <c r="N812" i="2"/>
  <c r="N811" i="2"/>
  <c r="N810" i="2"/>
  <c r="N817" i="2"/>
  <c r="N816" i="2"/>
  <c r="N815" i="2"/>
  <c r="N821" i="2"/>
  <c r="N820" i="2"/>
  <c r="N819" i="2"/>
  <c r="N818" i="2"/>
  <c r="N830" i="2"/>
  <c r="N829" i="2"/>
  <c r="N828" i="2"/>
  <c r="N827" i="2"/>
  <c r="N826" i="2"/>
  <c r="N825" i="2"/>
  <c r="N824" i="2"/>
  <c r="N823" i="2"/>
  <c r="N822" i="2"/>
  <c r="N833" i="2"/>
  <c r="N832" i="2"/>
  <c r="N831" i="2"/>
  <c r="N839" i="2"/>
  <c r="N838" i="2"/>
  <c r="N837" i="2"/>
  <c r="N836" i="2"/>
  <c r="N835" i="2"/>
  <c r="N834" i="2"/>
  <c r="N841" i="2"/>
  <c r="N840" i="2"/>
  <c r="N843" i="2"/>
  <c r="N842" i="2"/>
  <c r="N846" i="2"/>
  <c r="N845" i="2"/>
  <c r="N844" i="2"/>
  <c r="N850" i="2"/>
  <c r="N849" i="2"/>
  <c r="N848" i="2"/>
  <c r="N847" i="2"/>
  <c r="N854" i="2"/>
  <c r="N853" i="2"/>
  <c r="N852" i="2"/>
  <c r="N851" i="2"/>
  <c r="N860" i="2"/>
  <c r="N859" i="2"/>
  <c r="N858" i="2"/>
  <c r="N857" i="2"/>
  <c r="N856" i="2"/>
  <c r="N855" i="2"/>
  <c r="N863" i="2"/>
  <c r="N862" i="2"/>
  <c r="N861" i="2"/>
  <c r="N872" i="2"/>
  <c r="N871" i="2"/>
  <c r="N870" i="2"/>
  <c r="N869" i="2"/>
  <c r="N868" i="2"/>
  <c r="N867" i="2"/>
  <c r="N866" i="2"/>
  <c r="N865" i="2"/>
  <c r="N864" i="2"/>
  <c r="N875" i="2"/>
  <c r="N874" i="2"/>
  <c r="N873" i="2"/>
  <c r="N878" i="2"/>
  <c r="N877" i="2"/>
  <c r="N876" i="2"/>
  <c r="N892" i="2"/>
  <c r="N891" i="2"/>
  <c r="N890" i="2"/>
  <c r="N889" i="2"/>
  <c r="N888" i="2"/>
  <c r="N887" i="2"/>
  <c r="N886" i="2"/>
  <c r="N885" i="2"/>
  <c r="N884" i="2"/>
  <c r="N883" i="2"/>
  <c r="N882" i="2"/>
  <c r="N881" i="2"/>
  <c r="N880" i="2"/>
  <c r="N879" i="2"/>
  <c r="N899" i="2"/>
  <c r="N898" i="2"/>
  <c r="N897" i="2"/>
  <c r="N896" i="2"/>
  <c r="N895" i="2"/>
  <c r="N894" i="2"/>
  <c r="N893" i="2"/>
  <c r="N903" i="2"/>
  <c r="N902" i="2"/>
  <c r="N901" i="2"/>
  <c r="N900" i="2"/>
  <c r="N909" i="2"/>
  <c r="N908" i="2"/>
  <c r="N907" i="2"/>
  <c r="N906" i="2"/>
  <c r="N905" i="2"/>
  <c r="N904" i="2"/>
  <c r="N911" i="2"/>
  <c r="N910" i="2"/>
  <c r="N919" i="2"/>
  <c r="N918" i="2"/>
  <c r="N917" i="2"/>
  <c r="N916" i="2"/>
  <c r="N915" i="2"/>
  <c r="N914" i="2"/>
  <c r="N913" i="2"/>
  <c r="N912" i="2"/>
  <c r="N924" i="2"/>
  <c r="N923" i="2"/>
  <c r="N922" i="2"/>
  <c r="N921" i="2"/>
  <c r="N920" i="2"/>
  <c r="N929" i="2"/>
  <c r="N928" i="2"/>
  <c r="N927" i="2"/>
  <c r="N926" i="2"/>
  <c r="N925" i="2"/>
  <c r="N936" i="2"/>
  <c r="N935" i="2"/>
  <c r="N934" i="2"/>
  <c r="N933" i="2"/>
  <c r="N932" i="2"/>
  <c r="N931" i="2"/>
  <c r="N930" i="2"/>
  <c r="N938" i="2"/>
  <c r="N937" i="2"/>
  <c r="N943" i="2"/>
  <c r="N942" i="2"/>
  <c r="N941" i="2"/>
  <c r="N940" i="2"/>
  <c r="N939" i="2"/>
  <c r="N945" i="2"/>
  <c r="N944" i="2"/>
  <c r="N949" i="2"/>
  <c r="N948" i="2"/>
  <c r="N947" i="2"/>
  <c r="N946" i="2"/>
  <c r="N955" i="2"/>
  <c r="N954" i="2"/>
  <c r="N953" i="2"/>
  <c r="N952" i="2"/>
  <c r="N951" i="2"/>
  <c r="N950" i="2"/>
  <c r="N958" i="2"/>
  <c r="N957" i="2"/>
  <c r="N956" i="2"/>
  <c r="N962" i="2"/>
  <c r="N961" i="2"/>
  <c r="N960" i="2"/>
  <c r="N959" i="2"/>
  <c r="N967" i="2"/>
  <c r="N966" i="2"/>
  <c r="N965" i="2"/>
  <c r="N964" i="2"/>
  <c r="N963" i="2"/>
  <c r="N972" i="2"/>
  <c r="N971" i="2"/>
  <c r="N970" i="2"/>
  <c r="N969" i="2"/>
  <c r="N968" i="2"/>
  <c r="N977" i="2"/>
  <c r="N976" i="2"/>
  <c r="N975" i="2"/>
  <c r="N974" i="2"/>
  <c r="N973" i="2"/>
  <c r="N979" i="2"/>
  <c r="N978" i="2"/>
  <c r="N990" i="2"/>
  <c r="N989" i="2"/>
  <c r="N988" i="2"/>
  <c r="N987" i="2"/>
  <c r="N986" i="2"/>
  <c r="N985" i="2"/>
  <c r="N984" i="2"/>
  <c r="N983" i="2"/>
  <c r="N982" i="2"/>
  <c r="N981" i="2"/>
  <c r="N980" i="2"/>
  <c r="N995" i="2"/>
  <c r="N994" i="2"/>
  <c r="N993" i="2"/>
  <c r="N992" i="2"/>
  <c r="N991" i="2"/>
  <c r="N1001" i="2"/>
  <c r="N1000" i="2"/>
  <c r="N999" i="2"/>
  <c r="N998" i="2"/>
  <c r="N997" i="2"/>
  <c r="N996" i="2"/>
  <c r="N1010" i="2"/>
  <c r="N1009" i="2"/>
  <c r="N1008" i="2"/>
  <c r="N1007" i="2"/>
  <c r="N1006" i="2"/>
  <c r="N1005" i="2"/>
  <c r="N1004" i="2"/>
  <c r="N1003" i="2"/>
  <c r="N1002" i="2"/>
  <c r="N1019" i="2"/>
  <c r="N1018" i="2"/>
  <c r="N1017" i="2"/>
  <c r="N1016" i="2"/>
  <c r="N1015" i="2"/>
  <c r="N1014" i="2"/>
  <c r="N1013" i="2"/>
  <c r="N1012" i="2"/>
  <c r="N1011" i="2"/>
  <c r="N1028" i="2"/>
  <c r="N1027" i="2"/>
  <c r="N1026" i="2"/>
  <c r="N1025" i="2"/>
  <c r="N1024" i="2"/>
  <c r="N1023" i="2"/>
  <c r="N1022" i="2"/>
  <c r="N1021" i="2"/>
  <c r="N1020" i="2"/>
  <c r="N1031" i="2"/>
  <c r="N1030" i="2"/>
  <c r="N1029" i="2"/>
  <c r="N1035" i="2"/>
  <c r="N1034" i="2"/>
  <c r="N1033" i="2"/>
  <c r="N1032" i="2"/>
  <c r="N1049" i="2"/>
  <c r="N1048" i="2"/>
  <c r="N1047" i="2"/>
  <c r="N1046" i="2"/>
  <c r="N1045" i="2"/>
  <c r="N1044" i="2"/>
  <c r="N1043" i="2"/>
  <c r="N1042" i="2"/>
  <c r="N1041" i="2"/>
  <c r="N1040" i="2"/>
  <c r="N1039" i="2"/>
  <c r="N1038" i="2"/>
  <c r="N1037" i="2"/>
  <c r="N1036" i="2"/>
  <c r="N1064" i="2"/>
  <c r="N1063" i="2"/>
  <c r="N1062" i="2"/>
  <c r="N1061" i="2"/>
  <c r="N1060" i="2"/>
  <c r="N1059" i="2"/>
  <c r="N1058" i="2"/>
  <c r="N1057" i="2"/>
  <c r="N1056" i="2"/>
  <c r="N1055" i="2"/>
  <c r="N1054" i="2"/>
  <c r="N1053" i="2"/>
  <c r="N1052" i="2"/>
  <c r="N1051" i="2"/>
  <c r="N1050" i="2"/>
  <c r="N1078" i="2"/>
  <c r="N1077" i="2"/>
  <c r="N1076" i="2"/>
  <c r="N1075" i="2"/>
  <c r="N1074" i="2"/>
  <c r="N1073" i="2"/>
  <c r="N1072" i="2"/>
  <c r="N1071" i="2"/>
  <c r="N1070" i="2"/>
  <c r="N1069" i="2"/>
  <c r="N1068" i="2"/>
  <c r="N1067" i="2"/>
  <c r="N1066" i="2"/>
  <c r="N1065" i="2"/>
  <c r="N1083" i="2"/>
  <c r="N1082" i="2"/>
  <c r="N1081" i="2"/>
  <c r="N1080" i="2"/>
  <c r="N1079" i="2"/>
  <c r="N1094" i="2"/>
  <c r="N1093" i="2"/>
  <c r="N1092" i="2"/>
  <c r="N1091" i="2"/>
  <c r="N1090" i="2"/>
  <c r="N1089" i="2"/>
  <c r="N1088" i="2"/>
  <c r="N1087" i="2"/>
  <c r="N1086" i="2"/>
  <c r="N1085" i="2"/>
  <c r="N1084" i="2"/>
  <c r="N1101" i="2"/>
  <c r="N1100" i="2"/>
  <c r="N1099" i="2"/>
  <c r="N1098" i="2"/>
  <c r="N1097" i="2"/>
  <c r="N1096" i="2"/>
  <c r="N1095" i="2"/>
  <c r="N1108" i="2"/>
  <c r="N1107" i="2"/>
  <c r="N1106" i="2"/>
  <c r="N1105" i="2"/>
  <c r="N1104" i="2"/>
  <c r="N1103" i="2"/>
  <c r="N1102" i="2"/>
  <c r="N1115" i="2"/>
  <c r="N1114" i="2"/>
  <c r="N1113" i="2"/>
  <c r="N1112" i="2"/>
  <c r="N1111" i="2"/>
  <c r="N1110" i="2"/>
  <c r="N1109" i="2"/>
  <c r="N1119" i="2"/>
  <c r="N1118" i="2"/>
  <c r="N1117" i="2"/>
  <c r="N1116" i="2"/>
  <c r="N1129" i="2"/>
  <c r="N1128" i="2"/>
  <c r="N1127" i="2"/>
  <c r="N1126" i="2"/>
  <c r="N1125" i="2"/>
  <c r="N1124" i="2"/>
  <c r="N1123" i="2"/>
  <c r="N1122" i="2"/>
  <c r="N1121" i="2"/>
  <c r="N1120" i="2"/>
  <c r="N1133" i="2"/>
  <c r="N1132" i="2"/>
  <c r="N1131" i="2"/>
  <c r="N1130" i="2"/>
  <c r="N1134" i="2"/>
  <c r="N1142" i="2"/>
  <c r="N1141" i="2"/>
  <c r="N1140" i="2"/>
  <c r="N1139" i="2"/>
  <c r="N1138" i="2"/>
  <c r="N1137" i="2"/>
  <c r="N1136" i="2"/>
  <c r="N1135" i="2"/>
  <c r="N1146" i="2"/>
  <c r="N1145" i="2"/>
  <c r="N1144" i="2"/>
  <c r="N1143" i="2"/>
  <c r="N1154" i="2"/>
  <c r="N1153" i="2"/>
  <c r="N1152" i="2"/>
  <c r="N1151" i="2"/>
  <c r="N1150" i="2"/>
  <c r="N1149" i="2"/>
  <c r="N1148" i="2"/>
  <c r="N1147" i="2"/>
  <c r="N1162" i="2"/>
  <c r="N1161" i="2"/>
  <c r="N1160" i="2"/>
  <c r="N1159" i="2"/>
  <c r="N1158" i="2"/>
  <c r="N1157" i="2"/>
  <c r="N1156" i="2"/>
  <c r="N1155" i="2"/>
  <c r="N1166" i="2"/>
  <c r="N1165" i="2"/>
  <c r="N1164" i="2"/>
  <c r="N1163" i="2"/>
  <c r="N1170" i="2"/>
  <c r="N1169" i="2"/>
  <c r="N1168" i="2"/>
  <c r="N1167" i="2"/>
  <c r="N1177" i="2"/>
  <c r="N1176" i="2"/>
  <c r="N1175" i="2"/>
  <c r="N1174" i="2"/>
  <c r="N1173" i="2"/>
  <c r="N1172" i="2"/>
  <c r="N1171" i="2"/>
  <c r="N1183" i="2"/>
  <c r="N1182" i="2"/>
  <c r="N1181" i="2"/>
  <c r="N1180" i="2"/>
  <c r="N1179" i="2"/>
  <c r="N1178" i="2"/>
  <c r="N1191" i="2"/>
  <c r="N1190" i="2"/>
  <c r="N1189" i="2"/>
  <c r="N1188" i="2"/>
  <c r="N1187" i="2"/>
  <c r="N1186" i="2"/>
  <c r="N1185" i="2"/>
  <c r="N1184" i="2"/>
  <c r="N1198" i="2"/>
  <c r="N1197" i="2"/>
  <c r="N1196" i="2"/>
  <c r="N1195" i="2"/>
  <c r="N1194" i="2"/>
  <c r="N1193" i="2"/>
  <c r="N1192" i="2"/>
  <c r="N1202" i="2"/>
  <c r="N1201" i="2"/>
  <c r="N1200" i="2"/>
  <c r="N1199" i="2"/>
  <c r="N1208" i="2"/>
  <c r="N1207" i="2"/>
  <c r="N1206" i="2"/>
  <c r="N1205" i="2"/>
  <c r="N1204" i="2"/>
  <c r="N1203" i="2"/>
  <c r="N1212" i="2"/>
  <c r="N1211" i="2"/>
  <c r="N1210" i="2"/>
  <c r="N1209" i="2"/>
  <c r="N1215" i="2"/>
  <c r="N1214" i="2"/>
  <c r="N1213" i="2"/>
  <c r="N1219" i="2"/>
  <c r="N1218" i="2"/>
  <c r="N1217" i="2"/>
  <c r="N1216" i="2"/>
  <c r="N1223" i="2"/>
  <c r="N1222" i="2"/>
  <c r="N1221" i="2"/>
  <c r="N1220" i="2"/>
  <c r="N1225" i="2"/>
  <c r="N1224" i="2"/>
  <c r="N1228" i="2"/>
  <c r="N1227" i="2"/>
  <c r="N1226" i="2"/>
  <c r="N1230" i="2"/>
  <c r="N1229" i="2"/>
  <c r="N1239" i="2"/>
  <c r="N1238" i="2"/>
  <c r="N1237" i="2"/>
  <c r="N1236" i="2"/>
  <c r="N1235" i="2"/>
  <c r="N1234" i="2"/>
  <c r="N1233" i="2"/>
  <c r="N1232" i="2"/>
  <c r="N1231" i="2"/>
  <c r="N1244" i="2"/>
  <c r="N1243" i="2"/>
  <c r="N1242" i="2"/>
  <c r="N1241" i="2"/>
  <c r="N1240" i="2"/>
  <c r="N1251" i="2"/>
  <c r="N1250" i="2"/>
  <c r="N1249" i="2"/>
  <c r="N1248" i="2"/>
  <c r="N1247" i="2"/>
  <c r="N1246" i="2"/>
  <c r="N1245" i="2"/>
  <c r="N1258" i="2"/>
  <c r="N1257" i="2"/>
  <c r="N1256" i="2"/>
  <c r="N1255" i="2"/>
  <c r="N1254" i="2"/>
  <c r="N1253" i="2"/>
  <c r="N1252" i="2"/>
  <c r="N1261" i="2"/>
  <c r="N1260" i="2"/>
  <c r="N1259" i="2"/>
  <c r="N1268" i="2"/>
  <c r="N1267" i="2"/>
  <c r="N1266" i="2"/>
  <c r="N1265" i="2"/>
  <c r="N1264" i="2"/>
  <c r="N1263" i="2"/>
  <c r="N1262" i="2"/>
  <c r="N1273" i="2"/>
  <c r="N1272" i="2"/>
  <c r="N1271" i="2"/>
  <c r="N1270" i="2"/>
  <c r="N1269" i="2"/>
  <c r="N1276" i="2"/>
  <c r="N1275" i="2"/>
  <c r="N1274" i="2"/>
  <c r="N1279" i="2"/>
  <c r="N1278" i="2"/>
  <c r="N1277" i="2"/>
  <c r="N1286" i="2"/>
  <c r="N1285" i="2"/>
  <c r="N1284" i="2"/>
  <c r="N1283" i="2"/>
  <c r="N1282" i="2"/>
  <c r="N1281" i="2"/>
  <c r="N1280" i="2"/>
  <c r="N1289" i="2"/>
  <c r="N1288" i="2"/>
  <c r="N1287" i="2"/>
  <c r="N1297" i="2"/>
  <c r="N1296" i="2"/>
  <c r="N1295" i="2"/>
  <c r="N1294" i="2"/>
  <c r="N1293" i="2"/>
  <c r="N1292" i="2"/>
  <c r="N1291" i="2"/>
  <c r="N1290" i="2"/>
  <c r="N1304" i="2"/>
  <c r="N1303" i="2"/>
  <c r="N1302" i="2"/>
  <c r="N1301" i="2"/>
  <c r="N1300" i="2"/>
  <c r="N1299" i="2"/>
  <c r="N1298" i="2"/>
  <c r="N1311" i="2"/>
  <c r="N1310" i="2"/>
  <c r="N1309" i="2"/>
  <c r="N1308" i="2"/>
  <c r="N1307" i="2"/>
  <c r="N1306" i="2"/>
  <c r="N1305" i="2"/>
  <c r="N1315" i="2"/>
  <c r="N1314" i="2"/>
  <c r="N1313" i="2"/>
  <c r="N1312" i="2"/>
  <c r="N1320" i="2"/>
  <c r="N1319" i="2"/>
  <c r="N1318" i="2"/>
  <c r="N1317" i="2"/>
  <c r="N1316" i="2"/>
  <c r="N1325" i="2"/>
  <c r="N1324" i="2"/>
  <c r="N1323" i="2"/>
  <c r="N1322" i="2"/>
  <c r="N1321" i="2"/>
  <c r="N1328" i="2"/>
  <c r="N1327" i="2"/>
  <c r="N1326" i="2"/>
  <c r="N1333" i="2"/>
  <c r="N1332" i="2"/>
  <c r="N1331" i="2"/>
  <c r="N1330" i="2"/>
  <c r="N1329" i="2"/>
  <c r="N1338" i="2"/>
  <c r="N1337" i="2"/>
  <c r="N1336" i="2"/>
  <c r="N1335" i="2"/>
  <c r="N1334" i="2"/>
  <c r="N1344" i="2"/>
  <c r="N1343" i="2"/>
  <c r="N1342" i="2"/>
  <c r="N1341" i="2"/>
  <c r="N1340" i="2"/>
  <c r="N1339" i="2"/>
  <c r="N1355" i="2"/>
  <c r="N1354" i="2"/>
  <c r="N1353" i="2"/>
  <c r="N1352" i="2"/>
  <c r="N1351" i="2"/>
  <c r="N1350" i="2"/>
  <c r="N1349" i="2"/>
  <c r="N1348" i="2"/>
  <c r="N1347" i="2"/>
  <c r="N1346" i="2"/>
  <c r="N1345" i="2"/>
  <c r="N1358" i="2"/>
  <c r="N1357" i="2"/>
  <c r="N1356" i="2"/>
  <c r="N1362" i="2"/>
  <c r="N1361" i="2"/>
  <c r="N1360" i="2"/>
  <c r="N1359" i="2"/>
  <c r="N1368" i="2"/>
  <c r="N1367" i="2"/>
  <c r="N1366" i="2"/>
  <c r="N1365" i="2"/>
  <c r="N1364" i="2"/>
  <c r="N1363" i="2"/>
  <c r="N1378" i="2"/>
  <c r="N1377" i="2"/>
  <c r="N1376" i="2"/>
  <c r="N1375" i="2"/>
  <c r="N1374" i="2"/>
  <c r="N1373" i="2"/>
  <c r="N1372" i="2"/>
  <c r="N1371" i="2"/>
  <c r="N1370" i="2"/>
  <c r="N1369" i="2"/>
  <c r="N1381" i="2"/>
  <c r="N1380" i="2"/>
  <c r="N1379" i="2"/>
  <c r="N1385" i="2"/>
  <c r="N1384" i="2"/>
  <c r="N1383" i="2"/>
  <c r="N1382" i="2"/>
  <c r="N1393" i="2"/>
  <c r="N1392" i="2"/>
  <c r="N1391" i="2"/>
  <c r="N1390" i="2"/>
  <c r="N1389" i="2"/>
  <c r="N1388" i="2"/>
  <c r="N1387" i="2"/>
  <c r="N1386" i="2"/>
  <c r="N1397" i="2"/>
  <c r="N1396" i="2"/>
  <c r="N1395" i="2"/>
  <c r="N1394" i="2"/>
  <c r="N1404" i="2"/>
  <c r="N1403" i="2"/>
  <c r="N1402" i="2"/>
  <c r="N1401" i="2"/>
  <c r="N1400" i="2"/>
  <c r="N1399" i="2"/>
  <c r="N1398" i="2"/>
  <c r="N1408" i="2"/>
  <c r="N1407" i="2"/>
  <c r="N1406" i="2"/>
  <c r="N1405" i="2"/>
  <c r="N1416" i="2"/>
  <c r="N1415" i="2"/>
  <c r="N1414" i="2"/>
  <c r="N1413" i="2"/>
  <c r="N1412" i="2"/>
  <c r="N1411" i="2"/>
  <c r="N1410" i="2"/>
  <c r="N1409" i="2"/>
  <c r="N1420" i="2"/>
  <c r="N1419" i="2"/>
  <c r="N1418" i="2"/>
  <c r="N1417" i="2"/>
  <c r="N1423" i="2"/>
  <c r="N1422" i="2"/>
  <c r="N1421" i="2"/>
  <c r="N1427" i="2"/>
  <c r="N1426" i="2"/>
  <c r="N1425" i="2"/>
  <c r="N1424" i="2"/>
  <c r="N1436" i="2"/>
  <c r="N1435" i="2"/>
  <c r="N1434" i="2"/>
  <c r="N1433" i="2"/>
  <c r="N1432" i="2"/>
  <c r="N1431" i="2"/>
  <c r="N1430" i="2"/>
  <c r="N1429" i="2"/>
  <c r="N1428" i="2"/>
  <c r="N1441" i="2"/>
  <c r="N1440" i="2"/>
  <c r="N1439" i="2"/>
  <c r="N1438" i="2"/>
  <c r="N1437" i="2"/>
  <c r="N1444" i="2"/>
  <c r="N1443" i="2"/>
  <c r="N1442" i="2"/>
  <c r="N1453" i="2"/>
  <c r="N1452" i="2"/>
  <c r="N1451" i="2"/>
  <c r="N1450" i="2"/>
  <c r="N1449" i="2"/>
  <c r="N1448" i="2"/>
  <c r="N1447" i="2"/>
  <c r="N1446" i="2"/>
  <c r="N1445" i="2"/>
  <c r="N1462" i="2"/>
  <c r="N1461" i="2"/>
  <c r="N1460" i="2"/>
  <c r="N1459" i="2"/>
  <c r="N1458" i="2"/>
  <c r="N1457" i="2"/>
  <c r="N1456" i="2"/>
  <c r="N1455" i="2"/>
  <c r="N1454" i="2"/>
  <c r="N1468" i="2"/>
  <c r="N1467" i="2"/>
  <c r="N1466" i="2"/>
  <c r="N1465" i="2"/>
  <c r="N1464" i="2"/>
  <c r="N1463" i="2"/>
  <c r="N1473" i="2"/>
  <c r="N1472" i="2"/>
  <c r="N1471" i="2"/>
  <c r="N1470" i="2"/>
  <c r="N1469" i="2"/>
  <c r="N1478" i="2"/>
  <c r="N1477" i="2"/>
  <c r="N1476" i="2"/>
  <c r="N1475" i="2"/>
  <c r="N1474" i="2"/>
  <c r="N1485" i="2"/>
  <c r="N1484" i="2"/>
  <c r="N1483" i="2"/>
  <c r="N1482" i="2"/>
  <c r="N1481" i="2"/>
  <c r="N1480" i="2"/>
  <c r="N1479" i="2"/>
  <c r="N1496" i="2"/>
  <c r="N1495" i="2"/>
  <c r="N1494" i="2"/>
  <c r="N1493" i="2"/>
  <c r="N1492" i="2"/>
  <c r="N1491" i="2"/>
  <c r="N1490" i="2"/>
  <c r="N1489" i="2"/>
  <c r="N1488" i="2"/>
  <c r="N1487" i="2"/>
  <c r="N1486" i="2"/>
  <c r="N1500" i="2"/>
  <c r="N1499" i="2"/>
  <c r="N1498" i="2"/>
  <c r="N1497" i="2"/>
  <c r="N1503" i="2"/>
  <c r="N1502" i="2"/>
  <c r="N1501" i="2"/>
  <c r="N1508" i="2"/>
  <c r="N1507" i="2"/>
  <c r="N1506" i="2"/>
  <c r="N1505" i="2"/>
  <c r="N1504" i="2"/>
  <c r="N1517" i="2"/>
  <c r="N1516" i="2"/>
  <c r="N1515" i="2"/>
  <c r="N1514" i="2"/>
  <c r="N1513" i="2"/>
  <c r="N1512" i="2"/>
  <c r="N1511" i="2"/>
  <c r="N1510" i="2"/>
  <c r="N1509" i="2"/>
  <c r="N1520" i="2"/>
  <c r="N1519" i="2"/>
  <c r="N1518" i="2"/>
  <c r="N1523" i="2"/>
  <c r="N1522" i="2"/>
  <c r="N1521" i="2"/>
  <c r="N1530" i="2"/>
  <c r="N1529" i="2"/>
  <c r="N1528" i="2"/>
  <c r="N1527" i="2"/>
  <c r="N1526" i="2"/>
  <c r="N1525" i="2"/>
  <c r="N1524" i="2"/>
  <c r="N1535" i="2"/>
  <c r="N1534" i="2"/>
  <c r="N1533" i="2"/>
  <c r="N1532" i="2"/>
  <c r="N1531" i="2"/>
  <c r="N1542" i="2"/>
  <c r="N1541" i="2"/>
  <c r="N1540" i="2"/>
  <c r="N1539" i="2"/>
  <c r="N1538" i="2"/>
  <c r="N1537" i="2"/>
  <c r="N1536" i="2"/>
  <c r="N1547" i="2"/>
  <c r="N1546" i="2"/>
  <c r="N1545" i="2"/>
  <c r="N1544" i="2"/>
  <c r="N1543" i="2"/>
  <c r="N1557" i="2"/>
  <c r="N1556" i="2"/>
  <c r="N1555" i="2"/>
  <c r="N1554" i="2"/>
  <c r="N1553" i="2"/>
  <c r="N1552" i="2"/>
  <c r="N1551" i="2"/>
  <c r="N1550" i="2"/>
  <c r="N1549" i="2"/>
  <c r="N1548" i="2"/>
  <c r="N1561" i="2"/>
  <c r="N1560" i="2"/>
  <c r="N1559" i="2"/>
  <c r="N1558" i="2"/>
  <c r="N1568" i="2"/>
  <c r="N1567" i="2"/>
  <c r="N1566" i="2"/>
  <c r="N1565" i="2"/>
  <c r="N1564" i="2"/>
  <c r="N1563" i="2"/>
  <c r="N1562" i="2"/>
  <c r="N1574" i="2"/>
  <c r="N1573" i="2"/>
  <c r="N1572" i="2"/>
  <c r="N1571" i="2"/>
  <c r="N1570" i="2"/>
  <c r="N1569" i="2"/>
  <c r="N1580" i="2"/>
  <c r="N1579" i="2"/>
  <c r="N1578" i="2"/>
  <c r="N1577" i="2"/>
  <c r="N1576" i="2"/>
  <c r="N1575" i="2"/>
  <c r="N1586" i="2"/>
  <c r="N1585" i="2"/>
  <c r="N1584" i="2"/>
  <c r="N1583" i="2"/>
  <c r="N1582" i="2"/>
  <c r="N1581" i="2"/>
  <c r="N1593" i="2"/>
  <c r="N1592" i="2"/>
  <c r="N1591" i="2"/>
  <c r="N1590" i="2"/>
  <c r="N1589" i="2"/>
  <c r="N1588" i="2"/>
  <c r="N1587" i="2"/>
  <c r="N1604" i="2"/>
  <c r="N1603" i="2"/>
  <c r="N1602" i="2"/>
  <c r="N1601" i="2"/>
  <c r="N1600" i="2"/>
  <c r="N1599" i="2"/>
  <c r="N1598" i="2"/>
  <c r="N1597" i="2"/>
  <c r="N1596" i="2"/>
  <c r="N1595" i="2"/>
  <c r="N1594" i="2"/>
  <c r="N1609" i="2"/>
  <c r="N1608" i="2"/>
  <c r="N1607" i="2"/>
  <c r="N1606" i="2"/>
  <c r="N1605" i="2"/>
  <c r="N1612" i="2"/>
  <c r="N1611" i="2"/>
  <c r="N1610" i="2"/>
  <c r="N1620" i="2"/>
  <c r="N1619" i="2"/>
  <c r="N1618" i="2"/>
  <c r="N1617" i="2"/>
  <c r="N1616" i="2"/>
  <c r="N1615" i="2"/>
  <c r="N1614" i="2"/>
  <c r="N1613" i="2"/>
  <c r="N1625" i="2"/>
  <c r="N1624" i="2"/>
  <c r="N1623" i="2"/>
  <c r="N1622" i="2"/>
  <c r="N1621" i="2"/>
  <c r="N1632" i="2"/>
  <c r="N1631" i="2"/>
  <c r="N1630" i="2"/>
  <c r="N1629" i="2"/>
  <c r="N1628" i="2"/>
  <c r="N1627" i="2"/>
  <c r="N1626" i="2"/>
  <c r="N1639" i="2"/>
  <c r="N1638" i="2"/>
  <c r="N1637" i="2"/>
  <c r="N1636" i="2"/>
  <c r="N1635" i="2"/>
  <c r="N1634" i="2"/>
  <c r="N1633" i="2"/>
  <c r="N1648" i="2"/>
  <c r="N1647" i="2"/>
  <c r="N1646" i="2"/>
  <c r="N1645" i="2"/>
  <c r="N1644" i="2"/>
  <c r="N1643" i="2"/>
  <c r="N1642" i="2"/>
  <c r="N1641" i="2"/>
  <c r="N1640" i="2"/>
  <c r="N1658" i="2"/>
  <c r="N1657" i="2"/>
  <c r="N1656" i="2"/>
  <c r="N1655" i="2"/>
  <c r="N1654" i="2"/>
  <c r="N1653" i="2"/>
  <c r="N1652" i="2"/>
  <c r="N1651" i="2"/>
  <c r="N1650" i="2"/>
  <c r="N1649" i="2"/>
  <c r="N1665" i="2"/>
  <c r="N1664" i="2"/>
  <c r="N1663" i="2"/>
  <c r="N1662" i="2"/>
  <c r="N1661" i="2"/>
  <c r="N1660" i="2"/>
  <c r="N1659" i="2"/>
  <c r="N1672" i="2"/>
  <c r="N1671" i="2"/>
  <c r="N1670" i="2"/>
  <c r="N1669" i="2"/>
  <c r="N1668" i="2"/>
  <c r="N1667" i="2"/>
  <c r="N1666" i="2"/>
  <c r="N1675" i="2"/>
  <c r="N1674" i="2"/>
  <c r="N1673" i="2"/>
  <c r="N1678" i="2"/>
  <c r="N1677" i="2"/>
  <c r="N1676" i="2"/>
  <c r="N1690" i="2"/>
  <c r="N1689" i="2"/>
  <c r="N1688" i="2"/>
  <c r="N1687" i="2"/>
  <c r="N1686" i="2"/>
  <c r="N1685" i="2"/>
  <c r="N1684" i="2"/>
  <c r="N1683" i="2"/>
  <c r="N1682" i="2"/>
  <c r="N1681" i="2"/>
  <c r="N1680" i="2"/>
  <c r="N1679" i="2"/>
  <c r="N1695" i="2"/>
  <c r="N1694" i="2"/>
  <c r="N1693" i="2"/>
  <c r="N1692" i="2"/>
  <c r="N1691" i="2"/>
  <c r="N1700" i="2"/>
  <c r="N1699" i="2"/>
  <c r="N1698" i="2"/>
  <c r="N1697" i="2"/>
  <c r="N1696" i="2"/>
  <c r="N1703" i="2"/>
  <c r="N1702" i="2"/>
  <c r="N1701" i="2"/>
  <c r="N1709" i="2"/>
  <c r="N1708" i="2"/>
  <c r="N1707" i="2"/>
  <c r="N1706" i="2"/>
  <c r="N1705" i="2"/>
  <c r="N1704" i="2"/>
  <c r="N1715" i="2"/>
  <c r="N1714" i="2"/>
  <c r="N1713" i="2"/>
  <c r="N1712" i="2"/>
  <c r="N1711" i="2"/>
  <c r="N1710" i="2"/>
  <c r="N1721" i="2"/>
  <c r="N1720" i="2"/>
  <c r="N1719" i="2"/>
  <c r="N1718" i="2"/>
  <c r="N1717" i="2"/>
  <c r="N1716" i="2"/>
  <c r="N1724" i="2"/>
  <c r="N1723" i="2"/>
  <c r="N1722" i="2"/>
  <c r="N1729" i="2"/>
  <c r="N1728" i="2"/>
  <c r="N1727" i="2"/>
  <c r="N1726" i="2"/>
  <c r="N1725" i="2"/>
  <c r="N1733" i="2"/>
  <c r="N1732" i="2"/>
  <c r="N1731" i="2"/>
  <c r="N1730" i="2"/>
  <c r="N1734" i="2"/>
  <c r="N1737" i="2"/>
  <c r="N1736" i="2"/>
  <c r="N1735" i="2"/>
  <c r="N1738" i="2"/>
  <c r="N1739" i="2"/>
  <c r="N1742" i="2"/>
  <c r="N1741" i="2"/>
  <c r="N1740" i="2"/>
  <c r="N1749" i="2"/>
  <c r="N1748" i="2"/>
  <c r="N1747" i="2"/>
  <c r="N1746" i="2"/>
  <c r="N1745" i="2"/>
  <c r="N1744" i="2"/>
  <c r="N1743" i="2"/>
  <c r="N1752" i="2"/>
  <c r="N1751" i="2"/>
  <c r="N1750" i="2"/>
  <c r="N1760" i="2"/>
  <c r="N1759" i="2"/>
  <c r="N1758" i="2"/>
  <c r="N1757" i="2"/>
  <c r="N1756" i="2"/>
  <c r="N1755" i="2"/>
  <c r="N1754" i="2"/>
  <c r="N1753" i="2"/>
  <c r="N1765" i="2"/>
  <c r="N1764" i="2"/>
  <c r="N1763" i="2"/>
  <c r="N1762" i="2"/>
  <c r="N1761" i="2"/>
  <c r="N1769" i="2"/>
  <c r="N1768" i="2"/>
  <c r="N1767" i="2"/>
  <c r="N1766" i="2"/>
  <c r="N1778" i="2"/>
  <c r="N1777" i="2"/>
  <c r="N1776" i="2"/>
  <c r="N1775" i="2"/>
  <c r="N1774" i="2"/>
  <c r="N1773" i="2"/>
  <c r="N1772" i="2"/>
  <c r="N1771" i="2"/>
  <c r="N1770" i="2"/>
  <c r="N1784" i="2"/>
  <c r="N1783" i="2"/>
  <c r="N1782" i="2"/>
  <c r="N1781" i="2"/>
  <c r="N1780" i="2"/>
  <c r="N1779" i="2"/>
  <c r="N1792" i="2"/>
  <c r="N1791" i="2"/>
  <c r="N1790" i="2"/>
  <c r="N1789" i="2"/>
  <c r="N1788" i="2"/>
  <c r="N1787" i="2"/>
  <c r="N1786" i="2"/>
  <c r="N1785" i="2"/>
  <c r="N1794" i="2"/>
  <c r="N1793" i="2"/>
  <c r="N1800" i="2"/>
  <c r="N1799" i="2"/>
  <c r="N1798" i="2"/>
  <c r="N1797" i="2"/>
  <c r="N1796" i="2"/>
  <c r="N1795" i="2"/>
  <c r="N1805" i="2"/>
  <c r="N1804" i="2"/>
  <c r="N1803" i="2"/>
  <c r="N1802" i="2"/>
  <c r="N1801" i="2"/>
  <c r="N1809" i="2"/>
  <c r="N1808" i="2"/>
  <c r="N1807" i="2"/>
  <c r="N1806" i="2"/>
  <c r="N1817" i="2"/>
  <c r="N1816" i="2"/>
  <c r="N1815" i="2"/>
  <c r="N1814" i="2"/>
  <c r="N1813" i="2"/>
  <c r="N1812" i="2"/>
  <c r="N1811" i="2"/>
  <c r="N1810" i="2"/>
  <c r="N1822" i="2"/>
  <c r="N1821" i="2"/>
  <c r="N1820" i="2"/>
  <c r="N1819" i="2"/>
  <c r="N1818" i="2"/>
  <c r="N1826" i="2"/>
  <c r="N1825" i="2"/>
  <c r="N1824" i="2"/>
  <c r="N1823" i="2"/>
  <c r="N1828" i="2"/>
  <c r="N1827" i="2"/>
  <c r="N1830" i="2"/>
  <c r="N1829" i="2"/>
  <c r="N1839" i="2"/>
  <c r="N1838" i="2"/>
  <c r="N1837" i="2"/>
  <c r="N1836" i="2"/>
  <c r="N1835" i="2"/>
  <c r="N1834" i="2"/>
  <c r="N1833" i="2"/>
  <c r="N1832" i="2"/>
  <c r="N1831" i="2"/>
  <c r="N1840" i="2"/>
  <c r="N1844" i="2"/>
  <c r="N1843" i="2"/>
  <c r="N1842" i="2"/>
  <c r="N1841" i="2"/>
  <c r="N1846" i="2"/>
  <c r="N1845" i="2"/>
  <c r="N1849" i="2"/>
  <c r="N1848" i="2"/>
  <c r="N1847" i="2"/>
  <c r="N1853" i="2"/>
  <c r="N1852" i="2"/>
  <c r="N1851" i="2"/>
  <c r="N1850" i="2"/>
  <c r="N1858" i="2"/>
  <c r="N1857" i="2"/>
  <c r="N1856" i="2"/>
  <c r="N1855" i="2"/>
  <c r="N1854" i="2"/>
  <c r="N1863" i="2"/>
  <c r="N1862" i="2"/>
  <c r="N1861" i="2"/>
  <c r="N1860" i="2"/>
  <c r="N1859" i="2"/>
  <c r="N1869" i="2"/>
  <c r="N1868" i="2"/>
  <c r="N1867" i="2"/>
  <c r="N1866" i="2"/>
  <c r="N1865" i="2"/>
  <c r="N1864" i="2"/>
  <c r="N1874" i="2"/>
  <c r="N1873" i="2"/>
  <c r="N1872" i="2"/>
  <c r="N1871" i="2"/>
  <c r="N1870" i="2"/>
  <c r="N1878" i="2"/>
  <c r="N1877" i="2"/>
  <c r="N1876" i="2"/>
  <c r="N1875" i="2"/>
  <c r="N1882" i="2"/>
  <c r="N1881" i="2"/>
  <c r="N1880" i="2"/>
  <c r="N1879" i="2"/>
  <c r="N1887" i="2"/>
  <c r="N1886" i="2"/>
  <c r="N1885" i="2"/>
  <c r="N1884" i="2"/>
  <c r="N1883" i="2"/>
  <c r="N1892" i="2"/>
  <c r="N1891" i="2"/>
  <c r="N1890" i="2"/>
  <c r="N1889" i="2"/>
  <c r="N1888" i="2"/>
  <c r="N1904" i="2"/>
  <c r="N1903" i="2"/>
  <c r="N1902" i="2"/>
  <c r="N1901" i="2"/>
  <c r="N1900" i="2"/>
  <c r="N1899" i="2"/>
  <c r="N1898" i="2"/>
  <c r="N1897" i="2"/>
  <c r="N1896" i="2"/>
  <c r="N1895" i="2"/>
  <c r="N1894" i="2"/>
  <c r="N1893" i="2"/>
  <c r="N1908" i="2"/>
  <c r="N1907" i="2"/>
  <c r="N1906" i="2"/>
  <c r="N1905" i="2"/>
  <c r="N1918" i="2"/>
  <c r="N1917" i="2"/>
  <c r="N1916" i="2"/>
  <c r="N1915" i="2"/>
  <c r="N1914" i="2"/>
  <c r="N1913" i="2"/>
  <c r="N1912" i="2"/>
  <c r="N1911" i="2"/>
  <c r="N1910" i="2"/>
  <c r="N1909" i="2"/>
  <c r="N1920" i="2"/>
  <c r="N1919" i="2"/>
  <c r="N1923" i="2"/>
  <c r="N1922" i="2"/>
  <c r="N1921" i="2"/>
  <c r="N1929" i="2"/>
  <c r="N1928" i="2"/>
  <c r="N1927" i="2"/>
  <c r="N1926" i="2"/>
  <c r="N1925" i="2"/>
  <c r="N1924" i="2"/>
  <c r="N1937" i="2"/>
  <c r="N1936" i="2"/>
  <c r="N1935" i="2"/>
  <c r="N1934" i="2"/>
  <c r="N1933" i="2"/>
  <c r="N1932" i="2"/>
  <c r="N1931" i="2"/>
  <c r="N1930" i="2"/>
  <c r="N1943" i="2"/>
  <c r="N1942" i="2"/>
  <c r="N1941" i="2"/>
  <c r="N1940" i="2"/>
  <c r="N1939" i="2"/>
  <c r="N1938" i="2"/>
  <c r="N1948" i="2"/>
  <c r="N1947" i="2"/>
  <c r="N1946" i="2"/>
  <c r="N1945" i="2"/>
  <c r="N1944" i="2"/>
  <c r="N1954" i="2"/>
  <c r="N1953" i="2"/>
  <c r="N1952" i="2"/>
  <c r="N1951" i="2"/>
  <c r="N1950" i="2"/>
  <c r="N1949" i="2"/>
  <c r="N1962" i="2"/>
  <c r="N1961" i="2"/>
  <c r="N1960" i="2"/>
  <c r="N1959" i="2"/>
  <c r="N1958" i="2"/>
  <c r="N1957" i="2"/>
  <c r="N1956" i="2"/>
  <c r="N1955" i="2"/>
  <c r="N1965" i="2"/>
  <c r="N1964" i="2"/>
  <c r="N1963" i="2"/>
  <c r="N1969" i="2"/>
  <c r="N1968" i="2"/>
  <c r="N1967" i="2"/>
  <c r="N1966" i="2"/>
  <c r="N1975" i="2"/>
  <c r="N1974" i="2"/>
  <c r="N1973" i="2"/>
  <c r="N1972" i="2"/>
  <c r="N1971" i="2"/>
  <c r="N1970" i="2"/>
  <c r="N1982" i="2"/>
  <c r="N1981" i="2"/>
  <c r="N1980" i="2"/>
  <c r="N1979" i="2"/>
  <c r="N1978" i="2"/>
  <c r="N1977" i="2"/>
  <c r="N1976" i="2"/>
  <c r="N1985" i="2"/>
  <c r="N1984" i="2"/>
  <c r="N1983" i="2"/>
  <c r="N1991" i="2"/>
  <c r="N1990" i="2"/>
  <c r="N1989" i="2"/>
  <c r="N1988" i="2"/>
  <c r="N1987" i="2"/>
  <c r="N1986" i="2"/>
  <c r="N2001" i="2"/>
  <c r="N2000" i="2"/>
  <c r="N1999" i="2"/>
  <c r="N1998" i="2"/>
  <c r="N1997" i="2"/>
  <c r="N1996" i="2"/>
  <c r="N1995" i="2"/>
  <c r="N1994" i="2"/>
  <c r="N1993" i="2"/>
  <c r="N1992" i="2"/>
  <c r="M1992" i="2"/>
  <c r="M1993" i="2"/>
  <c r="M1994" i="2"/>
  <c r="M1995" i="2"/>
  <c r="M1996" i="2"/>
  <c r="M1997" i="2"/>
  <c r="M1998" i="2"/>
  <c r="M1999" i="2"/>
  <c r="M2000" i="2"/>
  <c r="M2001" i="2"/>
  <c r="M1986" i="2"/>
  <c r="M1987" i="2"/>
  <c r="M1988" i="2"/>
  <c r="M1989" i="2"/>
  <c r="M1990" i="2"/>
  <c r="M1991" i="2"/>
  <c r="M1983" i="2"/>
  <c r="M1984" i="2"/>
  <c r="M1985" i="2"/>
  <c r="M1976" i="2"/>
  <c r="M1977" i="2"/>
  <c r="M1978" i="2"/>
  <c r="M1979" i="2"/>
  <c r="M1980" i="2"/>
  <c r="M1981" i="2"/>
  <c r="M1982" i="2"/>
  <c r="M1970" i="2"/>
  <c r="M1971" i="2"/>
  <c r="M1972" i="2"/>
  <c r="M1973" i="2"/>
  <c r="M1974" i="2"/>
  <c r="M1975" i="2"/>
  <c r="M1966" i="2"/>
  <c r="M1967" i="2"/>
  <c r="M1968" i="2"/>
  <c r="M1969" i="2"/>
  <c r="M1963" i="2"/>
  <c r="M1964" i="2"/>
  <c r="M1965" i="2"/>
  <c r="M1955" i="2"/>
  <c r="M1956" i="2"/>
  <c r="M1957" i="2"/>
  <c r="M1958" i="2"/>
  <c r="M1959" i="2"/>
  <c r="M1960" i="2"/>
  <c r="M1961" i="2"/>
  <c r="M1962" i="2"/>
  <c r="M1949" i="2"/>
  <c r="M1950" i="2"/>
  <c r="M1951" i="2"/>
  <c r="M1952" i="2"/>
  <c r="M1953" i="2"/>
  <c r="M1954" i="2"/>
  <c r="M1944" i="2"/>
  <c r="M1945" i="2"/>
  <c r="M1946" i="2"/>
  <c r="M1947" i="2"/>
  <c r="M1948" i="2"/>
  <c r="M1938" i="2"/>
  <c r="M1939" i="2"/>
  <c r="M1940" i="2"/>
  <c r="M1941" i="2"/>
  <c r="M1942" i="2"/>
  <c r="M1943" i="2"/>
  <c r="M1930" i="2"/>
  <c r="M1931" i="2"/>
  <c r="M1932" i="2"/>
  <c r="M1933" i="2"/>
  <c r="M1934" i="2"/>
  <c r="M1935" i="2"/>
  <c r="M1936" i="2"/>
  <c r="M1937" i="2"/>
  <c r="M1924" i="2"/>
  <c r="M1925" i="2"/>
  <c r="M1926" i="2"/>
  <c r="M1927" i="2"/>
  <c r="M1928" i="2"/>
  <c r="M1929" i="2"/>
  <c r="M1921" i="2"/>
  <c r="M1922" i="2"/>
  <c r="M1923" i="2"/>
  <c r="M1919" i="2"/>
  <c r="M1920" i="2"/>
  <c r="M1909" i="2"/>
  <c r="M1910" i="2"/>
  <c r="M1911" i="2"/>
  <c r="M1912" i="2"/>
  <c r="M1913" i="2"/>
  <c r="M1914" i="2"/>
  <c r="M1915" i="2"/>
  <c r="M1916" i="2"/>
  <c r="M1917" i="2"/>
  <c r="M1918" i="2"/>
  <c r="M1905" i="2"/>
  <c r="M1906" i="2"/>
  <c r="M1907" i="2"/>
  <c r="M1908" i="2"/>
  <c r="M1893" i="2"/>
  <c r="M1894" i="2"/>
  <c r="M1895" i="2"/>
  <c r="M1896" i="2"/>
  <c r="M1897" i="2"/>
  <c r="M1898" i="2"/>
  <c r="M1899" i="2"/>
  <c r="M1900" i="2"/>
  <c r="M1901" i="2"/>
  <c r="M1902" i="2"/>
  <c r="M1903" i="2"/>
  <c r="M1904" i="2"/>
  <c r="M1888" i="2"/>
  <c r="M1889" i="2"/>
  <c r="M1890" i="2"/>
  <c r="M1891" i="2"/>
  <c r="M1892" i="2"/>
  <c r="M1883" i="2"/>
  <c r="M1884" i="2"/>
  <c r="M1885" i="2"/>
  <c r="M1886" i="2"/>
  <c r="M1887" i="2"/>
  <c r="M1879" i="2"/>
  <c r="M1880" i="2"/>
  <c r="M1881" i="2"/>
  <c r="M1882" i="2"/>
  <c r="M1875" i="2"/>
  <c r="M1876" i="2"/>
  <c r="M1877" i="2"/>
  <c r="M1878" i="2"/>
  <c r="M1870" i="2"/>
  <c r="M1871" i="2"/>
  <c r="M1872" i="2"/>
  <c r="M1873" i="2"/>
  <c r="M1874" i="2"/>
  <c r="M1864" i="2"/>
  <c r="M1865" i="2"/>
  <c r="M1866" i="2"/>
  <c r="M1867" i="2"/>
  <c r="M1868" i="2"/>
  <c r="M1869" i="2"/>
  <c r="M1859" i="2"/>
  <c r="M1860" i="2"/>
  <c r="M1861" i="2"/>
  <c r="M1862" i="2"/>
  <c r="M1863" i="2"/>
  <c r="M1854" i="2"/>
  <c r="M1855" i="2"/>
  <c r="M1856" i="2"/>
  <c r="M1857" i="2"/>
  <c r="M1858" i="2"/>
  <c r="M1850" i="2"/>
  <c r="M1851" i="2"/>
  <c r="M1852" i="2"/>
  <c r="M1853" i="2"/>
  <c r="M1847" i="2"/>
  <c r="M1848" i="2"/>
  <c r="M1849" i="2"/>
  <c r="M1845" i="2"/>
  <c r="M1846" i="2"/>
  <c r="M1841" i="2"/>
  <c r="M1842" i="2"/>
  <c r="M1843" i="2"/>
  <c r="M1844" i="2"/>
  <c r="M1840" i="2"/>
  <c r="M1831" i="2"/>
  <c r="M1832" i="2"/>
  <c r="M1833" i="2"/>
  <c r="M1834" i="2"/>
  <c r="M1835" i="2"/>
  <c r="M1836" i="2"/>
  <c r="M1837" i="2"/>
  <c r="M1838" i="2"/>
  <c r="M1839" i="2"/>
  <c r="M1829" i="2"/>
  <c r="M1830" i="2"/>
  <c r="M1827" i="2"/>
  <c r="M1828" i="2"/>
  <c r="M1823" i="2"/>
  <c r="M1824" i="2"/>
  <c r="M1825" i="2"/>
  <c r="M1826" i="2"/>
  <c r="M1818" i="2"/>
  <c r="M1819" i="2"/>
  <c r="M1820" i="2"/>
  <c r="M1821" i="2"/>
  <c r="M1822" i="2"/>
  <c r="M1810" i="2"/>
  <c r="M1811" i="2"/>
  <c r="M1812" i="2"/>
  <c r="M1813" i="2"/>
  <c r="M1814" i="2"/>
  <c r="M1815" i="2"/>
  <c r="M1816" i="2"/>
  <c r="M1817" i="2"/>
  <c r="M1806" i="2"/>
  <c r="M1807" i="2"/>
  <c r="M1808" i="2"/>
  <c r="M1809" i="2"/>
  <c r="M1801" i="2"/>
  <c r="M1802" i="2"/>
  <c r="M1803" i="2"/>
  <c r="M1804" i="2"/>
  <c r="M1805" i="2"/>
  <c r="M1795" i="2"/>
  <c r="M1796" i="2"/>
  <c r="M1797" i="2"/>
  <c r="M1798" i="2"/>
  <c r="M1799" i="2"/>
  <c r="M1800" i="2"/>
  <c r="M1793" i="2"/>
  <c r="M1794" i="2"/>
  <c r="M1785" i="2"/>
  <c r="M1786" i="2"/>
  <c r="M1787" i="2"/>
  <c r="M1788" i="2"/>
  <c r="M1789" i="2"/>
  <c r="M1790" i="2"/>
  <c r="M1791" i="2"/>
  <c r="M1792" i="2"/>
  <c r="M1779" i="2"/>
  <c r="M1780" i="2"/>
  <c r="M1781" i="2"/>
  <c r="M1782" i="2"/>
  <c r="M1783" i="2"/>
  <c r="M1784" i="2"/>
  <c r="M1770" i="2"/>
  <c r="M1771" i="2"/>
  <c r="M1772" i="2"/>
  <c r="M1773" i="2"/>
  <c r="M1774" i="2"/>
  <c r="M1775" i="2"/>
  <c r="M1776" i="2"/>
  <c r="M1777" i="2"/>
  <c r="M1778" i="2"/>
  <c r="M1766" i="2"/>
  <c r="M1767" i="2"/>
  <c r="M1768" i="2"/>
  <c r="M1769" i="2"/>
  <c r="M1761" i="2"/>
  <c r="M1762" i="2"/>
  <c r="M1763" i="2"/>
  <c r="M1764" i="2"/>
  <c r="M1765" i="2"/>
  <c r="M1753" i="2"/>
  <c r="M1754" i="2"/>
  <c r="M1755" i="2"/>
  <c r="M1756" i="2"/>
  <c r="M1757" i="2"/>
  <c r="M1758" i="2"/>
  <c r="M1759" i="2"/>
  <c r="M1760" i="2"/>
  <c r="M1750" i="2"/>
  <c r="M1751" i="2"/>
  <c r="M1752" i="2"/>
  <c r="M1743" i="2"/>
  <c r="M1744" i="2"/>
  <c r="M1745" i="2"/>
  <c r="M1746" i="2"/>
  <c r="M1747" i="2"/>
  <c r="M1748" i="2"/>
  <c r="M1749" i="2"/>
  <c r="M1740" i="2"/>
  <c r="M1741" i="2"/>
  <c r="M1742" i="2"/>
  <c r="M1739" i="2"/>
  <c r="M1738" i="2"/>
  <c r="M1735" i="2"/>
  <c r="M1736" i="2"/>
  <c r="M1737" i="2"/>
  <c r="M1734" i="2"/>
  <c r="M1730" i="2"/>
  <c r="M1731" i="2"/>
  <c r="M1732" i="2"/>
  <c r="M1733" i="2"/>
  <c r="M1725" i="2"/>
  <c r="M1726" i="2"/>
  <c r="M1727" i="2"/>
  <c r="M1728" i="2"/>
  <c r="M1729" i="2"/>
  <c r="M1722" i="2"/>
  <c r="M1723" i="2"/>
  <c r="M1724" i="2"/>
  <c r="M1716" i="2"/>
  <c r="M1717" i="2"/>
  <c r="M1718" i="2"/>
  <c r="M1719" i="2"/>
  <c r="M1720" i="2"/>
  <c r="M1721" i="2"/>
  <c r="M1710" i="2"/>
  <c r="M1711" i="2"/>
  <c r="M1712" i="2"/>
  <c r="M1713" i="2"/>
  <c r="M1714" i="2"/>
  <c r="M1715" i="2"/>
  <c r="M1704" i="2"/>
  <c r="M1705" i="2"/>
  <c r="M1706" i="2"/>
  <c r="M1707" i="2"/>
  <c r="M1708" i="2"/>
  <c r="M1709" i="2"/>
  <c r="M1701" i="2"/>
  <c r="M1702" i="2"/>
  <c r="M1703" i="2"/>
  <c r="M1696" i="2"/>
  <c r="M1697" i="2"/>
  <c r="M1698" i="2"/>
  <c r="M1699" i="2"/>
  <c r="M1700" i="2"/>
  <c r="M1691" i="2"/>
  <c r="M1692" i="2"/>
  <c r="M1693" i="2"/>
  <c r="M1694" i="2"/>
  <c r="M1695" i="2"/>
  <c r="M1679" i="2"/>
  <c r="M1680" i="2"/>
  <c r="M1681" i="2"/>
  <c r="M1682" i="2"/>
  <c r="M1683" i="2"/>
  <c r="M1684" i="2"/>
  <c r="M1685" i="2"/>
  <c r="M1686" i="2"/>
  <c r="M1687" i="2"/>
  <c r="M1688" i="2"/>
  <c r="M1689" i="2"/>
  <c r="M1690" i="2"/>
  <c r="M1676" i="2"/>
  <c r="M1677" i="2"/>
  <c r="M1678" i="2"/>
  <c r="M1673" i="2"/>
  <c r="M1674" i="2"/>
  <c r="M1675" i="2"/>
  <c r="M1666" i="2"/>
  <c r="M1667" i="2"/>
  <c r="M1668" i="2"/>
  <c r="M1669" i="2"/>
  <c r="M1670" i="2"/>
  <c r="M1671" i="2"/>
  <c r="M1672" i="2"/>
  <c r="M1659" i="2"/>
  <c r="M1660" i="2"/>
  <c r="M1661" i="2"/>
  <c r="M1662" i="2"/>
  <c r="M1663" i="2"/>
  <c r="M1664" i="2"/>
  <c r="M1665" i="2"/>
  <c r="M1649" i="2"/>
  <c r="M1650" i="2"/>
  <c r="M1651" i="2"/>
  <c r="M1652" i="2"/>
  <c r="M1653" i="2"/>
  <c r="M1654" i="2"/>
  <c r="M1655" i="2"/>
  <c r="M1656" i="2"/>
  <c r="M1657" i="2"/>
  <c r="M1658" i="2"/>
  <c r="M1640" i="2"/>
  <c r="M1641" i="2"/>
  <c r="M1642" i="2"/>
  <c r="M1643" i="2"/>
  <c r="M1644" i="2"/>
  <c r="M1645" i="2"/>
  <c r="M1646" i="2"/>
  <c r="M1647" i="2"/>
  <c r="M1648" i="2"/>
  <c r="M1633" i="2"/>
  <c r="M1634" i="2"/>
  <c r="M1635" i="2"/>
  <c r="M1636" i="2"/>
  <c r="M1637" i="2"/>
  <c r="M1638" i="2"/>
  <c r="M1639" i="2"/>
  <c r="M1626" i="2"/>
  <c r="M1627" i="2"/>
  <c r="M1628" i="2"/>
  <c r="M1629" i="2"/>
  <c r="M1630" i="2"/>
  <c r="M1631" i="2"/>
  <c r="M1632" i="2"/>
  <c r="M1621" i="2"/>
  <c r="M1622" i="2"/>
  <c r="M1623" i="2"/>
  <c r="M1624" i="2"/>
  <c r="M1625" i="2"/>
  <c r="M1613" i="2"/>
  <c r="M1614" i="2"/>
  <c r="M1615" i="2"/>
  <c r="M1616" i="2"/>
  <c r="M1617" i="2"/>
  <c r="M1618" i="2"/>
  <c r="M1619" i="2"/>
  <c r="M1620" i="2"/>
  <c r="M1610" i="2"/>
  <c r="M1611" i="2"/>
  <c r="M1612" i="2"/>
  <c r="M1605" i="2"/>
  <c r="M1606" i="2"/>
  <c r="M1607" i="2"/>
  <c r="M1608" i="2"/>
  <c r="M1609" i="2"/>
  <c r="M1594" i="2"/>
  <c r="M1595" i="2"/>
  <c r="M1596" i="2"/>
  <c r="M1597" i="2"/>
  <c r="M1598" i="2"/>
  <c r="M1599" i="2"/>
  <c r="M1600" i="2"/>
  <c r="M1601" i="2"/>
  <c r="M1602" i="2"/>
  <c r="M1603" i="2"/>
  <c r="M1604" i="2"/>
  <c r="M1587" i="2"/>
  <c r="M1588" i="2"/>
  <c r="M1589" i="2"/>
  <c r="M1590" i="2"/>
  <c r="M1591" i="2"/>
  <c r="M1592" i="2"/>
  <c r="M1593" i="2"/>
  <c r="M1581" i="2"/>
  <c r="M1582" i="2"/>
  <c r="M1583" i="2"/>
  <c r="M1584" i="2"/>
  <c r="M1585" i="2"/>
  <c r="M1586" i="2"/>
  <c r="M1575" i="2"/>
  <c r="M1576" i="2"/>
  <c r="M1577" i="2"/>
  <c r="M1578" i="2"/>
  <c r="M1579" i="2"/>
  <c r="M1580" i="2"/>
  <c r="M1569" i="2"/>
  <c r="M1570" i="2"/>
  <c r="M1571" i="2"/>
  <c r="M1572" i="2"/>
  <c r="M1573" i="2"/>
  <c r="M1574" i="2"/>
  <c r="M1562" i="2"/>
  <c r="M1563" i="2"/>
  <c r="M1564" i="2"/>
  <c r="M1565" i="2"/>
  <c r="M1566" i="2"/>
  <c r="M1567" i="2"/>
  <c r="M1568" i="2"/>
  <c r="M1558" i="2"/>
  <c r="M1559" i="2"/>
  <c r="M1560" i="2"/>
  <c r="M1561" i="2"/>
  <c r="M1548" i="2"/>
  <c r="M1549" i="2"/>
  <c r="M1550" i="2"/>
  <c r="M1551" i="2"/>
  <c r="M1552" i="2"/>
  <c r="M1553" i="2"/>
  <c r="M1554" i="2"/>
  <c r="M1555" i="2"/>
  <c r="M1556" i="2"/>
  <c r="M1557" i="2"/>
  <c r="M1543" i="2"/>
  <c r="M1544" i="2"/>
  <c r="M1545" i="2"/>
  <c r="M1546" i="2"/>
  <c r="M1547" i="2"/>
  <c r="M1536" i="2"/>
  <c r="M1537" i="2"/>
  <c r="M1538" i="2"/>
  <c r="M1539" i="2"/>
  <c r="M1540" i="2"/>
  <c r="M1541" i="2"/>
  <c r="M1542" i="2"/>
  <c r="M1531" i="2"/>
  <c r="M1532" i="2"/>
  <c r="M1533" i="2"/>
  <c r="M1534" i="2"/>
  <c r="M1535" i="2"/>
  <c r="M1524" i="2"/>
  <c r="M1525" i="2"/>
  <c r="M1526" i="2"/>
  <c r="M1527" i="2"/>
  <c r="M1528" i="2"/>
  <c r="M1529" i="2"/>
  <c r="M1530" i="2"/>
  <c r="M1521" i="2"/>
  <c r="M1522" i="2"/>
  <c r="M1523" i="2"/>
  <c r="M1518" i="2"/>
  <c r="M1519" i="2"/>
  <c r="M1520" i="2"/>
  <c r="M1509" i="2"/>
  <c r="M1510" i="2"/>
  <c r="M1511" i="2"/>
  <c r="M1512" i="2"/>
  <c r="M1513" i="2"/>
  <c r="M1514" i="2"/>
  <c r="M1515" i="2"/>
  <c r="M1516" i="2"/>
  <c r="M1517" i="2"/>
  <c r="M1504" i="2"/>
  <c r="M1505" i="2"/>
  <c r="M1506" i="2"/>
  <c r="M1507" i="2"/>
  <c r="M1508" i="2"/>
  <c r="M1501" i="2"/>
  <c r="M1502" i="2"/>
  <c r="M1503" i="2"/>
  <c r="M1497" i="2"/>
  <c r="M1498" i="2"/>
  <c r="M1499" i="2"/>
  <c r="M1500" i="2"/>
  <c r="M1486" i="2"/>
  <c r="M1487" i="2"/>
  <c r="M1488" i="2"/>
  <c r="M1489" i="2"/>
  <c r="M1490" i="2"/>
  <c r="M1491" i="2"/>
  <c r="M1492" i="2"/>
  <c r="M1493" i="2"/>
  <c r="M1494" i="2"/>
  <c r="M1495" i="2"/>
  <c r="M1496" i="2"/>
  <c r="M1479" i="2"/>
  <c r="M1480" i="2"/>
  <c r="M1481" i="2"/>
  <c r="M1482" i="2"/>
  <c r="M1483" i="2"/>
  <c r="M1484" i="2"/>
  <c r="M1485" i="2"/>
  <c r="M1474" i="2"/>
  <c r="M1475" i="2"/>
  <c r="M1476" i="2"/>
  <c r="M1477" i="2"/>
  <c r="M1478" i="2"/>
  <c r="M1469" i="2"/>
  <c r="M1470" i="2"/>
  <c r="M1471" i="2"/>
  <c r="M1472" i="2"/>
  <c r="M1473" i="2"/>
  <c r="M1463" i="2"/>
  <c r="M1464" i="2"/>
  <c r="M1465" i="2"/>
  <c r="M1466" i="2"/>
  <c r="M1467" i="2"/>
  <c r="M1468" i="2"/>
  <c r="M1454" i="2"/>
  <c r="M1455" i="2"/>
  <c r="M1456" i="2"/>
  <c r="M1457" i="2"/>
  <c r="M1458" i="2"/>
  <c r="M1459" i="2"/>
  <c r="M1460" i="2"/>
  <c r="M1461" i="2"/>
  <c r="M1462" i="2"/>
  <c r="M1445" i="2"/>
  <c r="M1446" i="2"/>
  <c r="M1447" i="2"/>
  <c r="M1448" i="2"/>
  <c r="M1449" i="2"/>
  <c r="M1450" i="2"/>
  <c r="M1451" i="2"/>
  <c r="M1452" i="2"/>
  <c r="M1453" i="2"/>
  <c r="M1442" i="2"/>
  <c r="M1443" i="2"/>
  <c r="M1444" i="2"/>
  <c r="M1437" i="2"/>
  <c r="M1438" i="2"/>
  <c r="M1439" i="2"/>
  <c r="M1440" i="2"/>
  <c r="M1441" i="2"/>
  <c r="M1428" i="2"/>
  <c r="M1429" i="2"/>
  <c r="M1430" i="2"/>
  <c r="M1431" i="2"/>
  <c r="M1432" i="2"/>
  <c r="M1433" i="2"/>
  <c r="M1434" i="2"/>
  <c r="M1435" i="2"/>
  <c r="M1436" i="2"/>
  <c r="M1424" i="2"/>
  <c r="M1425" i="2"/>
  <c r="M1426" i="2"/>
  <c r="M1427" i="2"/>
  <c r="M1421" i="2"/>
  <c r="M1422" i="2"/>
  <c r="M1423" i="2"/>
  <c r="M1417" i="2"/>
  <c r="M1418" i="2"/>
  <c r="M1419" i="2"/>
  <c r="M1420" i="2"/>
  <c r="M1409" i="2"/>
  <c r="M1410" i="2"/>
  <c r="M1411" i="2"/>
  <c r="M1412" i="2"/>
  <c r="M1413" i="2"/>
  <c r="M1414" i="2"/>
  <c r="M1415" i="2"/>
  <c r="M1416" i="2"/>
  <c r="M1405" i="2"/>
  <c r="M1406" i="2"/>
  <c r="M1407" i="2"/>
  <c r="M1408" i="2"/>
  <c r="M1398" i="2"/>
  <c r="M1399" i="2"/>
  <c r="M1400" i="2"/>
  <c r="M1401" i="2"/>
  <c r="M1402" i="2"/>
  <c r="M1403" i="2"/>
  <c r="M1404" i="2"/>
  <c r="M1394" i="2"/>
  <c r="M1395" i="2"/>
  <c r="M1396" i="2"/>
  <c r="M1397" i="2"/>
  <c r="M1386" i="2"/>
  <c r="M1387" i="2"/>
  <c r="M1388" i="2"/>
  <c r="M1389" i="2"/>
  <c r="M1390" i="2"/>
  <c r="M1391" i="2"/>
  <c r="M1392" i="2"/>
  <c r="M1393" i="2"/>
  <c r="M1382" i="2"/>
  <c r="M1383" i="2"/>
  <c r="M1384" i="2"/>
  <c r="M1385" i="2"/>
  <c r="M1379" i="2"/>
  <c r="M1380" i="2"/>
  <c r="M1381" i="2"/>
  <c r="M1369" i="2"/>
  <c r="M1370" i="2"/>
  <c r="M1371" i="2"/>
  <c r="M1372" i="2"/>
  <c r="M1373" i="2"/>
  <c r="M1374" i="2"/>
  <c r="M1375" i="2"/>
  <c r="M1376" i="2"/>
  <c r="M1377" i="2"/>
  <c r="M1378" i="2"/>
  <c r="M1363" i="2"/>
  <c r="M1364" i="2"/>
  <c r="M1365" i="2"/>
  <c r="M1366" i="2"/>
  <c r="M1367" i="2"/>
  <c r="M1368" i="2"/>
  <c r="M1359" i="2"/>
  <c r="M1360" i="2"/>
  <c r="M1361" i="2"/>
  <c r="M1362" i="2"/>
  <c r="M1356" i="2"/>
  <c r="M1357" i="2"/>
  <c r="M1358" i="2"/>
  <c r="M1345" i="2"/>
  <c r="M1346" i="2"/>
  <c r="M1347" i="2"/>
  <c r="M1348" i="2"/>
  <c r="M1349" i="2"/>
  <c r="M1350" i="2"/>
  <c r="M1351" i="2"/>
  <c r="M1352" i="2"/>
  <c r="M1353" i="2"/>
  <c r="M1354" i="2"/>
  <c r="M1355" i="2"/>
  <c r="M1339" i="2"/>
  <c r="M1340" i="2"/>
  <c r="M1341" i="2"/>
  <c r="M1342" i="2"/>
  <c r="M1343" i="2"/>
  <c r="M1344" i="2"/>
  <c r="M1334" i="2"/>
  <c r="M1335" i="2"/>
  <c r="M1336" i="2"/>
  <c r="M1337" i="2"/>
  <c r="M1338" i="2"/>
  <c r="M1329" i="2"/>
  <c r="M1330" i="2"/>
  <c r="M1331" i="2"/>
  <c r="M1332" i="2"/>
  <c r="M1333" i="2"/>
  <c r="M1326" i="2"/>
  <c r="M1327" i="2"/>
  <c r="M1328" i="2"/>
  <c r="M1321" i="2"/>
  <c r="M1322" i="2"/>
  <c r="M1323" i="2"/>
  <c r="M1324" i="2"/>
  <c r="M1325" i="2"/>
  <c r="M1316" i="2"/>
  <c r="M1317" i="2"/>
  <c r="M1318" i="2"/>
  <c r="M1319" i="2"/>
  <c r="M1320" i="2"/>
  <c r="M1312" i="2"/>
  <c r="M1313" i="2"/>
  <c r="M1314" i="2"/>
  <c r="M1315" i="2"/>
  <c r="M1305" i="2"/>
  <c r="M1306" i="2"/>
  <c r="M1307" i="2"/>
  <c r="M1308" i="2"/>
  <c r="M1309" i="2"/>
  <c r="M1310" i="2"/>
  <c r="M1311" i="2"/>
  <c r="M1298" i="2"/>
  <c r="M1299" i="2"/>
  <c r="M1300" i="2"/>
  <c r="M1301" i="2"/>
  <c r="M1302" i="2"/>
  <c r="M1303" i="2"/>
  <c r="M1304" i="2"/>
  <c r="M1290" i="2"/>
  <c r="M1291" i="2"/>
  <c r="M1292" i="2"/>
  <c r="M1293" i="2"/>
  <c r="M1294" i="2"/>
  <c r="M1295" i="2"/>
  <c r="M1296" i="2"/>
  <c r="M1297" i="2"/>
  <c r="M1287" i="2"/>
  <c r="M1288" i="2"/>
  <c r="M1289" i="2"/>
  <c r="M1280" i="2"/>
  <c r="M1281" i="2"/>
  <c r="M1282" i="2"/>
  <c r="M1283" i="2"/>
  <c r="M1284" i="2"/>
  <c r="M1285" i="2"/>
  <c r="M1286" i="2"/>
  <c r="M1277" i="2"/>
  <c r="M1278" i="2"/>
  <c r="M1279" i="2"/>
  <c r="M1274" i="2"/>
  <c r="M1275" i="2"/>
  <c r="M1276" i="2"/>
  <c r="M1269" i="2"/>
  <c r="M1270" i="2"/>
  <c r="M1271" i="2"/>
  <c r="M1272" i="2"/>
  <c r="M1273" i="2"/>
  <c r="M1262" i="2"/>
  <c r="M1263" i="2"/>
  <c r="M1264" i="2"/>
  <c r="M1265" i="2"/>
  <c r="M1266" i="2"/>
  <c r="M1267" i="2"/>
  <c r="M1268" i="2"/>
  <c r="M1259" i="2"/>
  <c r="M1260" i="2"/>
  <c r="M1261" i="2"/>
  <c r="M1252" i="2"/>
  <c r="M1253" i="2"/>
  <c r="M1254" i="2"/>
  <c r="M1255" i="2"/>
  <c r="M1256" i="2"/>
  <c r="M1257" i="2"/>
  <c r="M1258" i="2"/>
  <c r="M1245" i="2"/>
  <c r="M1246" i="2"/>
  <c r="M1247" i="2"/>
  <c r="M1248" i="2"/>
  <c r="M1249" i="2"/>
  <c r="M1250" i="2"/>
  <c r="M1251" i="2"/>
  <c r="M1240" i="2"/>
  <c r="M1241" i="2"/>
  <c r="M1242" i="2"/>
  <c r="M1243" i="2"/>
  <c r="M1244" i="2"/>
  <c r="M1231" i="2"/>
  <c r="M1232" i="2"/>
  <c r="M1233" i="2"/>
  <c r="M1234" i="2"/>
  <c r="M1235" i="2"/>
  <c r="M1236" i="2"/>
  <c r="M1237" i="2"/>
  <c r="M1238" i="2"/>
  <c r="M1239" i="2"/>
  <c r="M1229" i="2"/>
  <c r="M1230" i="2"/>
  <c r="M1226" i="2"/>
  <c r="M1227" i="2"/>
  <c r="M1228" i="2"/>
  <c r="M1224" i="2"/>
  <c r="M1225" i="2"/>
  <c r="M1220" i="2"/>
  <c r="M1221" i="2"/>
  <c r="M1222" i="2"/>
  <c r="M1223" i="2"/>
  <c r="M1216" i="2"/>
  <c r="M1217" i="2"/>
  <c r="M1218" i="2"/>
  <c r="M1219" i="2"/>
  <c r="M1213" i="2"/>
  <c r="M1214" i="2"/>
  <c r="M1215" i="2"/>
  <c r="M1209" i="2"/>
  <c r="M1210" i="2"/>
  <c r="M1211" i="2"/>
  <c r="M1212" i="2"/>
  <c r="M1203" i="2"/>
  <c r="M1204" i="2"/>
  <c r="M1205" i="2"/>
  <c r="M1206" i="2"/>
  <c r="M1207" i="2"/>
  <c r="M1208" i="2"/>
  <c r="M1199" i="2"/>
  <c r="M1200" i="2"/>
  <c r="M1201" i="2"/>
  <c r="M1202" i="2"/>
  <c r="M1192" i="2"/>
  <c r="M1193" i="2"/>
  <c r="M1194" i="2"/>
  <c r="M1195" i="2"/>
  <c r="M1196" i="2"/>
  <c r="M1197" i="2"/>
  <c r="M1198" i="2"/>
  <c r="M1184" i="2"/>
  <c r="M1185" i="2"/>
  <c r="M1186" i="2"/>
  <c r="M1187" i="2"/>
  <c r="M1188" i="2"/>
  <c r="M1189" i="2"/>
  <c r="M1190" i="2"/>
  <c r="M1191" i="2"/>
  <c r="M1178" i="2"/>
  <c r="M1179" i="2"/>
  <c r="M1180" i="2"/>
  <c r="M1181" i="2"/>
  <c r="M1182" i="2"/>
  <c r="M1183" i="2"/>
  <c r="M1171" i="2"/>
  <c r="M1172" i="2"/>
  <c r="M1173" i="2"/>
  <c r="M1174" i="2"/>
  <c r="M1175" i="2"/>
  <c r="M1176" i="2"/>
  <c r="M1177" i="2"/>
  <c r="M1167" i="2"/>
  <c r="M1168" i="2"/>
  <c r="M1169" i="2"/>
  <c r="M1170" i="2"/>
  <c r="M1163" i="2"/>
  <c r="M1164" i="2"/>
  <c r="M1165" i="2"/>
  <c r="M1166" i="2"/>
  <c r="M1155" i="2"/>
  <c r="M1156" i="2"/>
  <c r="M1157" i="2"/>
  <c r="M1158" i="2"/>
  <c r="M1159" i="2"/>
  <c r="M1160" i="2"/>
  <c r="M1161" i="2"/>
  <c r="M1162" i="2"/>
  <c r="M1147" i="2"/>
  <c r="M1148" i="2"/>
  <c r="M1149" i="2"/>
  <c r="M1150" i="2"/>
  <c r="M1151" i="2"/>
  <c r="M1152" i="2"/>
  <c r="M1153" i="2"/>
  <c r="M1154" i="2"/>
  <c r="M1143" i="2"/>
  <c r="M1144" i="2"/>
  <c r="M1145" i="2"/>
  <c r="M1146" i="2"/>
  <c r="M1135" i="2"/>
  <c r="M1136" i="2"/>
  <c r="M1137" i="2"/>
  <c r="M1138" i="2"/>
  <c r="M1139" i="2"/>
  <c r="M1140" i="2"/>
  <c r="M1141" i="2"/>
  <c r="M1142" i="2"/>
  <c r="M1134" i="2"/>
  <c r="M1130" i="2"/>
  <c r="M1131" i="2"/>
  <c r="M1132" i="2"/>
  <c r="M1133" i="2"/>
  <c r="M1120" i="2"/>
  <c r="M1121" i="2"/>
  <c r="M1122" i="2"/>
  <c r="M1123" i="2"/>
  <c r="M1124" i="2"/>
  <c r="M1125" i="2"/>
  <c r="M1126" i="2"/>
  <c r="M1127" i="2"/>
  <c r="M1128" i="2"/>
  <c r="M1129" i="2"/>
  <c r="M1116" i="2"/>
  <c r="M1117" i="2"/>
  <c r="M1118" i="2"/>
  <c r="M1119" i="2"/>
  <c r="M1109" i="2"/>
  <c r="M1110" i="2"/>
  <c r="M1111" i="2"/>
  <c r="M1112" i="2"/>
  <c r="M1113" i="2"/>
  <c r="M1114" i="2"/>
  <c r="M1115" i="2"/>
  <c r="M1102" i="2"/>
  <c r="M1103" i="2"/>
  <c r="M1104" i="2"/>
  <c r="M1105" i="2"/>
  <c r="M1106" i="2"/>
  <c r="M1107" i="2"/>
  <c r="M1108" i="2"/>
  <c r="M1095" i="2"/>
  <c r="M1096" i="2"/>
  <c r="M1097" i="2"/>
  <c r="M1098" i="2"/>
  <c r="M1099" i="2"/>
  <c r="M1100" i="2"/>
  <c r="M1101" i="2"/>
  <c r="M1084" i="2"/>
  <c r="M1085" i="2"/>
  <c r="M1086" i="2"/>
  <c r="M1087" i="2"/>
  <c r="M1088" i="2"/>
  <c r="M1089" i="2"/>
  <c r="M1090" i="2"/>
  <c r="M1091" i="2"/>
  <c r="M1092" i="2"/>
  <c r="M1093" i="2"/>
  <c r="M1094" i="2"/>
  <c r="M1079" i="2"/>
  <c r="M1080" i="2"/>
  <c r="M1081" i="2"/>
  <c r="M1082" i="2"/>
  <c r="M1083" i="2"/>
  <c r="M1065" i="2"/>
  <c r="M1066" i="2"/>
  <c r="M1067" i="2"/>
  <c r="M1068" i="2"/>
  <c r="M1069" i="2"/>
  <c r="M1070" i="2"/>
  <c r="M1071" i="2"/>
  <c r="M1072" i="2"/>
  <c r="M1073" i="2"/>
  <c r="M1074" i="2"/>
  <c r="M1075" i="2"/>
  <c r="M1076" i="2"/>
  <c r="M1077" i="2"/>
  <c r="M1078" i="2"/>
  <c r="M1050" i="2"/>
  <c r="M1051" i="2"/>
  <c r="M1052" i="2"/>
  <c r="M1053" i="2"/>
  <c r="M1054" i="2"/>
  <c r="M1055" i="2"/>
  <c r="M1056" i="2"/>
  <c r="M1057" i="2"/>
  <c r="M1058" i="2"/>
  <c r="M1059" i="2"/>
  <c r="M1060" i="2"/>
  <c r="M1061" i="2"/>
  <c r="M1062" i="2"/>
  <c r="M1063" i="2"/>
  <c r="M1064" i="2"/>
  <c r="M1036" i="2"/>
  <c r="M1037" i="2"/>
  <c r="M1038" i="2"/>
  <c r="M1039" i="2"/>
  <c r="M1040" i="2"/>
  <c r="M1041" i="2"/>
  <c r="M1042" i="2"/>
  <c r="M1043" i="2"/>
  <c r="M1044" i="2"/>
  <c r="M1045" i="2"/>
  <c r="M1046" i="2"/>
  <c r="M1047" i="2"/>
  <c r="M1048" i="2"/>
  <c r="M1049" i="2"/>
  <c r="M1032" i="2"/>
  <c r="M1033" i="2"/>
  <c r="M1034" i="2"/>
  <c r="M1035" i="2"/>
  <c r="M1029" i="2"/>
  <c r="M1030" i="2"/>
  <c r="M1031" i="2"/>
  <c r="M1020" i="2"/>
  <c r="M1021" i="2"/>
  <c r="M1022" i="2"/>
  <c r="M1023" i="2"/>
  <c r="M1024" i="2"/>
  <c r="M1025" i="2"/>
  <c r="M1026" i="2"/>
  <c r="M1027" i="2"/>
  <c r="M1028" i="2"/>
  <c r="M1011" i="2"/>
  <c r="M1012" i="2"/>
  <c r="M1013" i="2"/>
  <c r="M1014" i="2"/>
  <c r="M1015" i="2"/>
  <c r="M1016" i="2"/>
  <c r="M1017" i="2"/>
  <c r="M1018" i="2"/>
  <c r="M1019" i="2"/>
  <c r="M1002" i="2"/>
  <c r="M1003" i="2"/>
  <c r="M1004" i="2"/>
  <c r="M1005" i="2"/>
  <c r="M1006" i="2"/>
  <c r="M1007" i="2"/>
  <c r="M1008" i="2"/>
  <c r="M1009" i="2"/>
  <c r="M1010" i="2"/>
  <c r="M996" i="2"/>
  <c r="M997" i="2"/>
  <c r="M998" i="2"/>
  <c r="M999" i="2"/>
  <c r="M1000" i="2"/>
  <c r="M1001" i="2"/>
  <c r="M991" i="2"/>
  <c r="M992" i="2"/>
  <c r="M993" i="2"/>
  <c r="M994" i="2"/>
  <c r="M995" i="2"/>
  <c r="M980" i="2"/>
  <c r="M981" i="2"/>
  <c r="M982" i="2"/>
  <c r="M983" i="2"/>
  <c r="M984" i="2"/>
  <c r="M985" i="2"/>
  <c r="M986" i="2"/>
  <c r="M987" i="2"/>
  <c r="M988" i="2"/>
  <c r="M989" i="2"/>
  <c r="M990" i="2"/>
  <c r="M978" i="2"/>
  <c r="M979" i="2"/>
  <c r="M973" i="2"/>
  <c r="M974" i="2"/>
  <c r="M975" i="2"/>
  <c r="M976" i="2"/>
  <c r="M977" i="2"/>
  <c r="M968" i="2"/>
  <c r="M969" i="2"/>
  <c r="M970" i="2"/>
  <c r="M971" i="2"/>
  <c r="M972" i="2"/>
  <c r="M963" i="2"/>
  <c r="M964" i="2"/>
  <c r="M965" i="2"/>
  <c r="M966" i="2"/>
  <c r="M967" i="2"/>
  <c r="M959" i="2"/>
  <c r="M960" i="2"/>
  <c r="M961" i="2"/>
  <c r="M962" i="2"/>
  <c r="M956" i="2"/>
  <c r="M957" i="2"/>
  <c r="M958" i="2"/>
  <c r="M950" i="2"/>
  <c r="M951" i="2"/>
  <c r="M952" i="2"/>
  <c r="M953" i="2"/>
  <c r="M954" i="2"/>
  <c r="M955" i="2"/>
  <c r="M946" i="2"/>
  <c r="M947" i="2"/>
  <c r="M948" i="2"/>
  <c r="M949" i="2"/>
  <c r="M944" i="2"/>
  <c r="M945" i="2"/>
  <c r="M939" i="2"/>
  <c r="M940" i="2"/>
  <c r="M941" i="2"/>
  <c r="M942" i="2"/>
  <c r="M943" i="2"/>
  <c r="M937" i="2"/>
  <c r="M938" i="2"/>
  <c r="M930" i="2"/>
  <c r="M931" i="2"/>
  <c r="M932" i="2"/>
  <c r="M933" i="2"/>
  <c r="M934" i="2"/>
  <c r="M935" i="2"/>
  <c r="M936" i="2"/>
  <c r="M925" i="2"/>
  <c r="M926" i="2"/>
  <c r="M927" i="2"/>
  <c r="M928" i="2"/>
  <c r="M929" i="2"/>
  <c r="M920" i="2"/>
  <c r="M921" i="2"/>
  <c r="M922" i="2"/>
  <c r="M923" i="2"/>
  <c r="M924" i="2"/>
  <c r="M912" i="2"/>
  <c r="M913" i="2"/>
  <c r="M914" i="2"/>
  <c r="M915" i="2"/>
  <c r="M916" i="2"/>
  <c r="M917" i="2"/>
  <c r="M918" i="2"/>
  <c r="M919" i="2"/>
  <c r="M910" i="2"/>
  <c r="M911" i="2"/>
  <c r="M904" i="2"/>
  <c r="M905" i="2"/>
  <c r="M906" i="2"/>
  <c r="M907" i="2"/>
  <c r="M908" i="2"/>
  <c r="M909" i="2"/>
  <c r="M900" i="2"/>
  <c r="M901" i="2"/>
  <c r="M902" i="2"/>
  <c r="M903" i="2"/>
  <c r="M893" i="2"/>
  <c r="M894" i="2"/>
  <c r="M895" i="2"/>
  <c r="M896" i="2"/>
  <c r="M897" i="2"/>
  <c r="M898" i="2"/>
  <c r="M899" i="2"/>
  <c r="M879" i="2"/>
  <c r="M880" i="2"/>
  <c r="M881" i="2"/>
  <c r="M882" i="2"/>
  <c r="M883" i="2"/>
  <c r="M884" i="2"/>
  <c r="M885" i="2"/>
  <c r="M886" i="2"/>
  <c r="M887" i="2"/>
  <c r="M888" i="2"/>
  <c r="M889" i="2"/>
  <c r="M890" i="2"/>
  <c r="M891" i="2"/>
  <c r="M892" i="2"/>
  <c r="M876" i="2"/>
  <c r="M877" i="2"/>
  <c r="M878" i="2"/>
  <c r="M873" i="2"/>
  <c r="M874" i="2"/>
  <c r="M875" i="2"/>
  <c r="M864" i="2"/>
  <c r="M865" i="2"/>
  <c r="M866" i="2"/>
  <c r="M867" i="2"/>
  <c r="M868" i="2"/>
  <c r="M869" i="2"/>
  <c r="M870" i="2"/>
  <c r="M871" i="2"/>
  <c r="M872" i="2"/>
  <c r="M861" i="2"/>
  <c r="M862" i="2"/>
  <c r="M863" i="2"/>
  <c r="M855" i="2"/>
  <c r="M856" i="2"/>
  <c r="M857" i="2"/>
  <c r="M858" i="2"/>
  <c r="M859" i="2"/>
  <c r="M860" i="2"/>
  <c r="M851" i="2"/>
  <c r="M852" i="2"/>
  <c r="M853" i="2"/>
  <c r="M854" i="2"/>
  <c r="M847" i="2"/>
  <c r="M848" i="2"/>
  <c r="M849" i="2"/>
  <c r="M850" i="2"/>
  <c r="M844" i="2"/>
  <c r="M845" i="2"/>
  <c r="M846" i="2"/>
  <c r="M842" i="2"/>
  <c r="M843" i="2"/>
  <c r="M840" i="2"/>
  <c r="M841" i="2"/>
  <c r="M834" i="2"/>
  <c r="M835" i="2"/>
  <c r="M836" i="2"/>
  <c r="M837" i="2"/>
  <c r="M838" i="2"/>
  <c r="M839" i="2"/>
  <c r="M831" i="2"/>
  <c r="M832" i="2"/>
  <c r="M833" i="2"/>
  <c r="M822" i="2"/>
  <c r="M823" i="2"/>
  <c r="M824" i="2"/>
  <c r="M825" i="2"/>
  <c r="M826" i="2"/>
  <c r="M827" i="2"/>
  <c r="M828" i="2"/>
  <c r="M829" i="2"/>
  <c r="M830" i="2"/>
  <c r="M818" i="2"/>
  <c r="M819" i="2"/>
  <c r="M820" i="2"/>
  <c r="M821" i="2"/>
  <c r="M815" i="2"/>
  <c r="M816" i="2"/>
  <c r="M817" i="2"/>
  <c r="M810" i="2"/>
  <c r="M811" i="2"/>
  <c r="M812" i="2"/>
  <c r="M813" i="2"/>
  <c r="M814" i="2"/>
  <c r="M805" i="2"/>
  <c r="M806" i="2"/>
  <c r="M807" i="2"/>
  <c r="M808" i="2"/>
  <c r="M809" i="2"/>
  <c r="M801" i="2"/>
  <c r="M802" i="2"/>
  <c r="M803" i="2"/>
  <c r="M804" i="2"/>
  <c r="M799" i="2"/>
  <c r="M800" i="2"/>
  <c r="M792" i="2"/>
  <c r="M793" i="2"/>
  <c r="M794" i="2"/>
  <c r="M795" i="2"/>
  <c r="M796" i="2"/>
  <c r="M797" i="2"/>
  <c r="M798" i="2"/>
  <c r="M787" i="2"/>
  <c r="M788" i="2"/>
  <c r="M789" i="2"/>
  <c r="M790" i="2"/>
  <c r="M791" i="2"/>
  <c r="M781" i="2"/>
  <c r="M782" i="2"/>
  <c r="M783" i="2"/>
  <c r="M784" i="2"/>
  <c r="M785" i="2"/>
  <c r="M786" i="2"/>
  <c r="M773" i="2"/>
  <c r="M774" i="2"/>
  <c r="M775" i="2"/>
  <c r="M776" i="2"/>
  <c r="M777" i="2"/>
  <c r="M778" i="2"/>
  <c r="M779" i="2"/>
  <c r="M780" i="2"/>
  <c r="M770" i="2"/>
  <c r="M771" i="2"/>
  <c r="M772" i="2"/>
  <c r="M759" i="2"/>
  <c r="M760" i="2"/>
  <c r="M761" i="2"/>
  <c r="M762" i="2"/>
  <c r="M763" i="2"/>
  <c r="M764" i="2"/>
  <c r="M765" i="2"/>
  <c r="M766" i="2"/>
  <c r="M767" i="2"/>
  <c r="M768" i="2"/>
  <c r="M769" i="2"/>
  <c r="M755" i="2"/>
  <c r="M756" i="2"/>
  <c r="M757" i="2"/>
  <c r="M758" i="2"/>
  <c r="M753" i="2"/>
  <c r="M754" i="2"/>
  <c r="M743" i="2"/>
  <c r="M744" i="2"/>
  <c r="M745" i="2"/>
  <c r="M746" i="2"/>
  <c r="M747" i="2"/>
  <c r="M748" i="2"/>
  <c r="M749" i="2"/>
  <c r="M750" i="2"/>
  <c r="M751" i="2"/>
  <c r="M752" i="2"/>
  <c r="M742" i="2"/>
  <c r="M738" i="2"/>
  <c r="M739" i="2"/>
  <c r="M740" i="2"/>
  <c r="M741" i="2"/>
  <c r="M732" i="2"/>
  <c r="M733" i="2"/>
  <c r="M734" i="2"/>
  <c r="M735" i="2"/>
  <c r="M736" i="2"/>
  <c r="M737" i="2"/>
  <c r="M723" i="2"/>
  <c r="M724" i="2"/>
  <c r="M725" i="2"/>
  <c r="M726" i="2"/>
  <c r="M727" i="2"/>
  <c r="M728" i="2"/>
  <c r="M729" i="2"/>
  <c r="M730" i="2"/>
  <c r="M731" i="2"/>
  <c r="M714" i="2"/>
  <c r="M715" i="2"/>
  <c r="M716" i="2"/>
  <c r="M717" i="2"/>
  <c r="M718" i="2"/>
  <c r="M719" i="2"/>
  <c r="M720" i="2"/>
  <c r="M721" i="2"/>
  <c r="M722" i="2"/>
  <c r="M707" i="2"/>
  <c r="M708" i="2"/>
  <c r="M709" i="2"/>
  <c r="M710" i="2"/>
  <c r="M711" i="2"/>
  <c r="M712" i="2"/>
  <c r="M713" i="2"/>
  <c r="M702" i="2"/>
  <c r="M703" i="2"/>
  <c r="M704" i="2"/>
  <c r="M705" i="2"/>
  <c r="M706" i="2"/>
  <c r="M697" i="2"/>
  <c r="M698" i="2"/>
  <c r="M699" i="2"/>
  <c r="M700" i="2"/>
  <c r="M701" i="2"/>
  <c r="M689" i="2"/>
  <c r="M690" i="2"/>
  <c r="M691" i="2"/>
  <c r="M692" i="2"/>
  <c r="M693" i="2"/>
  <c r="M694" i="2"/>
  <c r="M695" i="2"/>
  <c r="M696" i="2"/>
  <c r="M685" i="2"/>
  <c r="M686" i="2"/>
  <c r="M687" i="2"/>
  <c r="M688" i="2"/>
  <c r="M680" i="2"/>
  <c r="M681" i="2"/>
  <c r="M682" i="2"/>
  <c r="M683" i="2"/>
  <c r="M684" i="2"/>
  <c r="M673" i="2"/>
  <c r="M674" i="2"/>
  <c r="M675" i="2"/>
  <c r="M676" i="2"/>
  <c r="M677" i="2"/>
  <c r="M678" i="2"/>
  <c r="M679" i="2"/>
  <c r="M671" i="2"/>
  <c r="M672" i="2"/>
  <c r="M663" i="2"/>
  <c r="M664" i="2"/>
  <c r="M665" i="2"/>
  <c r="M666" i="2"/>
  <c r="M667" i="2"/>
  <c r="M668" i="2"/>
  <c r="M669" i="2"/>
  <c r="M670" i="2"/>
  <c r="M655" i="2"/>
  <c r="M656" i="2"/>
  <c r="M657" i="2"/>
  <c r="M658" i="2"/>
  <c r="M659" i="2"/>
  <c r="M660" i="2"/>
  <c r="M661" i="2"/>
  <c r="M662" i="2"/>
  <c r="M651" i="2"/>
  <c r="M652" i="2"/>
  <c r="M653" i="2"/>
  <c r="M654" i="2"/>
  <c r="M647" i="2"/>
  <c r="M648" i="2"/>
  <c r="M649" i="2"/>
  <c r="M650" i="2"/>
  <c r="M641" i="2"/>
  <c r="M642" i="2"/>
  <c r="M643" i="2"/>
  <c r="M644" i="2"/>
  <c r="M645" i="2"/>
  <c r="M646" i="2"/>
  <c r="M635" i="2"/>
  <c r="M636" i="2"/>
  <c r="M637" i="2"/>
  <c r="M638" i="2"/>
  <c r="M639" i="2"/>
  <c r="M640" i="2"/>
  <c r="M628" i="2"/>
  <c r="M629" i="2"/>
  <c r="M630" i="2"/>
  <c r="M631" i="2"/>
  <c r="M632" i="2"/>
  <c r="M633" i="2"/>
  <c r="M634" i="2"/>
  <c r="M625" i="2"/>
  <c r="M626" i="2"/>
  <c r="M627" i="2"/>
  <c r="M623" i="2"/>
  <c r="M624" i="2"/>
  <c r="M616" i="2"/>
  <c r="M617" i="2"/>
  <c r="M618" i="2"/>
  <c r="M619" i="2"/>
  <c r="M620" i="2"/>
  <c r="M621" i="2"/>
  <c r="M622" i="2"/>
  <c r="M610" i="2"/>
  <c r="M611" i="2"/>
  <c r="M612" i="2"/>
  <c r="M613" i="2"/>
  <c r="M614" i="2"/>
  <c r="M615" i="2"/>
  <c r="M603" i="2"/>
  <c r="M604" i="2"/>
  <c r="M605" i="2"/>
  <c r="M606" i="2"/>
  <c r="M607" i="2"/>
  <c r="M608" i="2"/>
  <c r="M609" i="2"/>
  <c r="M601" i="2"/>
  <c r="M602" i="2"/>
  <c r="M598" i="2"/>
  <c r="M599" i="2"/>
  <c r="M600" i="2"/>
  <c r="M592" i="2"/>
  <c r="M593" i="2"/>
  <c r="M594" i="2"/>
  <c r="M595" i="2"/>
  <c r="M596" i="2"/>
  <c r="M597" i="2"/>
  <c r="M589" i="2"/>
  <c r="M590" i="2"/>
  <c r="M591" i="2"/>
  <c r="M583" i="2"/>
  <c r="M584" i="2"/>
  <c r="M585" i="2"/>
  <c r="M586" i="2"/>
  <c r="M587" i="2"/>
  <c r="M588" i="2"/>
  <c r="M575" i="2"/>
  <c r="M576" i="2"/>
  <c r="M577" i="2"/>
  <c r="M578" i="2"/>
  <c r="M579" i="2"/>
  <c r="M580" i="2"/>
  <c r="M581" i="2"/>
  <c r="M582" i="2"/>
  <c r="M566" i="2"/>
  <c r="M567" i="2"/>
  <c r="M568" i="2"/>
  <c r="M569" i="2"/>
  <c r="M570" i="2"/>
  <c r="M571" i="2"/>
  <c r="M572" i="2"/>
  <c r="M573" i="2"/>
  <c r="M574" i="2"/>
  <c r="M562" i="2"/>
  <c r="M563" i="2"/>
  <c r="M564" i="2"/>
  <c r="M565" i="2"/>
  <c r="M559" i="2"/>
  <c r="M560" i="2"/>
  <c r="M561" i="2"/>
  <c r="M551" i="2"/>
  <c r="M552" i="2"/>
  <c r="M553" i="2"/>
  <c r="M554" i="2"/>
  <c r="M555" i="2"/>
  <c r="M556" i="2"/>
  <c r="M557" i="2"/>
  <c r="M558" i="2"/>
  <c r="M547" i="2"/>
  <c r="M548" i="2"/>
  <c r="M549" i="2"/>
  <c r="M550" i="2"/>
  <c r="M545" i="2"/>
  <c r="M546" i="2"/>
  <c r="M539" i="2"/>
  <c r="M540" i="2"/>
  <c r="M541" i="2"/>
  <c r="M542" i="2"/>
  <c r="M543" i="2"/>
  <c r="M544" i="2"/>
  <c r="M534" i="2"/>
  <c r="M535" i="2"/>
  <c r="M536" i="2"/>
  <c r="M537" i="2"/>
  <c r="M538" i="2"/>
  <c r="M531" i="2"/>
  <c r="M532" i="2"/>
  <c r="M533" i="2"/>
  <c r="M526" i="2"/>
  <c r="M527" i="2"/>
  <c r="M528" i="2"/>
  <c r="M529" i="2"/>
  <c r="M530" i="2"/>
  <c r="M520" i="2"/>
  <c r="M521" i="2"/>
  <c r="M522" i="2"/>
  <c r="M523" i="2"/>
  <c r="M524" i="2"/>
  <c r="M525" i="2"/>
  <c r="M512" i="2"/>
  <c r="M513" i="2"/>
  <c r="M514" i="2"/>
  <c r="M515" i="2"/>
  <c r="M516" i="2"/>
  <c r="M517" i="2"/>
  <c r="M518" i="2"/>
  <c r="M519" i="2"/>
  <c r="M507" i="2"/>
  <c r="M508" i="2"/>
  <c r="M509" i="2"/>
  <c r="M510" i="2"/>
  <c r="M511" i="2"/>
  <c r="M503" i="2"/>
  <c r="M504" i="2"/>
  <c r="M505" i="2"/>
  <c r="M506" i="2"/>
  <c r="M499" i="2"/>
  <c r="M500" i="2"/>
  <c r="M501" i="2"/>
  <c r="M502" i="2"/>
  <c r="M493" i="2"/>
  <c r="M494" i="2"/>
  <c r="M495" i="2"/>
  <c r="M496" i="2"/>
  <c r="M497" i="2"/>
  <c r="M498" i="2"/>
  <c r="M488" i="2"/>
  <c r="M489" i="2"/>
  <c r="M490" i="2"/>
  <c r="M491" i="2"/>
  <c r="M492" i="2"/>
  <c r="M485" i="2"/>
  <c r="M486" i="2"/>
  <c r="M487" i="2"/>
  <c r="M483" i="2"/>
  <c r="M484" i="2"/>
  <c r="M474" i="2"/>
  <c r="M475" i="2"/>
  <c r="M476" i="2"/>
  <c r="M477" i="2"/>
  <c r="M478" i="2"/>
  <c r="M479" i="2"/>
  <c r="M480" i="2"/>
  <c r="M481" i="2"/>
  <c r="M482" i="2"/>
  <c r="M469" i="2"/>
  <c r="M470" i="2"/>
  <c r="M471" i="2"/>
  <c r="M472" i="2"/>
  <c r="M473" i="2"/>
  <c r="M465" i="2"/>
  <c r="M466" i="2"/>
  <c r="M467" i="2"/>
  <c r="M468" i="2"/>
  <c r="M458" i="2"/>
  <c r="M459" i="2"/>
  <c r="M460" i="2"/>
  <c r="M461" i="2"/>
  <c r="M462" i="2"/>
  <c r="M463" i="2"/>
  <c r="M464" i="2"/>
  <c r="M454" i="2"/>
  <c r="M455" i="2"/>
  <c r="M456" i="2"/>
  <c r="M457" i="2"/>
  <c r="M451" i="2"/>
  <c r="M452" i="2"/>
  <c r="M453" i="2"/>
  <c r="M446" i="2"/>
  <c r="M447" i="2"/>
  <c r="M448" i="2"/>
  <c r="M449" i="2"/>
  <c r="M450" i="2"/>
  <c r="M442" i="2"/>
  <c r="M443" i="2"/>
  <c r="M444" i="2"/>
  <c r="M445" i="2"/>
  <c r="M435" i="2"/>
  <c r="M436" i="2"/>
  <c r="M437" i="2"/>
  <c r="M438" i="2"/>
  <c r="M439" i="2"/>
  <c r="M440" i="2"/>
  <c r="M441" i="2"/>
  <c r="M433" i="2"/>
  <c r="M434" i="2"/>
  <c r="M428" i="2"/>
  <c r="M429" i="2"/>
  <c r="M430" i="2"/>
  <c r="M431" i="2"/>
  <c r="M432" i="2"/>
  <c r="M420" i="2"/>
  <c r="M421" i="2"/>
  <c r="M422" i="2"/>
  <c r="M423" i="2"/>
  <c r="M424" i="2"/>
  <c r="M425" i="2"/>
  <c r="M426" i="2"/>
  <c r="M427" i="2"/>
  <c r="M417" i="2"/>
  <c r="M418" i="2"/>
  <c r="M419" i="2"/>
  <c r="M411" i="2"/>
  <c r="M412" i="2"/>
  <c r="M413" i="2"/>
  <c r="M414" i="2"/>
  <c r="M415" i="2"/>
  <c r="M416" i="2"/>
  <c r="M408" i="2"/>
  <c r="M409" i="2"/>
  <c r="M410" i="2"/>
  <c r="M400" i="2"/>
  <c r="M401" i="2"/>
  <c r="M402" i="2"/>
  <c r="M403" i="2"/>
  <c r="M404" i="2"/>
  <c r="M405" i="2"/>
  <c r="M406" i="2"/>
  <c r="M407" i="2"/>
  <c r="M395" i="2"/>
  <c r="M396" i="2"/>
  <c r="M397" i="2"/>
  <c r="M398" i="2"/>
  <c r="M399" i="2"/>
  <c r="M389" i="2"/>
  <c r="M390" i="2"/>
  <c r="M391" i="2"/>
  <c r="M392" i="2"/>
  <c r="M393" i="2"/>
  <c r="M394" i="2"/>
  <c r="M386" i="2"/>
  <c r="M387" i="2"/>
  <c r="M388" i="2"/>
  <c r="M381" i="2"/>
  <c r="M382" i="2"/>
  <c r="M383" i="2"/>
  <c r="M384" i="2"/>
  <c r="M385" i="2"/>
  <c r="M370" i="2"/>
  <c r="M371" i="2"/>
  <c r="M372" i="2"/>
  <c r="M373" i="2"/>
  <c r="M374" i="2"/>
  <c r="M375" i="2"/>
  <c r="M376" i="2"/>
  <c r="M377" i="2"/>
  <c r="M378" i="2"/>
  <c r="M379" i="2"/>
  <c r="M380" i="2"/>
  <c r="M365" i="2"/>
  <c r="M366" i="2"/>
  <c r="M367" i="2"/>
  <c r="M368" i="2"/>
  <c r="M369" i="2"/>
  <c r="M357" i="2"/>
  <c r="M358" i="2"/>
  <c r="M359" i="2"/>
  <c r="M360" i="2"/>
  <c r="M361" i="2"/>
  <c r="M362" i="2"/>
  <c r="M363" i="2"/>
  <c r="M364" i="2"/>
  <c r="M348" i="2"/>
  <c r="M349" i="2"/>
  <c r="M350" i="2"/>
  <c r="M351" i="2"/>
  <c r="M352" i="2"/>
  <c r="M353" i="2"/>
  <c r="M354" i="2"/>
  <c r="M355" i="2"/>
  <c r="M356" i="2"/>
  <c r="M343" i="2"/>
  <c r="M344" i="2"/>
  <c r="M345" i="2"/>
  <c r="M346" i="2"/>
  <c r="M347" i="2"/>
  <c r="M339" i="2"/>
  <c r="M340" i="2"/>
  <c r="M341" i="2"/>
  <c r="M342" i="2"/>
  <c r="M334" i="2"/>
  <c r="M335" i="2"/>
  <c r="M336" i="2"/>
  <c r="M337" i="2"/>
  <c r="M338" i="2"/>
  <c r="M330" i="2"/>
  <c r="M331" i="2"/>
  <c r="M332" i="2"/>
  <c r="M333" i="2"/>
  <c r="M327" i="2"/>
  <c r="M328" i="2"/>
  <c r="M329" i="2"/>
  <c r="M315" i="2"/>
  <c r="M316" i="2"/>
  <c r="M317" i="2"/>
  <c r="M318" i="2"/>
  <c r="M319" i="2"/>
  <c r="M320" i="2"/>
  <c r="M321" i="2"/>
  <c r="M322" i="2"/>
  <c r="M323" i="2"/>
  <c r="M324" i="2"/>
  <c r="M325" i="2"/>
  <c r="M326" i="2"/>
  <c r="M311" i="2"/>
  <c r="M312" i="2"/>
  <c r="M313" i="2"/>
  <c r="M314" i="2"/>
  <c r="M306" i="2"/>
  <c r="M307" i="2"/>
  <c r="M308" i="2"/>
  <c r="M309" i="2"/>
  <c r="M310" i="2"/>
  <c r="M301" i="2"/>
  <c r="M302" i="2"/>
  <c r="M303" i="2"/>
  <c r="M304" i="2"/>
  <c r="M305" i="2"/>
  <c r="M299" i="2"/>
  <c r="M300" i="2"/>
  <c r="M293" i="2"/>
  <c r="M294" i="2"/>
  <c r="M295" i="2"/>
  <c r="M296" i="2"/>
  <c r="M297" i="2"/>
  <c r="M298" i="2"/>
  <c r="M290" i="2"/>
  <c r="M291" i="2"/>
  <c r="M292" i="2"/>
  <c r="M283" i="2"/>
  <c r="M284" i="2"/>
  <c r="M285" i="2"/>
  <c r="M286" i="2"/>
  <c r="M287" i="2"/>
  <c r="M288" i="2"/>
  <c r="M289" i="2"/>
  <c r="M276" i="2"/>
  <c r="M277" i="2"/>
  <c r="M278" i="2"/>
  <c r="M279" i="2"/>
  <c r="M280" i="2"/>
  <c r="M281" i="2"/>
  <c r="M282" i="2"/>
  <c r="M273" i="2"/>
  <c r="M274" i="2"/>
  <c r="M275" i="2"/>
  <c r="M264" i="2"/>
  <c r="M265" i="2"/>
  <c r="M266" i="2"/>
  <c r="M267" i="2"/>
  <c r="M268" i="2"/>
  <c r="M269" i="2"/>
  <c r="M270" i="2"/>
  <c r="M271" i="2"/>
  <c r="M272" i="2"/>
  <c r="M255" i="2"/>
  <c r="M256" i="2"/>
  <c r="M257" i="2"/>
  <c r="M258" i="2"/>
  <c r="M259" i="2"/>
  <c r="M260" i="2"/>
  <c r="M261" i="2"/>
  <c r="M262" i="2"/>
  <c r="M263" i="2"/>
  <c r="M249" i="2"/>
  <c r="M250" i="2"/>
  <c r="M251" i="2"/>
  <c r="M252" i="2"/>
  <c r="M253" i="2"/>
  <c r="M254" i="2"/>
  <c r="M245" i="2"/>
  <c r="M246" i="2"/>
  <c r="M247" i="2"/>
  <c r="M248" i="2"/>
  <c r="M240" i="2"/>
  <c r="M241" i="2"/>
  <c r="M242" i="2"/>
  <c r="M243" i="2"/>
  <c r="M244" i="2"/>
  <c r="M232" i="2"/>
  <c r="M233" i="2"/>
  <c r="M234" i="2"/>
  <c r="M235" i="2"/>
  <c r="M236" i="2"/>
  <c r="M237" i="2"/>
  <c r="M238" i="2"/>
  <c r="M239" i="2"/>
  <c r="M227" i="2"/>
  <c r="M228" i="2"/>
  <c r="M229" i="2"/>
  <c r="M230" i="2"/>
  <c r="M231" i="2"/>
  <c r="M225" i="2"/>
  <c r="M226" i="2"/>
  <c r="M218" i="2"/>
  <c r="M219" i="2"/>
  <c r="M220" i="2"/>
  <c r="M221" i="2"/>
  <c r="M222" i="2"/>
  <c r="M223" i="2"/>
  <c r="M224" i="2"/>
  <c r="M215" i="2"/>
  <c r="M216" i="2"/>
  <c r="M217" i="2"/>
  <c r="M213" i="2"/>
  <c r="M214" i="2"/>
  <c r="M204" i="2"/>
  <c r="M205" i="2"/>
  <c r="M206" i="2"/>
  <c r="M207" i="2"/>
  <c r="M208" i="2"/>
  <c r="M209" i="2"/>
  <c r="M210" i="2"/>
  <c r="M211" i="2"/>
  <c r="M212" i="2"/>
  <c r="M198" i="2"/>
  <c r="M199" i="2"/>
  <c r="M200" i="2"/>
  <c r="M201" i="2"/>
  <c r="M202" i="2"/>
  <c r="M203" i="2"/>
  <c r="M195" i="2"/>
  <c r="M196" i="2"/>
  <c r="M197" i="2"/>
  <c r="M188" i="2"/>
  <c r="M189" i="2"/>
  <c r="M190" i="2"/>
  <c r="M191" i="2"/>
  <c r="M192" i="2"/>
  <c r="M193" i="2"/>
  <c r="M194" i="2"/>
  <c r="M182" i="2"/>
  <c r="M183" i="2"/>
  <c r="M184" i="2"/>
  <c r="M185" i="2"/>
  <c r="M186" i="2"/>
  <c r="M187" i="2"/>
  <c r="M179" i="2"/>
  <c r="M180" i="2"/>
  <c r="M181" i="2"/>
  <c r="M170" i="2"/>
  <c r="M171" i="2"/>
  <c r="M172" i="2"/>
  <c r="M173" i="2"/>
  <c r="M174" i="2"/>
  <c r="M175" i="2"/>
  <c r="M176" i="2"/>
  <c r="M177" i="2"/>
  <c r="M178" i="2"/>
  <c r="M165" i="2"/>
  <c r="M166" i="2"/>
  <c r="M167" i="2"/>
  <c r="M168" i="2"/>
  <c r="M169" i="2"/>
  <c r="M157" i="2"/>
  <c r="M158" i="2"/>
  <c r="M159" i="2"/>
  <c r="M160" i="2"/>
  <c r="M161" i="2"/>
  <c r="M162" i="2"/>
  <c r="M163" i="2"/>
  <c r="M164" i="2"/>
  <c r="M153" i="2"/>
  <c r="M154" i="2"/>
  <c r="M155" i="2"/>
  <c r="M156" i="2"/>
  <c r="M148" i="2"/>
  <c r="M149" i="2"/>
  <c r="M150" i="2"/>
  <c r="M151" i="2"/>
  <c r="M152" i="2"/>
  <c r="M144" i="2"/>
  <c r="M145" i="2"/>
  <c r="M146" i="2"/>
  <c r="M147" i="2"/>
  <c r="M139" i="2"/>
  <c r="M140" i="2"/>
  <c r="M141" i="2"/>
  <c r="M142" i="2"/>
  <c r="M143" i="2"/>
  <c r="M131" i="2"/>
  <c r="M132" i="2"/>
  <c r="M133" i="2"/>
  <c r="M134" i="2"/>
  <c r="M135" i="2"/>
  <c r="M136" i="2"/>
  <c r="M137" i="2"/>
  <c r="M138" i="2"/>
  <c r="M127" i="2"/>
  <c r="M128" i="2"/>
  <c r="M129" i="2"/>
  <c r="M130" i="2"/>
  <c r="M123" i="2"/>
  <c r="M124" i="2"/>
  <c r="M125" i="2"/>
  <c r="M126" i="2"/>
  <c r="M119" i="2"/>
  <c r="M120" i="2"/>
  <c r="M121" i="2"/>
  <c r="M122" i="2"/>
  <c r="M118" i="2"/>
  <c r="M112" i="2"/>
  <c r="M113" i="2"/>
  <c r="M114" i="2"/>
  <c r="M115" i="2"/>
  <c r="M116" i="2"/>
  <c r="M117" i="2"/>
  <c r="M108" i="2"/>
  <c r="M109" i="2"/>
  <c r="M110" i="2"/>
  <c r="M111" i="2"/>
  <c r="M102" i="2"/>
  <c r="M103" i="2"/>
  <c r="M104" i="2"/>
  <c r="M105" i="2"/>
  <c r="M106" i="2"/>
  <c r="M107" i="2"/>
  <c r="M97" i="2"/>
  <c r="M98" i="2"/>
  <c r="M99" i="2"/>
  <c r="M100" i="2"/>
  <c r="M101" i="2"/>
  <c r="M92" i="2"/>
  <c r="M93" i="2"/>
  <c r="M94" i="2"/>
  <c r="M95" i="2"/>
  <c r="M96" i="2"/>
  <c r="M84" i="2"/>
  <c r="M85" i="2"/>
  <c r="M86" i="2"/>
  <c r="M87" i="2"/>
  <c r="M88" i="2"/>
  <c r="M89" i="2"/>
  <c r="M90" i="2"/>
  <c r="M91" i="2"/>
  <c r="M77" i="2"/>
  <c r="M78" i="2"/>
  <c r="M79" i="2"/>
  <c r="M80" i="2"/>
  <c r="M81" i="2"/>
  <c r="M82" i="2"/>
  <c r="M83" i="2"/>
  <c r="M64" i="2"/>
  <c r="M65" i="2"/>
  <c r="M66" i="2"/>
  <c r="M67" i="2"/>
  <c r="M68" i="2"/>
  <c r="M69" i="2"/>
  <c r="M70" i="2"/>
  <c r="M71" i="2"/>
  <c r="M72" i="2"/>
  <c r="M73" i="2"/>
  <c r="M74" i="2"/>
  <c r="M75" i="2"/>
  <c r="M76" i="2"/>
  <c r="M61" i="2"/>
  <c r="M62" i="2"/>
  <c r="M63" i="2"/>
  <c r="M55" i="2"/>
  <c r="M56" i="2"/>
  <c r="M57" i="2"/>
  <c r="M58" i="2"/>
  <c r="M59" i="2"/>
  <c r="M60" i="2"/>
  <c r="M50" i="2"/>
  <c r="M51" i="2"/>
  <c r="M52" i="2"/>
  <c r="M53" i="2"/>
  <c r="M54" i="2"/>
  <c r="M46" i="2"/>
  <c r="M47" i="2"/>
  <c r="M48" i="2"/>
  <c r="M49" i="2"/>
  <c r="M29" i="2"/>
  <c r="M30" i="2"/>
  <c r="M31" i="2"/>
  <c r="M32" i="2"/>
  <c r="M33" i="2"/>
  <c r="M34" i="2"/>
  <c r="M35" i="2"/>
  <c r="M36" i="2"/>
  <c r="M37" i="2"/>
  <c r="M38" i="2"/>
  <c r="M39" i="2"/>
  <c r="M40" i="2"/>
  <c r="M41" i="2"/>
  <c r="M42" i="2"/>
  <c r="M43" i="2"/>
  <c r="M44" i="2"/>
  <c r="M45" i="2"/>
  <c r="M24" i="2"/>
  <c r="M25" i="2"/>
  <c r="M26" i="2"/>
  <c r="M27" i="2"/>
  <c r="M28" i="2"/>
  <c r="M17" i="2"/>
  <c r="M18" i="2"/>
  <c r="M19" i="2"/>
  <c r="M20" i="2"/>
  <c r="M21" i="2"/>
  <c r="M22" i="2"/>
  <c r="M23" i="2"/>
  <c r="M13" i="2"/>
  <c r="M14" i="2"/>
  <c r="M15" i="2"/>
  <c r="M16" i="2"/>
  <c r="M8" i="2"/>
  <c r="M9" i="2"/>
  <c r="M10" i="2"/>
  <c r="M11" i="2"/>
  <c r="M12" i="2"/>
  <c r="M2" i="2"/>
  <c r="M3" i="2"/>
  <c r="M4" i="2"/>
  <c r="M5" i="2"/>
  <c r="M6" i="2"/>
  <c r="M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579007-1E63-45A0-9114-D37F185DD4D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<sst xmlns="http://schemas.openxmlformats.org/spreadsheetml/2006/main" count="15489" uniqueCount="2301">
  <si>
    <t>Order ID</t>
  </si>
  <si>
    <t>Date</t>
  </si>
  <si>
    <t>Region</t>
  </si>
  <si>
    <t>Sales Channel</t>
  </si>
  <si>
    <t>Customer Type</t>
  </si>
  <si>
    <t>Product Category</t>
  </si>
  <si>
    <t>Product</t>
  </si>
  <si>
    <t>Salesperson</t>
  </si>
  <si>
    <t>Quantity</t>
  </si>
  <si>
    <t>Unit Price</t>
  </si>
  <si>
    <t>Discount</t>
  </si>
  <si>
    <t>Revenue</t>
  </si>
  <si>
    <t>ORD-2247</t>
  </si>
  <si>
    <t>9/30/2026</t>
  </si>
  <si>
    <t>East</t>
  </si>
  <si>
    <t>Online</t>
  </si>
  <si>
    <t>Returning</t>
  </si>
  <si>
    <t>Storage</t>
  </si>
  <si>
    <t>Memory Card 256GB</t>
  </si>
  <si>
    <t>Grace Ng</t>
  </si>
  <si>
    <t>ORD-1073</t>
  </si>
  <si>
    <t>South</t>
  </si>
  <si>
    <t>Marketplace</t>
  </si>
  <si>
    <t>Office Supplies</t>
  </si>
  <si>
    <t>Notebook Set</t>
  </si>
  <si>
    <t>Jason Lee</t>
  </si>
  <si>
    <t>ORD-2143</t>
  </si>
  <si>
    <t>Retail Store</t>
  </si>
  <si>
    <t>New</t>
  </si>
  <si>
    <t>Accessories</t>
  </si>
  <si>
    <t>USB-C Hub</t>
  </si>
  <si>
    <t>Nora Chen</t>
  </si>
  <si>
    <t>ORD-1306</t>
  </si>
  <si>
    <t>Mouse Pad</t>
  </si>
  <si>
    <t>ORD-2800</t>
  </si>
  <si>
    <t>Corporate Sales</t>
  </si>
  <si>
    <t>Monitors</t>
  </si>
  <si>
    <t>27-inch Monitor</t>
  </si>
  <si>
    <t>ORD-1211</t>
  </si>
  <si>
    <t>Webcam</t>
  </si>
  <si>
    <t>Amir Hassan</t>
  </si>
  <si>
    <t>ORD-2529</t>
  </si>
  <si>
    <t>Networking</t>
  </si>
  <si>
    <t>Network Switch</t>
  </si>
  <si>
    <t>Raj Kumar</t>
  </si>
  <si>
    <t>ORD-1560</t>
  </si>
  <si>
    <t>ORD-1358</t>
  </si>
  <si>
    <t>West</t>
  </si>
  <si>
    <t>Ethernet Cable</t>
  </si>
  <si>
    <t>Priya Shah</t>
  </si>
  <si>
    <t>ORD-2974</t>
  </si>
  <si>
    <t>Wireless Mouse</t>
  </si>
  <si>
    <t>ORD-1742</t>
  </si>
  <si>
    <t>9/29/2026</t>
  </si>
  <si>
    <t>North</t>
  </si>
  <si>
    <t>Laptop Stand</t>
  </si>
  <si>
    <t>Daniel Wong</t>
  </si>
  <si>
    <t>ORD-1043</t>
  </si>
  <si>
    <t>Sofia Tan</t>
  </si>
  <si>
    <t>ORD-1659</t>
  </si>
  <si>
    <t>ORD-2493</t>
  </si>
  <si>
    <t>Central</t>
  </si>
  <si>
    <t>USB Drive 128GB</t>
  </si>
  <si>
    <t>Kevin Yap</t>
  </si>
  <si>
    <t>ORD-2280</t>
  </si>
  <si>
    <t>Mesh Wi-Fi Set</t>
  </si>
  <si>
    <t>ORD-2828</t>
  </si>
  <si>
    <t>Wi-Fi Router</t>
  </si>
  <si>
    <t>ORD-1124</t>
  </si>
  <si>
    <t>9/28/2026</t>
  </si>
  <si>
    <t>24-inch Monitor</t>
  </si>
  <si>
    <t>Mei Tan</t>
  </si>
  <si>
    <t>ORD-2961</t>
  </si>
  <si>
    <t>Hafiz Rahman</t>
  </si>
  <si>
    <t>ORD-1313</t>
  </si>
  <si>
    <t>ORD-2752</t>
  </si>
  <si>
    <t>9/27/2026</t>
  </si>
  <si>
    <t>Ultrawide Monitor</t>
  </si>
  <si>
    <t>Ben Ho</t>
  </si>
  <si>
    <t>ORD-1390</t>
  </si>
  <si>
    <t>Aisha Lim</t>
  </si>
  <si>
    <t>ORD-1420</t>
  </si>
  <si>
    <t>Computers</t>
  </si>
  <si>
    <t>Gaming Laptop</t>
  </si>
  <si>
    <t>ORD-1664</t>
  </si>
  <si>
    <t>Desktop Mini</t>
  </si>
  <si>
    <t>Farah Ali</t>
  </si>
  <si>
    <t>ORD-2902</t>
  </si>
  <si>
    <t>Keyboard</t>
  </si>
  <si>
    <t>ORD-2742</t>
  </si>
  <si>
    <t>ORD-1493</t>
  </si>
  <si>
    <t>ORD-1123</t>
  </si>
  <si>
    <t>9/26/2026</t>
  </si>
  <si>
    <t>ORD-1286</t>
  </si>
  <si>
    <t>ORD-2189</t>
  </si>
  <si>
    <t>ORD-1854</t>
  </si>
  <si>
    <t>All-in-One PC</t>
  </si>
  <si>
    <t>ORD-1825</t>
  </si>
  <si>
    <t>External SSD 1TB</t>
  </si>
  <si>
    <t>ORD-2795</t>
  </si>
  <si>
    <t>ORD-1821</t>
  </si>
  <si>
    <t>9/25/2026</t>
  </si>
  <si>
    <t>ORD-2297</t>
  </si>
  <si>
    <t>Pen Pack</t>
  </si>
  <si>
    <t>ORD-1387</t>
  </si>
  <si>
    <t>ORD-1926</t>
  </si>
  <si>
    <t>ORD-2730</t>
  </si>
  <si>
    <t>9/24/2026</t>
  </si>
  <si>
    <t>ORD-2858</t>
  </si>
  <si>
    <t>ORD-2306</t>
  </si>
  <si>
    <t>ORD-1747</t>
  </si>
  <si>
    <t>9/23/2026</t>
  </si>
  <si>
    <t>Chloe Lim</t>
  </si>
  <si>
    <t>ORD-1721</t>
  </si>
  <si>
    <t>Laptop Air 13</t>
  </si>
  <si>
    <t>ORD-1215</t>
  </si>
  <si>
    <t>Sticky Notes</t>
  </si>
  <si>
    <t>ORD-2657</t>
  </si>
  <si>
    <t>ORD-1255</t>
  </si>
  <si>
    <t>Portable Monitor</t>
  </si>
  <si>
    <t>ORD-1672</t>
  </si>
  <si>
    <t>ORD-1683</t>
  </si>
  <si>
    <t>ORD-2966</t>
  </si>
  <si>
    <t>ORD-2523</t>
  </si>
  <si>
    <t>9/22/2026</t>
  </si>
  <si>
    <t>ORD-1791</t>
  </si>
  <si>
    <t>ORD-2116</t>
  </si>
  <si>
    <t>ORD-2982</t>
  </si>
  <si>
    <t>ORD-1772</t>
  </si>
  <si>
    <t>ORD-1415</t>
  </si>
  <si>
    <t>ORD-1282</t>
  </si>
  <si>
    <t>9/21/2026</t>
  </si>
  <si>
    <t>ORD-1547</t>
  </si>
  <si>
    <t>ORD-1930</t>
  </si>
  <si>
    <t>ORD-1488</t>
  </si>
  <si>
    <t>ORD-1462</t>
  </si>
  <si>
    <t>ORD-2023</t>
  </si>
  <si>
    <t>9/20/2026</t>
  </si>
  <si>
    <t>ORD-1496</t>
  </si>
  <si>
    <t>ORD-1307</t>
  </si>
  <si>
    <t>ORD-2899</t>
  </si>
  <si>
    <t>ORD-2270</t>
  </si>
  <si>
    <t>Printer Paper</t>
  </si>
  <si>
    <t>ORD-2503</t>
  </si>
  <si>
    <t>ORD-2603</t>
  </si>
  <si>
    <t>9/19/2026</t>
  </si>
  <si>
    <t>ORD-1324</t>
  </si>
  <si>
    <t>ORD-2390</t>
  </si>
  <si>
    <t>ORD-2245</t>
  </si>
  <si>
    <t>ORD-1587</t>
  </si>
  <si>
    <t>Laptop Pro 14</t>
  </si>
  <si>
    <t>ORD-2690</t>
  </si>
  <si>
    <t>ORD-1494</t>
  </si>
  <si>
    <t>ORD-2131</t>
  </si>
  <si>
    <t>ORD-1719</t>
  </si>
  <si>
    <t>9/18/2026</t>
  </si>
  <si>
    <t>ORD-2200</t>
  </si>
  <si>
    <t>ORD-1574</t>
  </si>
  <si>
    <t>ORD-1218</t>
  </si>
  <si>
    <t>ORD-2142</t>
  </si>
  <si>
    <t>ORD-2437</t>
  </si>
  <si>
    <t>ORD-2935</t>
  </si>
  <si>
    <t>9/17/2026</t>
  </si>
  <si>
    <t>ORD-1141</t>
  </si>
  <si>
    <t>ORD-1507</t>
  </si>
  <si>
    <t>ORD-1339</t>
  </si>
  <si>
    <t>9/16/2026</t>
  </si>
  <si>
    <t>ORD-2217</t>
  </si>
  <si>
    <t>ORD-1769</t>
  </si>
  <si>
    <t>9/15/2026</t>
  </si>
  <si>
    <t>ORD-2127</t>
  </si>
  <si>
    <t>ORD-1768</t>
  </si>
  <si>
    <t>ORD-2080</t>
  </si>
  <si>
    <t>ORD-1406</t>
  </si>
  <si>
    <t>ORD-1126</t>
  </si>
  <si>
    <t>ORD-2487</t>
  </si>
  <si>
    <t>ORD-1671</t>
  </si>
  <si>
    <t>ORD-1144</t>
  </si>
  <si>
    <t>Desk Organizer</t>
  </si>
  <si>
    <t>ORD-1828</t>
  </si>
  <si>
    <t>ORD-1999</t>
  </si>
  <si>
    <t>9/14/2026</t>
  </si>
  <si>
    <t>ORD-1917</t>
  </si>
  <si>
    <t>ORD-1833</t>
  </si>
  <si>
    <t>ORD-2774</t>
  </si>
  <si>
    <t>ORD-2322</t>
  </si>
  <si>
    <t>9/13/2026</t>
  </si>
  <si>
    <t>ORD-1523</t>
  </si>
  <si>
    <t>ORD-1892</t>
  </si>
  <si>
    <t>External HDD 2TB</t>
  </si>
  <si>
    <t>ORD-2291</t>
  </si>
  <si>
    <t>ORD-2723</t>
  </si>
  <si>
    <t>ORD-1845</t>
  </si>
  <si>
    <t>ORD-2073</t>
  </si>
  <si>
    <t>ORD-1315</t>
  </si>
  <si>
    <t>ORD-2430</t>
  </si>
  <si>
    <t>ORD-2759</t>
  </si>
  <si>
    <t>ORD-2514</t>
  </si>
  <si>
    <t>ORD-1463</t>
  </si>
  <si>
    <t>ORD-1762</t>
  </si>
  <si>
    <t>8/31/2026</t>
  </si>
  <si>
    <t>ORD-2834</t>
  </si>
  <si>
    <t>ORD-1899</t>
  </si>
  <si>
    <t>ORD-2394</t>
  </si>
  <si>
    <t>ORD-2066</t>
  </si>
  <si>
    <t>ORD-2539</t>
  </si>
  <si>
    <t>8/30/2026</t>
  </si>
  <si>
    <t>ORD-1231</t>
  </si>
  <si>
    <t>ORD-2504</t>
  </si>
  <si>
    <t>ORD-1532</t>
  </si>
  <si>
    <t>ORD-2175</t>
  </si>
  <si>
    <t>ORD-1114</t>
  </si>
  <si>
    <t>8/29/2026</t>
  </si>
  <si>
    <t>ORD-2422</t>
  </si>
  <si>
    <t>ORD-1561</t>
  </si>
  <si>
    <t>ORD-2670</t>
  </si>
  <si>
    <t>ORD-2211</t>
  </si>
  <si>
    <t>8/28/2026</t>
  </si>
  <si>
    <t>ORD-2731</t>
  </si>
  <si>
    <t>ORD-1203</t>
  </si>
  <si>
    <t>ORD-2301</t>
  </si>
  <si>
    <t>ORD-2251</t>
  </si>
  <si>
    <t>8/27/2026</t>
  </si>
  <si>
    <t>ORD-1392</t>
  </si>
  <si>
    <t>ORD-1483</t>
  </si>
  <si>
    <t>ORD-2168</t>
  </si>
  <si>
    <t>ORD-2269</t>
  </si>
  <si>
    <t>ORD-1517</t>
  </si>
  <si>
    <t>8/26/2026</t>
  </si>
  <si>
    <t>ORD-2623</t>
  </si>
  <si>
    <t>ORD-1467</t>
  </si>
  <si>
    <t>ORD-2490</t>
  </si>
  <si>
    <t>ORD-2893</t>
  </si>
  <si>
    <t>ORD-1004</t>
  </si>
  <si>
    <t>ORD-1063</t>
  </si>
  <si>
    <t>8/25/2026</t>
  </si>
  <si>
    <t>ORD-1338</t>
  </si>
  <si>
    <t>ORD-1310</t>
  </si>
  <si>
    <t>ORD-2532</t>
  </si>
  <si>
    <t>ORD-2968</t>
  </si>
  <si>
    <t>ORD-2568</t>
  </si>
  <si>
    <t>8/24/2026</t>
  </si>
  <si>
    <t>ORD-1676</t>
  </si>
  <si>
    <t>ORD-2901</t>
  </si>
  <si>
    <t>ORD-2110</t>
  </si>
  <si>
    <t>ORD-2119</t>
  </si>
  <si>
    <t>ORD-1443</t>
  </si>
  <si>
    <t>8/23/2026</t>
  </si>
  <si>
    <t>ORD-1487</t>
  </si>
  <si>
    <t>ORD-2713</t>
  </si>
  <si>
    <t>ORD-1005</t>
  </si>
  <si>
    <t>ORD-1359</t>
  </si>
  <si>
    <t>8/22/2026</t>
  </si>
  <si>
    <t>ORD-1038</t>
  </si>
  <si>
    <t>ORD-2377</t>
  </si>
  <si>
    <t>ORD-1744</t>
  </si>
  <si>
    <t>8/21/2026</t>
  </si>
  <si>
    <t>ORD-2806</t>
  </si>
  <si>
    <t>ORD-2386</t>
  </si>
  <si>
    <t>8/20/2026</t>
  </si>
  <si>
    <t>ORD-2838</t>
  </si>
  <si>
    <t>ORD-2128</t>
  </si>
  <si>
    <t>ORD-2396</t>
  </si>
  <si>
    <t>ORD-2455</t>
  </si>
  <si>
    <t>8/19/2026</t>
  </si>
  <si>
    <t>ORD-2107</t>
  </si>
  <si>
    <t>8/18/2026</t>
  </si>
  <si>
    <t>ORD-2958</t>
  </si>
  <si>
    <t>ORD-2337</t>
  </si>
  <si>
    <t>ORD-2912</t>
  </si>
  <si>
    <t>ORD-1023</t>
  </si>
  <si>
    <t>ORD-1247</t>
  </si>
  <si>
    <t>ORD-2518</t>
  </si>
  <si>
    <t>ORD-1677</t>
  </si>
  <si>
    <t>ORD-1667</t>
  </si>
  <si>
    <t>ORD-2478</t>
  </si>
  <si>
    <t>8/17/2026</t>
  </si>
  <si>
    <t>ORD-1233</t>
  </si>
  <si>
    <t>ORD-2576</t>
  </si>
  <si>
    <t>8/16/2026</t>
  </si>
  <si>
    <t>ORD-2566</t>
  </si>
  <si>
    <t>ORD-2156</t>
  </si>
  <si>
    <t>8/15/2026</t>
  </si>
  <si>
    <t>ORD-2409</t>
  </si>
  <si>
    <t>ORD-2988</t>
  </si>
  <si>
    <t>ORD-2872</t>
  </si>
  <si>
    <t>ORD-1139</t>
  </si>
  <si>
    <t>8/14/2026</t>
  </si>
  <si>
    <t>ORD-1631</t>
  </si>
  <si>
    <t>ORD-1731</t>
  </si>
  <si>
    <t>ORD-1832</t>
  </si>
  <si>
    <t>ORD-1665</t>
  </si>
  <si>
    <t>ORD-1259</t>
  </si>
  <si>
    <t>8/13/2026</t>
  </si>
  <si>
    <t>ORD-1612</t>
  </si>
  <si>
    <t>ORD-1938</t>
  </si>
  <si>
    <t>ORD-1237</t>
  </si>
  <si>
    <t>ORD-2052</t>
  </si>
  <si>
    <t>ORD-2545</t>
  </si>
  <si>
    <t>ORD-2741</t>
  </si>
  <si>
    <t>ORD-2421</t>
  </si>
  <si>
    <t>ORD-2160</t>
  </si>
  <si>
    <t>7/31/2026</t>
  </si>
  <si>
    <t>ORD-1891</t>
  </si>
  <si>
    <t>ORD-1984</t>
  </si>
  <si>
    <t>ORD-1208</t>
  </si>
  <si>
    <t>ORD-1093</t>
  </si>
  <si>
    <t>7/30/2026</t>
  </si>
  <si>
    <t>ORD-1573</t>
  </si>
  <si>
    <t>ORD-1851</t>
  </si>
  <si>
    <t>ORD-2986</t>
  </si>
  <si>
    <t>ORD-2315</t>
  </si>
  <si>
    <t>ORD-2989</t>
  </si>
  <si>
    <t>7/29/2026</t>
  </si>
  <si>
    <t>ORD-2043</t>
  </si>
  <si>
    <t>ORD-2400</t>
  </si>
  <si>
    <t>ORD-1191</t>
  </si>
  <si>
    <t>ORD-2660</t>
  </si>
  <si>
    <t>ORD-2069</t>
  </si>
  <si>
    <t>ORD-1598</t>
  </si>
  <si>
    <t>7/28/2026</t>
  </si>
  <si>
    <t>ORD-1685</t>
  </si>
  <si>
    <t>ORD-2295</t>
  </si>
  <si>
    <t>7/27/2026</t>
  </si>
  <si>
    <t>ORD-2509</t>
  </si>
  <si>
    <t>ORD-1031</t>
  </si>
  <si>
    <t>ORD-1267</t>
  </si>
  <si>
    <t>ORD-2405</t>
  </si>
  <si>
    <t>ORD-2983</t>
  </si>
  <si>
    <t>ORD-1634</t>
  </si>
  <si>
    <t>ORD-2468</t>
  </si>
  <si>
    <t>ORD-1362</t>
  </si>
  <si>
    <t>7/26/2026</t>
  </si>
  <si>
    <t>ORD-1826</t>
  </si>
  <si>
    <t>ORD-2224</t>
  </si>
  <si>
    <t>ORD-2561</t>
  </si>
  <si>
    <t>ORD-2583</t>
  </si>
  <si>
    <t>ORD-2547</t>
  </si>
  <si>
    <t>ORD-1916</t>
  </si>
  <si>
    <t>7/25/2026</t>
  </si>
  <si>
    <t>ORD-2880</t>
  </si>
  <si>
    <t>ORD-2187</t>
  </si>
  <si>
    <t>ORD-1647</t>
  </si>
  <si>
    <t>ORD-1706</t>
  </si>
  <si>
    <t>ORD-2366</t>
  </si>
  <si>
    <t>ORD-1198</t>
  </si>
  <si>
    <t>ORD-2360</t>
  </si>
  <si>
    <t>ORD-2045</t>
  </si>
  <si>
    <t>ORD-2355</t>
  </si>
  <si>
    <t>7/24/2026</t>
  </si>
  <si>
    <t>ORD-1195</t>
  </si>
  <si>
    <t>ORD-1173</t>
  </si>
  <si>
    <t>ORD-1346</t>
  </si>
  <si>
    <t>ORD-2124</t>
  </si>
  <si>
    <t>7/23/2026</t>
  </si>
  <si>
    <t>ORD-2936</t>
  </si>
  <si>
    <t>ORD-1171</t>
  </si>
  <si>
    <t>ORD-1606</t>
  </si>
  <si>
    <t>ORD-1835</t>
  </si>
  <si>
    <t>ORD-1822</t>
  </si>
  <si>
    <t>7/22/2026</t>
  </si>
  <si>
    <t>ORD-2851</t>
  </si>
  <si>
    <t>ORD-1766</t>
  </si>
  <si>
    <t>ORD-2930</t>
  </si>
  <si>
    <t>ORD-1980</t>
  </si>
  <si>
    <t>ORD-1627</t>
  </si>
  <si>
    <t>ORD-1538</t>
  </si>
  <si>
    <t>ORD-2639</t>
  </si>
  <si>
    <t>ORD-2268</t>
  </si>
  <si>
    <t>7/21/2026</t>
  </si>
  <si>
    <t>ORD-1465</t>
  </si>
  <si>
    <t>ORD-2439</t>
  </si>
  <si>
    <t>ORD-2338</t>
  </si>
  <si>
    <t>7/20/2026</t>
  </si>
  <si>
    <t>ORD-1311</t>
  </si>
  <si>
    <t>ORD-1225</t>
  </si>
  <si>
    <t>ORD-2845</t>
  </si>
  <si>
    <t>ORD-1662</t>
  </si>
  <si>
    <t>ORD-2618</t>
  </si>
  <si>
    <t>ORD-2471</t>
  </si>
  <si>
    <t>ORD-1087</t>
  </si>
  <si>
    <t>7/19/2026</t>
  </si>
  <si>
    <t>ORD-1973</t>
  </si>
  <si>
    <t>ORD-2837</t>
  </si>
  <si>
    <t>ORD-1884</t>
  </si>
  <si>
    <t>7/18/2026</t>
  </si>
  <si>
    <t>ORD-1576</t>
  </si>
  <si>
    <t>7/17/2026</t>
  </si>
  <si>
    <t>ORD-1790</t>
  </si>
  <si>
    <t>7/16/2026</t>
  </si>
  <si>
    <t>ORD-1657</t>
  </si>
  <si>
    <t>ORD-1446</t>
  </si>
  <si>
    <t>ORD-2940</t>
  </si>
  <si>
    <t>7/15/2026</t>
  </si>
  <si>
    <t>ORD-1781</t>
  </si>
  <si>
    <t>7/14/2026</t>
  </si>
  <si>
    <t>ORD-2584</t>
  </si>
  <si>
    <t>ORD-2496</t>
  </si>
  <si>
    <t>ORD-2420</t>
  </si>
  <si>
    <t>ORD-2876</t>
  </si>
  <si>
    <t>7/13/2026</t>
  </si>
  <si>
    <t>ORD-1516</t>
  </si>
  <si>
    <t>ORD-2100</t>
  </si>
  <si>
    <t>ORD-1520</t>
  </si>
  <si>
    <t>ORD-2817</t>
  </si>
  <si>
    <t>ORD-1366</t>
  </si>
  <si>
    <t>6/30/2026</t>
  </si>
  <si>
    <t>ORD-2802</t>
  </si>
  <si>
    <t>ORD-2892</t>
  </si>
  <si>
    <t>ORD-2403</t>
  </si>
  <si>
    <t>6/29/2026</t>
  </si>
  <si>
    <t>ORD-2304</t>
  </si>
  <si>
    <t>ORD-2656</t>
  </si>
  <si>
    <t>ORD-2638</t>
  </si>
  <si>
    <t>ORD-1878</t>
  </si>
  <si>
    <t>ORD-2807</t>
  </si>
  <si>
    <t>ORD-2628</t>
  </si>
  <si>
    <t>6/28/2026</t>
  </si>
  <si>
    <t>ORD-1327</t>
  </si>
  <si>
    <t>ORD-1201</t>
  </si>
  <si>
    <t>ORD-1644</t>
  </si>
  <si>
    <t>ORD-1328</t>
  </si>
  <si>
    <t>ORD-1279</t>
  </si>
  <si>
    <t>ORD-1226</t>
  </si>
  <si>
    <t>6/27/2026</t>
  </si>
  <si>
    <t>ORD-2787</t>
  </si>
  <si>
    <t>ORD-1920</t>
  </si>
  <si>
    <t>ORD-1262</t>
  </si>
  <si>
    <t>ORD-1147</t>
  </si>
  <si>
    <t>ORD-1257</t>
  </si>
  <si>
    <t>ORD-1044</t>
  </si>
  <si>
    <t>6/26/2026</t>
  </si>
  <si>
    <t>ORD-2521</t>
  </si>
  <si>
    <t>ORD-1438</t>
  </si>
  <si>
    <t>ORD-2861</t>
  </si>
  <si>
    <t>6/25/2026</t>
  </si>
  <si>
    <t>ORD-1232</t>
  </si>
  <si>
    <t>ORD-2927</t>
  </si>
  <si>
    <t>ORD-1535</t>
  </si>
  <si>
    <t>ORD-1986</t>
  </si>
  <si>
    <t>ORD-1642</t>
  </si>
  <si>
    <t>6/24/2026</t>
  </si>
  <si>
    <t>ORD-2351</t>
  </si>
  <si>
    <t>ORD-1960</t>
  </si>
  <si>
    <t>ORD-1250</t>
  </si>
  <si>
    <t>ORD-2621</t>
  </si>
  <si>
    <t>ORD-1660</t>
  </si>
  <si>
    <t>6/23/2026</t>
  </si>
  <si>
    <t>ORD-1883</t>
  </si>
  <si>
    <t>ORD-1162</t>
  </si>
  <si>
    <t>ORD-1156</t>
  </si>
  <si>
    <t>ORD-2721</t>
  </si>
  <si>
    <t>ORD-1755</t>
  </si>
  <si>
    <t>ORD-2553</t>
  </si>
  <si>
    <t>ORD-1514</t>
  </si>
  <si>
    <t>ORD-2121</t>
  </si>
  <si>
    <t>ORD-2662</t>
  </si>
  <si>
    <t>ORD-2769</t>
  </si>
  <si>
    <t>ORD-2243</t>
  </si>
  <si>
    <t>ORD-1220</t>
  </si>
  <si>
    <t>6/22/2026</t>
  </si>
  <si>
    <t>ORD-2092</t>
  </si>
  <si>
    <t>ORD-1049</t>
  </si>
  <si>
    <t>ORD-1594</t>
  </si>
  <si>
    <t>6/21/2026</t>
  </si>
  <si>
    <t>ORD-2916</t>
  </si>
  <si>
    <t>ORD-1431</t>
  </si>
  <si>
    <t>ORD-1170</t>
  </si>
  <si>
    <t>6/20/2026</t>
  </si>
  <si>
    <t>ORD-2778</t>
  </si>
  <si>
    <t>ORD-1397</t>
  </si>
  <si>
    <t>ORD-2087</t>
  </si>
  <si>
    <t>ORD-1116</t>
  </si>
  <si>
    <t>ORD-2371</t>
  </si>
  <si>
    <t>ORD-1734</t>
  </si>
  <si>
    <t>ORD-2577</t>
  </si>
  <si>
    <t>6/19/2026</t>
  </si>
  <si>
    <t>ORD-1981</t>
  </si>
  <si>
    <t>ORD-2527</t>
  </si>
  <si>
    <t>ORD-2764</t>
  </si>
  <si>
    <t>ORD-2770</t>
  </si>
  <si>
    <t>ORD-2870</t>
  </si>
  <si>
    <t>ORD-2208</t>
  </si>
  <si>
    <t>ORD-1592</t>
  </si>
  <si>
    <t>6/18/2026</t>
  </si>
  <si>
    <t>ORD-1914</t>
  </si>
  <si>
    <t>ORD-1698</t>
  </si>
  <si>
    <t>ORD-1370</t>
  </si>
  <si>
    <t>ORD-2522</t>
  </si>
  <si>
    <t>ORD-2491</t>
  </si>
  <si>
    <t>ORD-1336</t>
  </si>
  <si>
    <t>ORD-1152</t>
  </si>
  <si>
    <t>ORD-1301</t>
  </si>
  <si>
    <t>ORD-1168</t>
  </si>
  <si>
    <t>ORD-2642</t>
  </si>
  <si>
    <t>6/17/2026</t>
  </si>
  <si>
    <t>ORD-2072</t>
  </si>
  <si>
    <t>ORD-2692</t>
  </si>
  <si>
    <t>ORD-2544</t>
  </si>
  <si>
    <t>ORD-2645</t>
  </si>
  <si>
    <t>ORD-1333</t>
  </si>
  <si>
    <t>ORD-1016</t>
  </si>
  <si>
    <t>ORD-2871</t>
  </si>
  <si>
    <t>ORD-1157</t>
  </si>
  <si>
    <t>ORD-2477</t>
  </si>
  <si>
    <t>6/16/2026</t>
  </si>
  <si>
    <t>ORD-2556</t>
  </si>
  <si>
    <t>ORD-1619</t>
  </si>
  <si>
    <t>ORD-2053</t>
  </si>
  <si>
    <t>ORD-2308</t>
  </si>
  <si>
    <t>ORD-2054</t>
  </si>
  <si>
    <t>ORD-1588</t>
  </si>
  <si>
    <t>ORD-1838</t>
  </si>
  <si>
    <t>6/15/2026</t>
  </si>
  <si>
    <t>ORD-2664</t>
  </si>
  <si>
    <t>ORD-2593</t>
  </si>
  <si>
    <t>ORD-2244</t>
  </si>
  <si>
    <t>ORD-1950</t>
  </si>
  <si>
    <t>ORD-1436</t>
  </si>
  <si>
    <t>ORD-2101</t>
  </si>
  <si>
    <t>ORD-1679</t>
  </si>
  <si>
    <t>6/14/2026</t>
  </si>
  <si>
    <t>ORD-1641</t>
  </si>
  <si>
    <t>ORD-1579</t>
  </si>
  <si>
    <t>ORD-1964</t>
  </si>
  <si>
    <t>ORD-1284</t>
  </si>
  <si>
    <t>ORD-2629</t>
  </si>
  <si>
    <t>6/13/2026</t>
  </si>
  <si>
    <t>ORD-1175</t>
  </si>
  <si>
    <t>ORD-2305</t>
  </si>
  <si>
    <t>ORD-1472</t>
  </si>
  <si>
    <t>ORD-1765</t>
  </si>
  <si>
    <t>ORD-2286</t>
  </si>
  <si>
    <t>ORD-1689</t>
  </si>
  <si>
    <t>ORD-1320</t>
  </si>
  <si>
    <t>ORD-2236</t>
  </si>
  <si>
    <t>5/31/2026</t>
  </si>
  <si>
    <t>ORD-2903</t>
  </si>
  <si>
    <t>ORD-1121</t>
  </si>
  <si>
    <t>ORD-2093</t>
  </si>
  <si>
    <t>5/30/2026</t>
  </si>
  <si>
    <t>ORD-2249</t>
  </si>
  <si>
    <t>ORD-2184</t>
  </si>
  <si>
    <t>ORD-2601</t>
  </si>
  <si>
    <t>ORD-1160</t>
  </si>
  <si>
    <t>ORD-2417</t>
  </si>
  <si>
    <t>5/29/2026</t>
  </si>
  <si>
    <t>ORD-1342</t>
  </si>
  <si>
    <t>ORD-2710</t>
  </si>
  <si>
    <t>ORD-2619</t>
  </si>
  <si>
    <t>ORD-2785</t>
  </si>
  <si>
    <t>ORD-1368</t>
  </si>
  <si>
    <t>ORD-2702</t>
  </si>
  <si>
    <t>ORD-2854</t>
  </si>
  <si>
    <t>ORD-1896</t>
  </si>
  <si>
    <t>ORD-1735</t>
  </si>
  <si>
    <t>ORD-1848</t>
  </si>
  <si>
    <t>ORD-1849</t>
  </si>
  <si>
    <t>5/28/2026</t>
  </si>
  <si>
    <t>ORD-2799</t>
  </si>
  <si>
    <t>ORD-1778</t>
  </si>
  <si>
    <t>ORD-2625</t>
  </si>
  <si>
    <t>ORD-2697</t>
  </si>
  <si>
    <t>ORD-2557</t>
  </si>
  <si>
    <t>ORD-2630</t>
  </si>
  <si>
    <t>ORD-1349</t>
  </si>
  <si>
    <t>5/27/2026</t>
  </si>
  <si>
    <t>ORD-2283</t>
  </si>
  <si>
    <t>ORD-1271</t>
  </si>
  <si>
    <t>ORD-1812</t>
  </si>
  <si>
    <t>ORD-2005</t>
  </si>
  <si>
    <t>ORD-1764</t>
  </si>
  <si>
    <t>ORD-1934</t>
  </si>
  <si>
    <t>5/26/2026</t>
  </si>
  <si>
    <t>ORD-2476</t>
  </si>
  <si>
    <t>ORD-2256</t>
  </si>
  <si>
    <t>ORD-1399</t>
  </si>
  <si>
    <t>ORD-2887</t>
  </si>
  <si>
    <t>ORD-1080</t>
  </si>
  <si>
    <t>ORD-1995</t>
  </si>
  <si>
    <t>5/25/2026</t>
  </si>
  <si>
    <t>ORD-1910</t>
  </si>
  <si>
    <t>ORD-1559</t>
  </si>
  <si>
    <t>ORD-1354</t>
  </si>
  <si>
    <t>ORD-1937</t>
  </si>
  <si>
    <t>ORD-1219</t>
  </si>
  <si>
    <t>ORD-1859</t>
  </si>
  <si>
    <t>5/24/2026</t>
  </si>
  <si>
    <t>ORD-1836</t>
  </si>
  <si>
    <t>ORD-1661</t>
  </si>
  <si>
    <t>ORD-1947</t>
  </si>
  <si>
    <t>ORD-1692</t>
  </si>
  <si>
    <t>ORD-1983</t>
  </si>
  <si>
    <t>ORD-2944</t>
  </si>
  <si>
    <t>ORD-2414</t>
  </si>
  <si>
    <t>5/23/2026</t>
  </si>
  <si>
    <t>ORD-2850</t>
  </si>
  <si>
    <t>ORD-1887</t>
  </si>
  <si>
    <t>ORD-2433</t>
  </si>
  <si>
    <t>ORD-1613</t>
  </si>
  <si>
    <t>5/22/2026</t>
  </si>
  <si>
    <t>ORD-1621</t>
  </si>
  <si>
    <t>ORD-2931</t>
  </si>
  <si>
    <t>ORD-1844</t>
  </si>
  <si>
    <t>ORD-1800</t>
  </si>
  <si>
    <t>ORD-2867</t>
  </si>
  <si>
    <t>ORD-2654</t>
  </si>
  <si>
    <t>ORD-2866</t>
  </si>
  <si>
    <t>ORD-1347</t>
  </si>
  <si>
    <t>ORD-2153</t>
  </si>
  <si>
    <t>ORD-1449</t>
  </si>
  <si>
    <t>5/21/2026</t>
  </si>
  <si>
    <t>ORD-2457</t>
  </si>
  <si>
    <t>ORD-1181</t>
  </si>
  <si>
    <t>ORD-2388</t>
  </si>
  <si>
    <t>ORD-1335</t>
  </si>
  <si>
    <t>ORD-1624</t>
  </si>
  <si>
    <t>5/20/2026</t>
  </si>
  <si>
    <t>ORD-1994</t>
  </si>
  <si>
    <t>ORD-1985</t>
  </si>
  <si>
    <t>ORD-2840</t>
  </si>
  <si>
    <t>ORD-1846</t>
  </si>
  <si>
    <t>ORD-2181</t>
  </si>
  <si>
    <t>ORD-1300</t>
  </si>
  <si>
    <t>ORD-1635</t>
  </si>
  <si>
    <t>5/19/2026</t>
  </si>
  <si>
    <t>ORD-1607</t>
  </si>
  <si>
    <t>ORD-1668</t>
  </si>
  <si>
    <t>ORD-1810</t>
  </si>
  <si>
    <t>ORD-1364</t>
  </si>
  <si>
    <t>ORD-2466</t>
  </si>
  <si>
    <t>5/18/2026</t>
  </si>
  <si>
    <t>ORD-2879</t>
  </si>
  <si>
    <t>ORD-1423</t>
  </si>
  <si>
    <t>ORD-2917</t>
  </si>
  <si>
    <t>ORD-2114</t>
  </si>
  <si>
    <t>ORD-1081</t>
  </si>
  <si>
    <t>ORD-1111</t>
  </si>
  <si>
    <t>ORD-1500</t>
  </si>
  <si>
    <t>5/17/2026</t>
  </si>
  <si>
    <t>ORD-2222</t>
  </si>
  <si>
    <t>ORD-2144</t>
  </si>
  <si>
    <t>ORD-1082</t>
  </si>
  <si>
    <t>5/16/2026</t>
  </si>
  <si>
    <t>ORD-1125</t>
  </si>
  <si>
    <t>ORD-1885</t>
  </si>
  <si>
    <t>ORD-1099</t>
  </si>
  <si>
    <t>5/15/2026</t>
  </si>
  <si>
    <t>ORD-1381</t>
  </si>
  <si>
    <t>ORD-1454</t>
  </si>
  <si>
    <t>ORD-2937</t>
  </si>
  <si>
    <t>ORD-1238</t>
  </si>
  <si>
    <t>ORD-1239</t>
  </si>
  <si>
    <t>ORD-2104</t>
  </si>
  <si>
    <t>ORD-2425</t>
  </si>
  <si>
    <t>ORD-1234</t>
  </si>
  <si>
    <t>ORD-2969</t>
  </si>
  <si>
    <t>5/14/2026</t>
  </si>
  <si>
    <t>ORD-1990</t>
  </si>
  <si>
    <t>ORD-2004</t>
  </si>
  <si>
    <t>ORD-2634</t>
  </si>
  <si>
    <t>ORD-1654</t>
  </si>
  <si>
    <t>ORD-1298</t>
  </si>
  <si>
    <t>5/13/2026</t>
  </si>
  <si>
    <t>ORD-2197</t>
  </si>
  <si>
    <t>ORD-2703</t>
  </si>
  <si>
    <t>ORD-2505</t>
  </si>
  <si>
    <t>4/30/2026</t>
  </si>
  <si>
    <t>ORD-2064</t>
  </si>
  <si>
    <t>ORD-2117</t>
  </si>
  <si>
    <t>ORD-2358</t>
  </si>
  <si>
    <t>ORD-1862</t>
  </si>
  <si>
    <t>4/29/2026</t>
  </si>
  <si>
    <t>ORD-2266</t>
  </si>
  <si>
    <t>ORD-2641</t>
  </si>
  <si>
    <t>ORD-2869</t>
  </si>
  <si>
    <t>ORD-1199</t>
  </si>
  <si>
    <t>ORD-1459</t>
  </si>
  <si>
    <t>ORD-1400</t>
  </si>
  <si>
    <t>ORD-1797</t>
  </si>
  <si>
    <t>ORD-2183</t>
  </si>
  <si>
    <t>ORD-1712</t>
  </si>
  <si>
    <t>ORD-1722</t>
  </si>
  <si>
    <t>ORD-2729</t>
  </si>
  <si>
    <t>4/28/2026</t>
  </si>
  <si>
    <t>ORD-2413</t>
  </si>
  <si>
    <t>ORD-1839</t>
  </si>
  <si>
    <t>ORD-2932</t>
  </si>
  <si>
    <t>ORD-2540</t>
  </si>
  <si>
    <t>ORD-1015</t>
  </si>
  <si>
    <t>ORD-1640</t>
  </si>
  <si>
    <t>ORD-2384</t>
  </si>
  <si>
    <t>4/27/2026</t>
  </si>
  <si>
    <t>ORD-1252</t>
  </si>
  <si>
    <t>ORD-2789</t>
  </si>
  <si>
    <t>ORD-1214</t>
  </si>
  <si>
    <t>ORD-1051</t>
  </si>
  <si>
    <t>ORD-1057</t>
  </si>
  <si>
    <t>4/26/2026</t>
  </si>
  <si>
    <t>ORD-2434</t>
  </si>
  <si>
    <t>ORD-1022</t>
  </si>
  <si>
    <t>ORD-2196</t>
  </si>
  <si>
    <t>ORD-1686</t>
  </si>
  <si>
    <t>ORD-1555</t>
  </si>
  <si>
    <t>4/25/2026</t>
  </si>
  <si>
    <t>ORD-2258</t>
  </si>
  <si>
    <t>ORD-1433</t>
  </si>
  <si>
    <t>ORD-1186</t>
  </si>
  <si>
    <t>ORD-2233</t>
  </si>
  <si>
    <t>ORD-2290</t>
  </si>
  <si>
    <t>ORD-2242</t>
  </si>
  <si>
    <t>4/24/2026</t>
  </si>
  <si>
    <t>ORD-2278</t>
  </si>
  <si>
    <t>ORD-1913</t>
  </si>
  <si>
    <t>ORD-1312</t>
  </si>
  <si>
    <t>ORD-2719</t>
  </si>
  <si>
    <t>ORD-1629</t>
  </si>
  <si>
    <t>ORD-1448</t>
  </si>
  <si>
    <t>ORD-2378</t>
  </si>
  <si>
    <t>ORD-2135</t>
  </si>
  <si>
    <t>ORD-2714</t>
  </si>
  <si>
    <t>4/23/2026</t>
  </si>
  <si>
    <t>ORD-1260</t>
  </si>
  <si>
    <t>ORD-1434</t>
  </si>
  <si>
    <t>ORD-2715</t>
  </si>
  <si>
    <t>ORD-1578</t>
  </si>
  <si>
    <t>ORD-1090</t>
  </si>
  <si>
    <t>ORD-2675</t>
  </si>
  <si>
    <t>ORD-1510</t>
  </si>
  <si>
    <t>ORD-2809</t>
  </si>
  <si>
    <t>ORD-1852</t>
  </si>
  <si>
    <t>4/22/2026</t>
  </si>
  <si>
    <t>ORD-1541</t>
  </si>
  <si>
    <t>ORD-1480</t>
  </si>
  <si>
    <t>ORD-2465</t>
  </si>
  <si>
    <t>4/21/2026</t>
  </si>
  <si>
    <t>ORD-2292</t>
  </si>
  <si>
    <t>ORD-2223</t>
  </si>
  <si>
    <t>ORD-1106</t>
  </si>
  <si>
    <t>ORD-1870</t>
  </si>
  <si>
    <t>ORD-1615</t>
  </si>
  <si>
    <t>4/20/2026</t>
  </si>
  <si>
    <t>ORD-1337</t>
  </si>
  <si>
    <t>ORD-1609</t>
  </si>
  <si>
    <t>ORD-2149</t>
  </si>
  <si>
    <t>ORD-2013</t>
  </si>
  <si>
    <t>ORD-2382</t>
  </si>
  <si>
    <t>ORD-1497</t>
  </si>
  <si>
    <t>ORD-2520</t>
  </si>
  <si>
    <t>ORD-2658</t>
  </si>
  <si>
    <t>ORD-2287</t>
  </si>
  <si>
    <t>4/19/2026</t>
  </si>
  <si>
    <t>ORD-1009</t>
  </si>
  <si>
    <t>ORD-2151</t>
  </si>
  <si>
    <t>ORD-2011</t>
  </si>
  <si>
    <t>ORD-1787</t>
  </si>
  <si>
    <t>4/18/2026</t>
  </si>
  <si>
    <t>ORD-1079</t>
  </si>
  <si>
    <t>ORD-2450</t>
  </si>
  <si>
    <t>ORD-1711</t>
  </si>
  <si>
    <t>4/17/2026</t>
  </si>
  <si>
    <t>ORD-2399</t>
  </si>
  <si>
    <t>ORD-2814</t>
  </si>
  <si>
    <t>ORD-1474</t>
  </si>
  <si>
    <t>ORD-2271</t>
  </si>
  <si>
    <t>4/16/2026</t>
  </si>
  <si>
    <t>ORD-2029</t>
  </si>
  <si>
    <t>ORD-2375</t>
  </si>
  <si>
    <t>ORD-1155</t>
  </si>
  <si>
    <t>ORD-2082</t>
  </si>
  <si>
    <t>ORD-2241</t>
  </si>
  <si>
    <t>ORD-1648</t>
  </si>
  <si>
    <t>ORD-1224</t>
  </si>
  <si>
    <t>ORD-2177</t>
  </si>
  <si>
    <t>4/15/2026</t>
  </si>
  <si>
    <t>ORD-2282</t>
  </si>
  <si>
    <t>ORD-2948</t>
  </si>
  <si>
    <t>ORD-1058</t>
  </si>
  <si>
    <t>ORD-1919</t>
  </si>
  <si>
    <t>4/14/2026</t>
  </si>
  <si>
    <t>ORD-2781</t>
  </si>
  <si>
    <t>ORD-2536</t>
  </si>
  <si>
    <t>ORD-2161</t>
  </si>
  <si>
    <t>ORD-2643</t>
  </si>
  <si>
    <t>ORD-1285</t>
  </si>
  <si>
    <t>ORD-1089</t>
  </si>
  <si>
    <t>ORD-2006</t>
  </si>
  <si>
    <t>4/13/2026</t>
  </si>
  <si>
    <t>ORD-2010</t>
  </si>
  <si>
    <t>ORD-2563</t>
  </si>
  <si>
    <t>ORD-1343</t>
  </si>
  <si>
    <t>ORD-1094</t>
  </si>
  <si>
    <t>3/31/2026</t>
  </si>
  <si>
    <t>ORD-2015</t>
  </si>
  <si>
    <t>ORD-1036</t>
  </si>
  <si>
    <t>ORD-1898</t>
  </si>
  <si>
    <t>ORD-1119</t>
  </si>
  <si>
    <t>ORD-2274</t>
  </si>
  <si>
    <t>ORD-2846</t>
  </si>
  <si>
    <t>ORD-2984</t>
  </si>
  <si>
    <t>ORD-1807</t>
  </si>
  <si>
    <t>3/30/2026</t>
  </si>
  <si>
    <t>ORD-1506</t>
  </si>
  <si>
    <t>ORD-1894</t>
  </si>
  <si>
    <t>ORD-2284</t>
  </si>
  <si>
    <t>ORD-1332</t>
  </si>
  <si>
    <t>3/29/2026</t>
  </si>
  <si>
    <t>ORD-2367</t>
  </si>
  <si>
    <t>ORD-2555</t>
  </si>
  <si>
    <t>ORD-1317</t>
  </si>
  <si>
    <t>3/28/2026</t>
  </si>
  <si>
    <t>ORD-1632</t>
  </si>
  <si>
    <t>ORD-1602</t>
  </si>
  <si>
    <t>ORD-2429</t>
  </si>
  <si>
    <t>ORD-2853</t>
  </si>
  <si>
    <t>ORD-1216</t>
  </si>
  <si>
    <t>ORD-2014</t>
  </si>
  <si>
    <t>ORD-2356</t>
  </si>
  <si>
    <t>ORD-2393</t>
  </si>
  <si>
    <t>ORD-1524</t>
  </si>
  <si>
    <t>ORD-1824</t>
  </si>
  <si>
    <t>3/27/2026</t>
  </si>
  <si>
    <t>ORD-2548</t>
  </si>
  <si>
    <t>ORD-1702</t>
  </si>
  <si>
    <t>ORD-2942</t>
  </si>
  <si>
    <t>ORD-1460</t>
  </si>
  <si>
    <t>ORD-2856</t>
  </si>
  <si>
    <t>ORD-2139</t>
  </si>
  <si>
    <t>3/26/2026</t>
  </si>
  <si>
    <t>ORD-1040</t>
  </si>
  <si>
    <t>ORD-1818</t>
  </si>
  <si>
    <t>ORD-2262</t>
  </si>
  <si>
    <t>ORD-1269</t>
  </si>
  <si>
    <t>3/25/2026</t>
  </si>
  <si>
    <t>ORD-2967</t>
  </si>
  <si>
    <t>ORD-1424</t>
  </si>
  <si>
    <t>ORD-2074</t>
  </si>
  <si>
    <t>3/24/2026</t>
  </si>
  <si>
    <t>ORD-1441</t>
  </si>
  <si>
    <t>ORD-1384</t>
  </si>
  <si>
    <t>ORD-1246</t>
  </si>
  <si>
    <t>ORD-1378</t>
  </si>
  <si>
    <t>ORD-1575</t>
  </si>
  <si>
    <t>ORD-2105</t>
  </si>
  <si>
    <t>ORD-1979</t>
  </si>
  <si>
    <t>ORD-1296</t>
  </si>
  <si>
    <t>ORD-1932</t>
  </si>
  <si>
    <t>ORD-1062</t>
  </si>
  <si>
    <t>ORD-2957</t>
  </si>
  <si>
    <t>3/23/2026</t>
  </si>
  <si>
    <t>ORD-2823</t>
  </si>
  <si>
    <t>ORD-1174</t>
  </si>
  <si>
    <t>ORD-2448</t>
  </si>
  <si>
    <t>ORD-2708</t>
  </si>
  <si>
    <t>ORD-2166</t>
  </si>
  <si>
    <t>ORD-2830</t>
  </si>
  <si>
    <t>3/22/2026</t>
  </si>
  <si>
    <t>ORD-2495</t>
  </si>
  <si>
    <t>ORD-1039</t>
  </si>
  <si>
    <t>ORD-2716</t>
  </si>
  <si>
    <t>ORD-1976</t>
  </si>
  <si>
    <t>ORD-2833</t>
  </si>
  <si>
    <t>3/21/2026</t>
  </si>
  <si>
    <t>ORD-2129</t>
  </si>
  <si>
    <t>ORD-2342</t>
  </si>
  <si>
    <t>ORD-2267</t>
  </si>
  <si>
    <t>ORD-2525</t>
  </si>
  <si>
    <t>ORD-2255</t>
  </si>
  <si>
    <t>3/20/2026</t>
  </si>
  <si>
    <t>ORD-2235</t>
  </si>
  <si>
    <t>ORD-2051</t>
  </si>
  <si>
    <t>ORD-1968</t>
  </si>
  <si>
    <t>3/19/2026</t>
  </si>
  <si>
    <t>ORD-1534</t>
  </si>
  <si>
    <t>ORD-2676</t>
  </si>
  <si>
    <t>ORD-2374</t>
  </si>
  <si>
    <t>ORD-1675</t>
  </si>
  <si>
    <t>ORD-2359</t>
  </si>
  <si>
    <t>3/18/2026</t>
  </si>
  <si>
    <t>ORD-1361</t>
  </si>
  <si>
    <t>ORD-2659</t>
  </si>
  <si>
    <t>ORD-1209</t>
  </si>
  <si>
    <t>ORD-2138</t>
  </si>
  <si>
    <t>ORD-1213</t>
  </si>
  <si>
    <t>3/17/2026</t>
  </si>
  <si>
    <t>ORD-2962</t>
  </si>
  <si>
    <t>ORD-1002</t>
  </si>
  <si>
    <t>ORD-1847</t>
  </si>
  <si>
    <t>ORD-2086</t>
  </si>
  <si>
    <t>3/16/2026</t>
  </si>
  <si>
    <t>ORD-1907</t>
  </si>
  <si>
    <t>ORD-2594</t>
  </si>
  <si>
    <t>ORD-1591</t>
  </si>
  <si>
    <t>ORD-1872</t>
  </si>
  <si>
    <t>ORD-1823</t>
  </si>
  <si>
    <t>ORD-2259</t>
  </si>
  <si>
    <t>ORD-2482</t>
  </si>
  <si>
    <t>3/15/2026</t>
  </si>
  <si>
    <t>ORD-1184</t>
  </si>
  <si>
    <t>ORD-1806</t>
  </si>
  <si>
    <t>ORD-3000</t>
  </si>
  <si>
    <t>ORD-2608</t>
  </si>
  <si>
    <t>ORD-2848</t>
  </si>
  <si>
    <t>ORD-2827</t>
  </si>
  <si>
    <t>ORD-2724</t>
  </si>
  <si>
    <t>3/14/2026</t>
  </si>
  <si>
    <t>ORD-2627</t>
  </si>
  <si>
    <t>ORD-2383</t>
  </si>
  <si>
    <t>ORD-1419</t>
  </si>
  <si>
    <t>ORD-2596</t>
  </si>
  <si>
    <t>ORD-2507</t>
  </si>
  <si>
    <t>ORD-1793</t>
  </si>
  <si>
    <t>ORD-1697</t>
  </si>
  <si>
    <t>ORD-2516</t>
  </si>
  <si>
    <t>3/13/2026</t>
  </si>
  <si>
    <t>ORD-2904</t>
  </si>
  <si>
    <t>ORD-2652</t>
  </si>
  <si>
    <t>ORD-1153</t>
  </si>
  <si>
    <t>2/28/2026</t>
  </si>
  <si>
    <t>ORD-2882</t>
  </si>
  <si>
    <t>ORD-1235</t>
  </si>
  <si>
    <t>ORD-1283</t>
  </si>
  <si>
    <t>ORD-2847</t>
  </si>
  <si>
    <t>ORD-2206</t>
  </si>
  <si>
    <t>ORD-2431</t>
  </si>
  <si>
    <t>ORD-1877</t>
  </si>
  <si>
    <t>2/27/2026</t>
  </si>
  <si>
    <t>ORD-2075</t>
  </si>
  <si>
    <t>ORD-1190</t>
  </si>
  <si>
    <t>ORD-1738</t>
  </si>
  <si>
    <t>2/26/2026</t>
  </si>
  <si>
    <t>ORD-2811</t>
  </si>
  <si>
    <t>ORD-1375</t>
  </si>
  <si>
    <t>ORD-2499</t>
  </si>
  <si>
    <t>2/25/2026</t>
  </si>
  <si>
    <t>ORD-2041</t>
  </si>
  <si>
    <t>ORD-2678</t>
  </si>
  <si>
    <t>ORD-1122</t>
  </si>
  <si>
    <t>ORD-1942</t>
  </si>
  <si>
    <t>ORD-1860</t>
  </si>
  <si>
    <t>2/24/2026</t>
  </si>
  <si>
    <t>ORD-2186</t>
  </si>
  <si>
    <t>ORD-1563</t>
  </si>
  <si>
    <t>ORD-1453</t>
  </si>
  <si>
    <t>ORD-2150</t>
  </si>
  <si>
    <t>ORD-1206</t>
  </si>
  <si>
    <t>ORD-1109</t>
  </si>
  <si>
    <t>ORD-2042</t>
  </si>
  <si>
    <t>2/23/2026</t>
  </si>
  <si>
    <t>ORD-2531</t>
  </si>
  <si>
    <t>ORD-2046</t>
  </si>
  <si>
    <t>ORD-2763</t>
  </si>
  <si>
    <t>2/22/2026</t>
  </si>
  <si>
    <t>ORD-2219</t>
  </si>
  <si>
    <t>ORD-2261</t>
  </si>
  <si>
    <t>ORD-2508</t>
  </si>
  <si>
    <t>ORD-1308</t>
  </si>
  <si>
    <t>ORD-2685</t>
  </si>
  <si>
    <t>ORD-1356</t>
  </si>
  <si>
    <t>ORD-2303</t>
  </si>
  <si>
    <t>2/21/2026</t>
  </si>
  <si>
    <t>ORD-2886</t>
  </si>
  <si>
    <t>ORD-1149</t>
  </si>
  <si>
    <t>ORD-1107</t>
  </si>
  <si>
    <t>ORD-2765</t>
  </si>
  <si>
    <t>ORD-1525</t>
  </si>
  <si>
    <t>ORD-2751</t>
  </si>
  <si>
    <t>ORD-2754</t>
  </si>
  <si>
    <t>2/20/2026</t>
  </si>
  <si>
    <t>ORD-2252</t>
  </si>
  <si>
    <t>ORD-2063</t>
  </si>
  <si>
    <t>ORD-2387</t>
  </si>
  <si>
    <t>ORD-1518</t>
  </si>
  <si>
    <t>ORD-2977</t>
  </si>
  <si>
    <t>2/19/2026</t>
  </si>
  <si>
    <t>ORD-2908</t>
  </si>
  <si>
    <t>ORD-2385</t>
  </si>
  <si>
    <t>ORD-2923</t>
  </si>
  <si>
    <t>ORD-1228</t>
  </si>
  <si>
    <t>ORD-2862</t>
  </si>
  <si>
    <t>ORD-1344</t>
  </si>
  <si>
    <t>ORD-1888</t>
  </si>
  <si>
    <t>ORD-1464</t>
  </si>
  <si>
    <t>ORD-1309</t>
  </si>
  <si>
    <t>2/18/2026</t>
  </si>
  <si>
    <t>ORD-2717</t>
  </si>
  <si>
    <t>ORD-1104</t>
  </si>
  <si>
    <t>2/17/2026</t>
  </si>
  <si>
    <t>ORD-2873</t>
  </si>
  <si>
    <t>ORD-2050</t>
  </si>
  <si>
    <t>ORD-1796</t>
  </si>
  <si>
    <t>2/16/2026</t>
  </si>
  <si>
    <t>ORD-2559</t>
  </si>
  <si>
    <t>ORD-1178</t>
  </si>
  <si>
    <t>2/15/2026</t>
  </si>
  <si>
    <t>ORD-1971</t>
  </si>
  <si>
    <t>ORD-1437</t>
  </si>
  <si>
    <t>ORD-2079</t>
  </si>
  <si>
    <t>ORD-1222</t>
  </si>
  <si>
    <t>2/14/2026</t>
  </si>
  <si>
    <t>ORD-2597</t>
  </si>
  <si>
    <t>ORD-2938</t>
  </si>
  <si>
    <t>ORD-2945</t>
  </si>
  <si>
    <t>ORD-2331</t>
  </si>
  <si>
    <t>2/13/2026</t>
  </si>
  <si>
    <t>ORD-2701</t>
  </si>
  <si>
    <t>ORD-2343</t>
  </si>
  <si>
    <t>ORD-2728</t>
  </si>
  <si>
    <t>12/31/2026</t>
  </si>
  <si>
    <t>ORD-2947</t>
  </si>
  <si>
    <t>ORD-1850</t>
  </si>
  <si>
    <t>ORD-2812</t>
  </si>
  <si>
    <t>ORD-1026</t>
  </si>
  <si>
    <t>12/30/2026</t>
  </si>
  <si>
    <t>ORD-1241</t>
  </si>
  <si>
    <t>ORD-1886</t>
  </si>
  <si>
    <t>ORD-1013</t>
  </si>
  <si>
    <t>ORD-1021</t>
  </si>
  <si>
    <t>ORD-2008</t>
  </si>
  <si>
    <t>ORD-1568</t>
  </si>
  <si>
    <t>12/29/2026</t>
  </si>
  <si>
    <t>ORD-1566</t>
  </si>
  <si>
    <t>ORD-1637</t>
  </si>
  <si>
    <t>ORD-2600</t>
  </si>
  <si>
    <t>ORD-2481</t>
  </si>
  <si>
    <t>12/28/2026</t>
  </si>
  <si>
    <t>ORD-2272</t>
  </si>
  <si>
    <t>ORD-2564</t>
  </si>
  <si>
    <t>ORD-1105</t>
  </si>
  <si>
    <t>ORD-1551</t>
  </si>
  <si>
    <t>ORD-2929</t>
  </si>
  <si>
    <t>ORD-1425</t>
  </si>
  <si>
    <t>ORD-1072</t>
  </si>
  <si>
    <t>12/27/2026</t>
  </si>
  <si>
    <t>ORD-2398</t>
  </si>
  <si>
    <t>ORD-1321</t>
  </si>
  <si>
    <t>ORD-2192</t>
  </si>
  <si>
    <t>ORD-1803</t>
  </si>
  <si>
    <t>ORD-2826</t>
  </si>
  <si>
    <t>ORD-1100</t>
  </si>
  <si>
    <t>ORD-1699</t>
  </si>
  <si>
    <t>ORD-1410</t>
  </si>
  <si>
    <t>12/26/2026</t>
  </si>
  <si>
    <t>ORD-1782</t>
  </si>
  <si>
    <t>ORD-2122</t>
  </si>
  <si>
    <t>ORD-2598</t>
  </si>
  <si>
    <t>ORD-2996</t>
  </si>
  <si>
    <t>ORD-2587</t>
  </si>
  <si>
    <t>ORD-2829</t>
  </si>
  <si>
    <t>12/25/2026</t>
  </si>
  <si>
    <t>ORD-1655</t>
  </si>
  <si>
    <t>ORD-1169</t>
  </si>
  <si>
    <t>ORD-1802</t>
  </si>
  <si>
    <t>ORD-2818</t>
  </si>
  <si>
    <t>ORD-2779</t>
  </si>
  <si>
    <t>ORD-2857</t>
  </si>
  <si>
    <t>ORD-1365</t>
  </si>
  <si>
    <t>12/24/2026</t>
  </si>
  <si>
    <t>ORD-2485</t>
  </si>
  <si>
    <t>ORD-2599</t>
  </si>
  <si>
    <t>ORD-2302</t>
  </si>
  <si>
    <t>ORD-2419</t>
  </si>
  <si>
    <t>12/23/2026</t>
  </si>
  <si>
    <t>ORD-2726</t>
  </si>
  <si>
    <t>ORD-2607</t>
  </si>
  <si>
    <t>ORD-2034</t>
  </si>
  <si>
    <t>ORD-2740</t>
  </si>
  <si>
    <t>12/22/2026</t>
  </si>
  <si>
    <t>ORD-1548</t>
  </si>
  <si>
    <t>ORD-1842</t>
  </si>
  <si>
    <t>ORD-2673</t>
  </si>
  <si>
    <t>ORD-2319</t>
  </si>
  <si>
    <t>ORD-2346</t>
  </si>
  <si>
    <t>ORD-2354</t>
  </si>
  <si>
    <t>ORD-1652</t>
  </si>
  <si>
    <t>ORD-2849</t>
  </si>
  <si>
    <t>12/21/2026</t>
  </si>
  <si>
    <t>ORD-2112</t>
  </si>
  <si>
    <t>ORD-1558</t>
  </si>
  <si>
    <t>ORD-2410</t>
  </si>
  <si>
    <t>ORD-2022</t>
  </si>
  <si>
    <t>ORD-2712</t>
  </si>
  <si>
    <t>ORD-2672</t>
  </si>
  <si>
    <t>ORD-2027</t>
  </si>
  <si>
    <t>ORD-1861</t>
  </si>
  <si>
    <t>12/20/2026</t>
  </si>
  <si>
    <t>ORD-2067</t>
  </si>
  <si>
    <t>ORD-1077</t>
  </si>
  <si>
    <t>ORD-2933</t>
  </si>
  <si>
    <t>ORD-1217</t>
  </si>
  <si>
    <t>12/19/2026</t>
  </si>
  <si>
    <t>ORD-1489</t>
  </si>
  <si>
    <t>ORD-2653</t>
  </si>
  <si>
    <t>ORD-2772</t>
  </si>
  <si>
    <t>ORD-2254</t>
  </si>
  <si>
    <t>ORD-1054</t>
  </si>
  <si>
    <t>ORD-2928</t>
  </si>
  <si>
    <t>ORD-2193</t>
  </si>
  <si>
    <t>ORD-1205</t>
  </si>
  <si>
    <t>12/18/2026</t>
  </si>
  <si>
    <t>ORD-2180</t>
  </si>
  <si>
    <t>12/17/2026</t>
  </si>
  <si>
    <t>ORD-1936</t>
  </si>
  <si>
    <t>ORD-2681</t>
  </si>
  <si>
    <t>ORD-2216</t>
  </si>
  <si>
    <t>ORD-1601</t>
  </si>
  <si>
    <t>12/16/2026</t>
  </si>
  <si>
    <t>ORD-2462</t>
  </si>
  <si>
    <t>ORD-1651</t>
  </si>
  <si>
    <t>ORD-2334</t>
  </si>
  <si>
    <t>ORD-1501</t>
  </si>
  <si>
    <t>ORD-2959</t>
  </si>
  <si>
    <t>ORD-2810</t>
  </si>
  <si>
    <t>ORD-2300</t>
  </si>
  <si>
    <t>ORD-2604</t>
  </si>
  <si>
    <t>ORD-2585</t>
  </si>
  <si>
    <t>ORD-1455</t>
  </si>
  <si>
    <t>12/15/2026</t>
  </si>
  <si>
    <t>ORD-1890</t>
  </si>
  <si>
    <t>ORD-1564</t>
  </si>
  <si>
    <t>ORD-1536</t>
  </si>
  <si>
    <t>ORD-1256</t>
  </si>
  <si>
    <t>12/14/2026</t>
  </si>
  <si>
    <t>ORD-2864</t>
  </si>
  <si>
    <t>ORD-2790</t>
  </si>
  <si>
    <t>ORD-1477</t>
  </si>
  <si>
    <t>ORD-2975</t>
  </si>
  <si>
    <t>ORD-1098</t>
  </si>
  <si>
    <t>ORD-2480</t>
  </si>
  <si>
    <t>ORD-1295</t>
  </si>
  <si>
    <t>12/13/2026</t>
  </si>
  <si>
    <t>ORD-1650</t>
  </si>
  <si>
    <t>ORD-1623</t>
  </si>
  <si>
    <t>ORD-2836</t>
  </si>
  <si>
    <t>ORD-1075</t>
  </si>
  <si>
    <t>ORD-2579</t>
  </si>
  <si>
    <t>ORD-1182</t>
  </si>
  <si>
    <t>ORD-2336</t>
  </si>
  <si>
    <t>11/30/2026</t>
  </si>
  <si>
    <t>ORD-2766</t>
  </si>
  <si>
    <t>ORD-1819</t>
  </si>
  <si>
    <t>ORD-1194</t>
  </si>
  <si>
    <t>ORD-1941</t>
  </si>
  <si>
    <t>ORD-1969</t>
  </si>
  <si>
    <t>ORD-2099</t>
  </si>
  <si>
    <t>ORD-1743</t>
  </si>
  <si>
    <t>11/29/2026</t>
  </si>
  <si>
    <t>ORD-1498</t>
  </si>
  <si>
    <t>ORD-2970</t>
  </si>
  <si>
    <t>ORD-2024</t>
  </si>
  <si>
    <t>ORD-2511</t>
  </si>
  <si>
    <t>ORD-1805</t>
  </si>
  <si>
    <t>ORD-1027</t>
  </si>
  <si>
    <t>ORD-1398</t>
  </si>
  <si>
    <t>ORD-1577</t>
  </si>
  <si>
    <t>ORD-2324</t>
  </si>
  <si>
    <t>ORD-1724</t>
  </si>
  <si>
    <t>ORD-1348</t>
  </si>
  <si>
    <t>11/28/2026</t>
  </si>
  <si>
    <t>ORD-2275</t>
  </si>
  <si>
    <t>ORD-1034</t>
  </si>
  <si>
    <t>ORD-1154</t>
  </si>
  <si>
    <t>ORD-2747</t>
  </si>
  <si>
    <t>ORD-2612</t>
  </si>
  <si>
    <t>11/27/2026</t>
  </si>
  <si>
    <t>ORD-1756</t>
  </si>
  <si>
    <t>ORD-2705</t>
  </si>
  <si>
    <t>ORD-2154</t>
  </si>
  <si>
    <t>ORD-2447</t>
  </si>
  <si>
    <t>ORD-2040</t>
  </si>
  <si>
    <t>ORD-2533</t>
  </si>
  <si>
    <t>ORD-1189</t>
  </si>
  <si>
    <t>ORD-1729</t>
  </si>
  <si>
    <t>ORD-2362</t>
  </si>
  <si>
    <t>ORD-2955</t>
  </si>
  <si>
    <t>ORD-1645</t>
  </si>
  <si>
    <t>ORD-2855</t>
  </si>
  <si>
    <t>ORD-2874</t>
  </si>
  <si>
    <t>ORD-2084</t>
  </si>
  <si>
    <t>11/26/2026</t>
  </si>
  <si>
    <t>ORD-2519</t>
  </si>
  <si>
    <t>ORD-2762</t>
  </si>
  <si>
    <t>ORD-2512</t>
  </si>
  <si>
    <t>ORD-2220</t>
  </si>
  <si>
    <t>ORD-2273</t>
  </si>
  <si>
    <t>ORD-1989</t>
  </si>
  <si>
    <t>ORD-1289</t>
  </si>
  <si>
    <t>ORD-1610</t>
  </si>
  <si>
    <t>ORD-1921</t>
  </si>
  <si>
    <t>ORD-1732</t>
  </si>
  <si>
    <t>ORD-2922</t>
  </si>
  <si>
    <t>ORD-1720</t>
  </si>
  <si>
    <t>ORD-1703</t>
  </si>
  <si>
    <t>ORD-1452</t>
  </si>
  <si>
    <t>ORD-1495</t>
  </si>
  <si>
    <t>11/25/2026</t>
  </si>
  <si>
    <t>ORD-1132</t>
  </si>
  <si>
    <t>ORD-2473</t>
  </si>
  <si>
    <t>ORD-2895</t>
  </si>
  <si>
    <t>ORD-2115</t>
  </si>
  <si>
    <t>ORD-2663</t>
  </si>
  <si>
    <t>ORD-2497</t>
  </si>
  <si>
    <t>ORD-2913</t>
  </si>
  <si>
    <t>ORD-1961</t>
  </si>
  <si>
    <t>ORD-1318</t>
  </si>
  <si>
    <t>ORD-2296</t>
  </si>
  <si>
    <t>ORD-2218</t>
  </si>
  <si>
    <t>ORD-1946</t>
  </si>
  <si>
    <t>ORD-2646</t>
  </si>
  <si>
    <t>ORD-1110</t>
  </si>
  <si>
    <t>11/24/2026</t>
  </si>
  <si>
    <t>ORD-1716</t>
  </si>
  <si>
    <t>ORD-2573</t>
  </si>
  <si>
    <t>ORD-1353</t>
  </si>
  <si>
    <t>ORD-1881</t>
  </si>
  <si>
    <t>11/23/2026</t>
  </si>
  <si>
    <t>ORD-1996</t>
  </si>
  <si>
    <t>ORD-1841</t>
  </si>
  <si>
    <t>ORD-1639</t>
  </si>
  <si>
    <t>11/22/2026</t>
  </si>
  <si>
    <t>ORD-2578</t>
  </si>
  <si>
    <t>ORD-2488</t>
  </si>
  <si>
    <t>ORD-1435</t>
  </si>
  <si>
    <t>ORD-2586</t>
  </si>
  <si>
    <t>ORD-1129</t>
  </si>
  <si>
    <t>ORD-2298</t>
  </si>
  <si>
    <t>ORD-1638</t>
  </si>
  <si>
    <t>ORD-1633</t>
  </si>
  <si>
    <t>ORD-2591</t>
  </si>
  <si>
    <t>11/21/2026</t>
  </si>
  <si>
    <t>ORD-2648</t>
  </si>
  <si>
    <t>ORD-2633</t>
  </si>
  <si>
    <t>ORD-1776</t>
  </si>
  <si>
    <t>ORD-1172</t>
  </si>
  <si>
    <t>ORD-2725</t>
  </si>
  <si>
    <t>ORD-2665</t>
  </si>
  <si>
    <t>ORD-2952</t>
  </si>
  <si>
    <t>ORD-2894</t>
  </si>
  <si>
    <t>ORD-1943</t>
  </si>
  <si>
    <t>11/20/2026</t>
  </si>
  <si>
    <t>ORD-1404</t>
  </si>
  <si>
    <t>ORD-1294</t>
  </si>
  <si>
    <t>ORD-2020</t>
  </si>
  <si>
    <t>ORD-1691</t>
  </si>
  <si>
    <t>ORD-2951</t>
  </si>
  <si>
    <t>ORD-1922</t>
  </si>
  <si>
    <t>ORD-2693</t>
  </si>
  <si>
    <t>ORD-1491</t>
  </si>
  <si>
    <t>ORD-1658</t>
  </si>
  <si>
    <t>11/19/2026</t>
  </si>
  <si>
    <t>ORD-1959</t>
  </si>
  <si>
    <t>ORD-1923</t>
  </si>
  <si>
    <t>ORD-2341</t>
  </si>
  <si>
    <t>ORD-2453</t>
  </si>
  <si>
    <t>ORD-2868</t>
  </si>
  <si>
    <t>ORD-1911</t>
  </si>
  <si>
    <t>11/18/2026</t>
  </si>
  <si>
    <t>ORD-1096</t>
  </si>
  <si>
    <t>ORD-2407</t>
  </si>
  <si>
    <t>ORD-1135</t>
  </si>
  <si>
    <t>ORD-1447</t>
  </si>
  <si>
    <t>ORD-1713</t>
  </si>
  <si>
    <t>11/17/2026</t>
  </si>
  <si>
    <t>ORD-2467</t>
  </si>
  <si>
    <t>ORD-2819</t>
  </si>
  <si>
    <t>ORD-1185</t>
  </si>
  <si>
    <t>ORD-1915</t>
  </si>
  <si>
    <t>ORD-2458</t>
  </si>
  <si>
    <t>ORD-1158</t>
  </si>
  <si>
    <t>ORD-2344</t>
  </si>
  <si>
    <t>ORD-1029</t>
  </si>
  <si>
    <t>ORD-2312</t>
  </si>
  <si>
    <t>ORD-2841</t>
  </si>
  <si>
    <t>ORD-2059</t>
  </si>
  <si>
    <t>11/16/2026</t>
  </si>
  <si>
    <t>ORD-1416</t>
  </si>
  <si>
    <t>ORD-2943</t>
  </si>
  <si>
    <t>11/15/2026</t>
  </si>
  <si>
    <t>ORD-1430</t>
  </si>
  <si>
    <t>ORD-1569</t>
  </si>
  <si>
    <t>ORD-1445</t>
  </si>
  <si>
    <t>ORD-2012</t>
  </si>
  <si>
    <t>ORD-2190</t>
  </si>
  <si>
    <t>11/14/2026</t>
  </si>
  <si>
    <t>ORD-2204</t>
  </si>
  <si>
    <t>ORD-1372</t>
  </si>
  <si>
    <t>ORD-1499</t>
  </si>
  <si>
    <t>ORD-2669</t>
  </si>
  <si>
    <t>ORD-2162</t>
  </si>
  <si>
    <t>11/13/2026</t>
  </si>
  <si>
    <t>ORD-1571</t>
  </si>
  <si>
    <t>ORD-2118</t>
  </si>
  <si>
    <t>ORD-2047</t>
  </si>
  <si>
    <t>ORD-2915</t>
  </si>
  <si>
    <t>ORD-2460</t>
  </si>
  <si>
    <t>10/31/2026</t>
  </si>
  <si>
    <t>ORD-2595</t>
  </si>
  <si>
    <t>ORD-2898</t>
  </si>
  <si>
    <t>ORD-1411</t>
  </si>
  <si>
    <t>ORD-2095</t>
  </si>
  <si>
    <t>10/30/2026</t>
  </si>
  <si>
    <t>ORD-1777</t>
  </si>
  <si>
    <t>ORD-1461</t>
  </si>
  <si>
    <t>ORD-2120</t>
  </si>
  <si>
    <t>10/29/2026</t>
  </si>
  <si>
    <t>ORD-2440</t>
  </si>
  <si>
    <t>ORD-1146</t>
  </si>
  <si>
    <t>ORD-2340</t>
  </si>
  <si>
    <t>ORD-2804</t>
  </si>
  <si>
    <t>ORD-2492</t>
  </si>
  <si>
    <t>ORD-2528</t>
  </si>
  <si>
    <t>10/28/2026</t>
  </si>
  <si>
    <t>ORD-2392</t>
  </si>
  <si>
    <t>ORD-2194</t>
  </si>
  <si>
    <t>ORD-1048</t>
  </si>
  <si>
    <t>ORD-1739</t>
  </si>
  <si>
    <t>10/27/2026</t>
  </si>
  <si>
    <t>ORD-1131</t>
  </si>
  <si>
    <t>ORD-1261</t>
  </si>
  <si>
    <t>10/26/2026</t>
  </si>
  <si>
    <t>ORD-1512</t>
  </si>
  <si>
    <t>ORD-2978</t>
  </si>
  <si>
    <t>ORD-2009</t>
  </si>
  <si>
    <t>ORD-2626</t>
  </si>
  <si>
    <t>ORD-2897</t>
  </si>
  <si>
    <t>10/25/2026</t>
  </si>
  <si>
    <t>ORD-1752</t>
  </si>
  <si>
    <t>ORD-2443</t>
  </si>
  <si>
    <t>10/24/2026</t>
  </si>
  <si>
    <t>ORD-2442</t>
  </si>
  <si>
    <t>ORD-2624</t>
  </si>
  <si>
    <t>ORD-2372</t>
  </si>
  <si>
    <t>ORD-1912</t>
  </si>
  <si>
    <t>ORD-1530</t>
  </si>
  <si>
    <t>ORD-1508</t>
  </si>
  <si>
    <t>ORD-2822</t>
  </si>
  <si>
    <t>10/23/2026</t>
  </si>
  <si>
    <t>ORD-2320</t>
  </si>
  <si>
    <t>ORD-2205</t>
  </si>
  <si>
    <t>ORD-1864</t>
  </si>
  <si>
    <t>ORD-1889</t>
  </si>
  <si>
    <t>ORD-2432</t>
  </si>
  <si>
    <t>10/22/2026</t>
  </si>
  <si>
    <t>ORD-1927</t>
  </si>
  <si>
    <t>ORD-2565</t>
  </si>
  <si>
    <t>ORD-1249</t>
  </si>
  <si>
    <t>ORD-1509</t>
  </si>
  <si>
    <t>ORD-1258</t>
  </si>
  <si>
    <t>10/21/2026</t>
  </si>
  <si>
    <t>ORD-1705</t>
  </si>
  <si>
    <t>ORD-2616</t>
  </si>
  <si>
    <t>ORD-1809</t>
  </si>
  <si>
    <t>ORD-2248</t>
  </si>
  <si>
    <t>ORD-1245</t>
  </si>
  <si>
    <t>ORD-1076</t>
  </si>
  <si>
    <t>ORD-1127</t>
  </si>
  <si>
    <t>ORD-2733</t>
  </si>
  <si>
    <t>10/20/2026</t>
  </si>
  <si>
    <t>ORD-2963</t>
  </si>
  <si>
    <t>ORD-2489</t>
  </si>
  <si>
    <t>10/19/2026</t>
  </si>
  <si>
    <t>ORD-2159</t>
  </si>
  <si>
    <t>ORD-1278</t>
  </si>
  <si>
    <t>ORD-2839</t>
  </si>
  <si>
    <t>ORD-2094</t>
  </si>
  <si>
    <t>ORD-2225</t>
  </si>
  <si>
    <t>ORD-2441</t>
  </si>
  <si>
    <t>10/18/2026</t>
  </si>
  <si>
    <t>ORD-2103</t>
  </si>
  <si>
    <t>ORD-1600</t>
  </si>
  <si>
    <t>ORD-2582</t>
  </si>
  <si>
    <t>ORD-2954</t>
  </si>
  <si>
    <t>10/17/2026</t>
  </si>
  <si>
    <t>ORD-2517</t>
  </si>
  <si>
    <t>ORD-2875</t>
  </si>
  <si>
    <t>ORD-1949</t>
  </si>
  <si>
    <t>ORD-2361</t>
  </si>
  <si>
    <t>ORD-2884</t>
  </si>
  <si>
    <t>ORD-1687</t>
  </si>
  <si>
    <t>ORD-1045</t>
  </si>
  <si>
    <t>10/16/2026</t>
  </si>
  <si>
    <t>ORD-2924</t>
  </si>
  <si>
    <t>ORD-1529</t>
  </si>
  <si>
    <t>ORD-1165</t>
  </si>
  <si>
    <t>ORD-1329</t>
  </si>
  <si>
    <t>ORD-1754</t>
  </si>
  <si>
    <t>ORD-2137</t>
  </si>
  <si>
    <t>ORD-1330</t>
  </si>
  <si>
    <t>ORD-2155</t>
  </si>
  <si>
    <t>ORD-2756</t>
  </si>
  <si>
    <t>ORD-1788</t>
  </si>
  <si>
    <t>ORD-1580</t>
  </si>
  <si>
    <t>ORD-2964</t>
  </si>
  <si>
    <t>ORD-1933</t>
  </si>
  <si>
    <t>ORD-1251</t>
  </si>
  <si>
    <t>10/15/2026</t>
  </si>
  <si>
    <t>ORD-2920</t>
  </si>
  <si>
    <t>ORD-2178</t>
  </si>
  <si>
    <t>ORD-2677</t>
  </si>
  <si>
    <t>10/14/2026</t>
  </si>
  <si>
    <t>ORD-1786</t>
  </si>
  <si>
    <t>ORD-2979</t>
  </si>
  <si>
    <t>ORD-1542</t>
  </si>
  <si>
    <t>10/13/2026</t>
  </si>
  <si>
    <t>ORD-1753</t>
  </si>
  <si>
    <t>ORD-2408</t>
  </si>
  <si>
    <t>ORD-1403</t>
  </si>
  <si>
    <t>ORD-1067</t>
  </si>
  <si>
    <t>ORD-1865</t>
  </si>
  <si>
    <t>ORD-1816</t>
  </si>
  <si>
    <t>ORD-1519</t>
  </si>
  <si>
    <t>ORD-1192</t>
  </si>
  <si>
    <t>ORD-1929</t>
  </si>
  <si>
    <t>1/31/2026</t>
  </si>
  <si>
    <t>ORD-2794</t>
  </si>
  <si>
    <t>ORD-2276</t>
  </si>
  <si>
    <t>ORD-1253</t>
  </si>
  <si>
    <t>1/30/2026</t>
  </si>
  <si>
    <t>ORD-1451</t>
  </si>
  <si>
    <t>ORD-1319</t>
  </si>
  <si>
    <t>ORD-1118</t>
  </si>
  <si>
    <t>ORD-1918</t>
  </si>
  <si>
    <t>ORD-2743</t>
  </si>
  <si>
    <t>ORD-2680</t>
  </si>
  <si>
    <t>1/28/2026</t>
  </si>
  <si>
    <t>ORD-2734</t>
  </si>
  <si>
    <t>ORD-2170</t>
  </si>
  <si>
    <t>ORD-1102</t>
  </si>
  <si>
    <t>ORD-2226</t>
  </si>
  <si>
    <t>1/27/2026</t>
  </si>
  <si>
    <t>ORD-1458</t>
  </si>
  <si>
    <t>ORD-2655</t>
  </si>
  <si>
    <t>ORD-2033</t>
  </si>
  <si>
    <t>ORD-2264</t>
  </si>
  <si>
    <t>1/26/2026</t>
  </si>
  <si>
    <t>ORD-2987</t>
  </si>
  <si>
    <t>ORD-1814</t>
  </si>
  <si>
    <t>ORD-2231</t>
  </si>
  <si>
    <t>1/25/2026</t>
  </si>
  <si>
    <t>ORD-2452</t>
  </si>
  <si>
    <t>ORD-2950</t>
  </si>
  <si>
    <t>1/24/2026</t>
  </si>
  <si>
    <t>ORD-2019</t>
  </si>
  <si>
    <t>ORD-1552</t>
  </si>
  <si>
    <t>1/23/2026</t>
  </si>
  <si>
    <t>ORD-1759</t>
  </si>
  <si>
    <t>ORD-1367</t>
  </si>
  <si>
    <t>ORD-2686</t>
  </si>
  <si>
    <t>ORD-1290</t>
  </si>
  <si>
    <t>ORD-2463</t>
  </si>
  <si>
    <t>ORD-1369</t>
  </si>
  <si>
    <t>1/22/2026</t>
  </si>
  <si>
    <t>ORD-2735</t>
  </si>
  <si>
    <t>ORD-2636</t>
  </si>
  <si>
    <t>ORD-1904</t>
  </si>
  <si>
    <t>1/21/2026</t>
  </si>
  <si>
    <t>ORD-1471</t>
  </si>
  <si>
    <t>ORD-1050</t>
  </si>
  <si>
    <t>ORD-2825</t>
  </si>
  <si>
    <t>ORD-2037</t>
  </si>
  <si>
    <t>ORD-1019</t>
  </si>
  <si>
    <t>ORD-1389</t>
  </si>
  <si>
    <t>ORD-2737</t>
  </si>
  <si>
    <t>ORD-2746</t>
  </si>
  <si>
    <t>ORD-2017</t>
  </si>
  <si>
    <t>1/20/2026</t>
  </si>
  <si>
    <t>ORD-2317</t>
  </si>
  <si>
    <t>ORD-2323</t>
  </si>
  <si>
    <t>ORD-1977</t>
  </si>
  <si>
    <t>ORD-2307</t>
  </si>
  <si>
    <t>1/19/2026</t>
  </si>
  <si>
    <t>ORD-2674</t>
  </si>
  <si>
    <t>ORD-2815</t>
  </si>
  <si>
    <t>ORD-2695</t>
  </si>
  <si>
    <t>1/18/2026</t>
  </si>
  <si>
    <t>ORD-1180</t>
  </si>
  <si>
    <t>ORD-1972</t>
  </si>
  <si>
    <t>ORD-1207</t>
  </si>
  <si>
    <t>ORD-1522</t>
  </si>
  <si>
    <t>ORD-2326</t>
  </si>
  <si>
    <t>1/17/2026</t>
  </si>
  <si>
    <t>ORD-1599</t>
  </si>
  <si>
    <t>ORD-1746</t>
  </si>
  <si>
    <t>ORD-2926</t>
  </si>
  <si>
    <t>ORD-1502</t>
  </si>
  <si>
    <t>ORD-2631</t>
  </si>
  <si>
    <t>1/16/2026</t>
  </si>
  <si>
    <t>ORD-1603</t>
  </si>
  <si>
    <t>ORD-1042</t>
  </si>
  <si>
    <t>ORD-2172</t>
  </si>
  <si>
    <t>ORD-1714</t>
  </si>
  <si>
    <t>1/15/2026</t>
  </si>
  <si>
    <t>ORD-1272</t>
  </si>
  <si>
    <t>ORD-1572</t>
  </si>
  <si>
    <t>1/14/2026</t>
  </si>
  <si>
    <t>ORD-2472</t>
  </si>
  <si>
    <t>ORD-1223</t>
  </si>
  <si>
    <t>ORD-1728</t>
  </si>
  <si>
    <t>ORD-2610</t>
  </si>
  <si>
    <t>ORD-1863</t>
  </si>
  <si>
    <t>ORD-2146</t>
  </si>
  <si>
    <t>ORD-2363</t>
  </si>
  <si>
    <t>1/13/2026</t>
  </si>
  <si>
    <t>ORD-2424</t>
  </si>
  <si>
    <t>ORD-2165</t>
  </si>
  <si>
    <t>ORD-1758</t>
  </si>
  <si>
    <t>ORD-1511</t>
  </si>
  <si>
    <t>ORD-1700</t>
  </si>
  <si>
    <t>ORD-1521</t>
  </si>
  <si>
    <t>ORD-2364</t>
  </si>
  <si>
    <t>ORD-1597</t>
  </si>
  <si>
    <t>ORD-2831</t>
  </si>
  <si>
    <t>ORD-1163</t>
  </si>
  <si>
    <t>ORD-2668</t>
  </si>
  <si>
    <t>ORD-2191</t>
  </si>
  <si>
    <t>ORD-1620</t>
  </si>
  <si>
    <t>ORD-1341</t>
  </si>
  <si>
    <t>ORD-2844</t>
  </si>
  <si>
    <t>ORD-1304</t>
  </si>
  <si>
    <t>ORD-2632</t>
  </si>
  <si>
    <t>ORD-1944</t>
  </si>
  <si>
    <t>ORD-2125</t>
  </si>
  <si>
    <t>ORD-2164</t>
  </si>
  <si>
    <t>ORD-2816</t>
  </si>
  <si>
    <t>ORD-1061</t>
  </si>
  <si>
    <t>ORD-2133</t>
  </si>
  <si>
    <t>ORD-2035</t>
  </si>
  <si>
    <t>ORD-1148</t>
  </si>
  <si>
    <t>ORD-2760</t>
  </si>
  <si>
    <t>ORD-1032</t>
  </si>
  <si>
    <t>ORD-2003</t>
  </si>
  <si>
    <t>ORD-2859</t>
  </si>
  <si>
    <t>ORD-1297</t>
  </si>
  <si>
    <t>ORD-2562</t>
  </si>
  <si>
    <t>ORD-2580</t>
  </si>
  <si>
    <t>ORD-1595</t>
  </si>
  <si>
    <t>ORD-2376</t>
  </si>
  <si>
    <t>ORD-2309</t>
  </si>
  <si>
    <t>ORD-2339</t>
  </si>
  <si>
    <t>ORD-1991</t>
  </si>
  <si>
    <t>ORD-1827</t>
  </si>
  <si>
    <t>ORD-2605</t>
  </si>
  <si>
    <t>ORD-1715</t>
  </si>
  <si>
    <t>ORD-1626</t>
  </si>
  <si>
    <t>ORD-1383</t>
  </si>
  <si>
    <t>ORD-1583</t>
  </si>
  <si>
    <t>ORD-1993</t>
  </si>
  <si>
    <t>ORD-2661</t>
  </si>
  <si>
    <t>ORD-2941</t>
  </si>
  <si>
    <t>ORD-2980</t>
  </si>
  <si>
    <t>ORD-2900</t>
  </si>
  <si>
    <t>ORD-2111</t>
  </si>
  <si>
    <t>ORD-1701</t>
  </si>
  <si>
    <t>ORD-1274</t>
  </si>
  <si>
    <t>ORD-2784</t>
  </si>
  <si>
    <t>ORD-1967</t>
  </si>
  <si>
    <t>ORD-2207</t>
  </si>
  <si>
    <t>ORD-1771</t>
  </si>
  <si>
    <t>ORD-1302</t>
  </si>
  <si>
    <t>ORD-1581</t>
  </si>
  <si>
    <t>ORD-1935</t>
  </si>
  <si>
    <t>ORD-1006</t>
  </si>
  <si>
    <t>ORD-1254</t>
  </si>
  <si>
    <t>ORD-1305</t>
  </si>
  <si>
    <t>ORD-2749</t>
  </si>
  <si>
    <t>ORD-1785</t>
  </si>
  <si>
    <t>ORD-1143</t>
  </si>
  <si>
    <t>ORD-1903</t>
  </si>
  <si>
    <t>ORD-2560</t>
  </si>
  <si>
    <t>ORD-1326</t>
  </si>
  <si>
    <t>ORD-1095</t>
  </si>
  <si>
    <t>ORD-2808</t>
  </si>
  <si>
    <t>ORD-1895</t>
  </si>
  <si>
    <t>ORD-1200</t>
  </si>
  <si>
    <t>ORD-1444</t>
  </si>
  <si>
    <t>ORD-1417</t>
  </si>
  <si>
    <t>ORD-2538</t>
  </si>
  <si>
    <t>ORD-1270</t>
  </si>
  <si>
    <t>ORD-2537</t>
  </si>
  <si>
    <t>ORD-1316</t>
  </si>
  <si>
    <t>ORD-1476</t>
  </si>
  <si>
    <t>ORD-1868</t>
  </si>
  <si>
    <t>ORD-1585</t>
  </si>
  <si>
    <t>ORD-1183</t>
  </si>
  <si>
    <t>ORD-2666</t>
  </si>
  <si>
    <t>ORD-2613</t>
  </si>
  <si>
    <t>ORD-2551</t>
  </si>
  <si>
    <t>ORD-1704</t>
  </si>
  <si>
    <t>ORD-2541</t>
  </si>
  <si>
    <t>ORD-1537</t>
  </si>
  <si>
    <t>ORD-2435</t>
  </si>
  <si>
    <t>ORD-1008</t>
  </si>
  <si>
    <t>ORD-2076</t>
  </si>
  <si>
    <t>ORD-1608</t>
  </si>
  <si>
    <t>ORD-1737</t>
  </si>
  <si>
    <t>ORD-1893</t>
  </si>
  <si>
    <t>ORD-2456</t>
  </si>
  <si>
    <t>ORD-1504</t>
  </si>
  <si>
    <t>ORD-1351</t>
  </si>
  <si>
    <t>ORD-1554</t>
  </si>
  <si>
    <t>ORD-1401</t>
  </si>
  <si>
    <t>ORD-2152</t>
  </si>
  <si>
    <t>ORD-2215</t>
  </si>
  <si>
    <t>ORD-1741</t>
  </si>
  <si>
    <t>ORD-2263</t>
  </si>
  <si>
    <t>ORD-1025</t>
  </si>
  <si>
    <t>ORD-2474</t>
  </si>
  <si>
    <t>ORD-1293</t>
  </si>
  <si>
    <t>ORD-2606</t>
  </si>
  <si>
    <t>ORD-2057</t>
  </si>
  <si>
    <t>ORD-2313</t>
  </si>
  <si>
    <t>ORD-2199</t>
  </si>
  <si>
    <t>ORD-2513</t>
  </si>
  <si>
    <t>ORD-2141</t>
  </si>
  <si>
    <t>ORD-2260</t>
  </si>
  <si>
    <t>ORD-1047</t>
  </si>
  <si>
    <t>ORD-2890</t>
  </si>
  <si>
    <t>ORD-1323</t>
  </si>
  <si>
    <t>ORD-2402</t>
  </si>
  <si>
    <t>ORD-1065</t>
  </si>
  <si>
    <t>ORD-1733</t>
  </si>
  <si>
    <t>ORD-2056</t>
  </si>
  <si>
    <t>ORD-2783</t>
  </si>
  <si>
    <t>ORD-1798</t>
  </si>
  <si>
    <t>ORD-1616</t>
  </si>
  <si>
    <t>ORD-1277</t>
  </si>
  <si>
    <t>ORD-1299</t>
  </si>
  <si>
    <t>ORD-1957</t>
  </si>
  <si>
    <t>ORD-2060</t>
  </si>
  <si>
    <t>ORD-2976</t>
  </si>
  <si>
    <t>ORD-2842</t>
  </si>
  <si>
    <t>ORD-2279</t>
  </si>
  <si>
    <t>ORD-2176</t>
  </si>
  <si>
    <t>ORD-1545</t>
  </si>
  <si>
    <t>ORD-2021</t>
  </si>
  <si>
    <t>ORD-2311</t>
  </si>
  <si>
    <t>ORD-2157</t>
  </si>
  <si>
    <t>ORD-2965</t>
  </si>
  <si>
    <t>ORD-1352</t>
  </si>
  <si>
    <t>ORD-1653</t>
  </si>
  <si>
    <t>ORD-1478</t>
  </si>
  <si>
    <t>ORD-2569</t>
  </si>
  <si>
    <t>ORD-2732</t>
  </si>
  <si>
    <t>ORD-1622</t>
  </si>
  <si>
    <t>ORD-2860</t>
  </si>
  <si>
    <t>ORD-2333</t>
  </si>
  <si>
    <t>ORD-1813</t>
  </si>
  <si>
    <t>ORD-2469</t>
  </si>
  <si>
    <t>ORD-1227</t>
  </si>
  <si>
    <t>ORD-1128</t>
  </si>
  <si>
    <t>ORD-1097</t>
  </si>
  <si>
    <t>ORD-2090</t>
  </si>
  <si>
    <t>ORD-2727</t>
  </si>
  <si>
    <t>ORD-2479</t>
  </si>
  <si>
    <t>ORD-2949</t>
  </si>
  <si>
    <t>ORD-1590</t>
  </si>
  <si>
    <t>ORD-1593</t>
  </si>
  <si>
    <t>ORD-1669</t>
  </si>
  <si>
    <t>ORD-1876</t>
  </si>
  <si>
    <t>ORD-1663</t>
  </si>
  <si>
    <t>ORD-2038</t>
  </si>
  <si>
    <t>ORD-2776</t>
  </si>
  <si>
    <t>ORD-1815</t>
  </si>
  <si>
    <t>ORD-1386</t>
  </si>
  <si>
    <t>ORD-1485</t>
  </si>
  <si>
    <t>ORD-1992</t>
  </si>
  <si>
    <t>ORD-2088</t>
  </si>
  <si>
    <t>ORD-2546</t>
  </si>
  <si>
    <t>ORD-2401</t>
  </si>
  <si>
    <t>ORD-1266</t>
  </si>
  <si>
    <t>ORD-2691</t>
  </si>
  <si>
    <t>ORD-1690</t>
  </si>
  <si>
    <t>ORD-2140</t>
  </si>
  <si>
    <t>ORD-1666</t>
  </si>
  <si>
    <t>ORD-2330</t>
  </si>
  <si>
    <t>ORD-2981</t>
  </si>
  <si>
    <t>ORD-1212</t>
  </si>
  <si>
    <t>ORD-2835</t>
  </si>
  <si>
    <t>ORD-2096</t>
  </si>
  <si>
    <t>ORD-1748</t>
  </si>
  <si>
    <t>ORD-2775</t>
  </si>
  <si>
    <t>ORD-1120</t>
  </si>
  <si>
    <t>ORD-1134</t>
  </si>
  <si>
    <t>ORD-2068</t>
  </si>
  <si>
    <t>ORD-2412</t>
  </si>
  <si>
    <t>ORD-2198</t>
  </si>
  <si>
    <t>ORD-1956</t>
  </si>
  <si>
    <t>ORD-2780</t>
  </si>
  <si>
    <t>ORD-2145</t>
  </si>
  <si>
    <t>ORD-2667</t>
  </si>
  <si>
    <t>ORD-1426</t>
  </si>
  <si>
    <t>ORD-2350</t>
  </si>
  <si>
    <t>ORD-1176</t>
  </si>
  <si>
    <t>ORD-2214</t>
  </si>
  <si>
    <t>ORD-2572</t>
  </si>
  <si>
    <t>ORD-2711</t>
  </si>
  <si>
    <t>ORD-2571</t>
  </si>
  <si>
    <t>ORD-1928</t>
  </si>
  <si>
    <t>ORD-2228</t>
  </si>
  <si>
    <t>ORD-1513</t>
  </si>
  <si>
    <t>ORD-1740</t>
  </si>
  <si>
    <t>ORD-2921</t>
  </si>
  <si>
    <t>ORD-1069</t>
  </si>
  <si>
    <t>ORD-2718</t>
  </si>
  <si>
    <t>ORD-2689</t>
  </si>
  <si>
    <t>ORD-2771</t>
  </si>
  <si>
    <t>ORD-1479</t>
  </si>
  <si>
    <t>ORD-1159</t>
  </si>
  <si>
    <t>ORD-1867</t>
  </si>
  <si>
    <t>ORD-1628</t>
  </si>
  <si>
    <t>ORD-1142</t>
  </si>
  <si>
    <t>ORD-1567</t>
  </si>
  <si>
    <t>ORD-1012</t>
  </si>
  <si>
    <t>ORD-2739</t>
  </si>
  <si>
    <t>ORD-2640</t>
  </si>
  <si>
    <t>ORD-1605</t>
  </si>
  <si>
    <t>ORD-1492</t>
  </si>
  <si>
    <t>ORD-1439</t>
  </si>
  <si>
    <t>ORD-1694</t>
  </si>
  <si>
    <t>ORD-2109</t>
  </si>
  <si>
    <t>ORD-2070</t>
  </si>
  <si>
    <t>ORD-1963</t>
  </si>
  <si>
    <t>ORD-2647</t>
  </si>
  <si>
    <t>ORD-2475</t>
  </si>
  <si>
    <t>ORD-2995</t>
  </si>
  <si>
    <t>ORD-1071</t>
  </si>
  <si>
    <t>ORD-1030</t>
  </si>
  <si>
    <t>ORD-1630</t>
  </si>
  <si>
    <t>ORD-1745</t>
  </si>
  <si>
    <t>ORD-1068</t>
  </si>
  <si>
    <t>ORD-1565</t>
  </si>
  <si>
    <t>ORD-2777</t>
  </si>
  <si>
    <t>ORD-2614</t>
  </si>
  <si>
    <t>ORD-2061</t>
  </si>
  <si>
    <t>ORD-2971</t>
  </si>
  <si>
    <t>ORD-1084</t>
  </si>
  <si>
    <t>ORD-1088</t>
  </si>
  <si>
    <t>ORD-2201</t>
  </si>
  <si>
    <t>ORD-1053</t>
  </si>
  <si>
    <t>ORD-1952</t>
  </si>
  <si>
    <t>ORD-1020</t>
  </si>
  <si>
    <t>ORD-1202</t>
  </si>
  <si>
    <t>ORD-1636</t>
  </si>
  <si>
    <t>ORD-2188</t>
  </si>
  <si>
    <t>ORD-1059</t>
  </si>
  <si>
    <t>ORD-1322</t>
  </si>
  <si>
    <t>ORD-1681</t>
  </si>
  <si>
    <t>ORD-2786</t>
  </si>
  <si>
    <t>ORD-1388</t>
  </si>
  <si>
    <t>ORD-1901</t>
  </si>
  <si>
    <t>ORD-1070</t>
  </si>
  <si>
    <t>ORD-2792</t>
  </si>
  <si>
    <t>ORD-2635</t>
  </si>
  <si>
    <t>ORD-2428</t>
  </si>
  <si>
    <t>ORD-2998</t>
  </si>
  <si>
    <t>ORD-2438</t>
  </si>
  <si>
    <t>ORD-1167</t>
  </si>
  <si>
    <t>ORD-1751</t>
  </si>
  <si>
    <t>ORD-2590</t>
  </si>
  <si>
    <t>ORD-2617</t>
  </si>
  <si>
    <t>ORD-1649</t>
  </si>
  <si>
    <t>ORD-2327</t>
  </si>
  <si>
    <t>ORD-1656</t>
  </si>
  <si>
    <t>ORD-1236</t>
  </si>
  <si>
    <t>ORD-2203</t>
  </si>
  <si>
    <t>ORD-2368</t>
  </si>
  <si>
    <t>ORD-1727</t>
  </si>
  <si>
    <t>ORD-1856</t>
  </si>
  <si>
    <t>ORD-2379</t>
  </si>
  <si>
    <t>ORD-2449</t>
  </si>
  <si>
    <t>ORD-1484</t>
  </si>
  <si>
    <t>ORD-1869</t>
  </si>
  <si>
    <t>ORD-1905</t>
  </si>
  <si>
    <t>ORD-1726</t>
  </si>
  <si>
    <t>ORD-1281</t>
  </si>
  <si>
    <t>ORD-1133</t>
  </si>
  <si>
    <t>ORD-1288</t>
  </si>
  <si>
    <t>ORD-1820</t>
  </si>
  <si>
    <t>ORD-1273</t>
  </si>
  <si>
    <t>ORD-2574</t>
  </si>
  <si>
    <t>ORD-1091</t>
  </si>
  <si>
    <t>ORD-2049</t>
  </si>
  <si>
    <t>ORD-1857</t>
  </si>
  <si>
    <t>ORD-1017</t>
  </si>
  <si>
    <t>ORD-1007</t>
  </si>
  <si>
    <t>ORD-1412</t>
  </si>
  <si>
    <t>ORD-1046</t>
  </si>
  <si>
    <t>ORD-1018</t>
  </si>
  <si>
    <t>ORD-2791</t>
  </si>
  <si>
    <t>ORD-1763</t>
  </si>
  <si>
    <t>ORD-1188</t>
  </si>
  <si>
    <t>ORD-2972</t>
  </si>
  <si>
    <t>ORD-1749</t>
  </si>
  <si>
    <t>ORD-2863</t>
  </si>
  <si>
    <t>ORD-1060</t>
  </si>
  <si>
    <t>ORD-1717</t>
  </si>
  <si>
    <t>ORD-1539</t>
  </si>
  <si>
    <t>ORD-1526</t>
  </si>
  <si>
    <t>ORD-1625</t>
  </si>
  <si>
    <t>ORD-2885</t>
  </si>
  <si>
    <t>ORD-2347</t>
  </si>
  <si>
    <t>ORD-1429</t>
  </si>
  <si>
    <t>ORD-1773</t>
  </si>
  <si>
    <t>ORD-2534</t>
  </si>
  <si>
    <t>ORD-1456</t>
  </si>
  <si>
    <t>ORD-1695</t>
  </si>
  <si>
    <t>ORD-1866</t>
  </si>
  <si>
    <t>ORD-2380</t>
  </si>
  <si>
    <t>ORD-1291</t>
  </si>
  <si>
    <t>ORD-1871</t>
  </si>
  <si>
    <t>ORD-2173</t>
  </si>
  <si>
    <t>ORD-1834</t>
  </si>
  <si>
    <t>ORD-1427</t>
  </si>
  <si>
    <t>ORD-1682</t>
  </si>
  <si>
    <t>ORD-2179</t>
  </si>
  <si>
    <t>ORD-2909</t>
  </si>
  <si>
    <t>ORD-2148</t>
  </si>
  <si>
    <t>ORD-1280</t>
  </si>
  <si>
    <t>ORD-2757</t>
  </si>
  <si>
    <t>ORD-1955</t>
  </si>
  <si>
    <t>ORD-1334</t>
  </si>
  <si>
    <t>ORD-1562</t>
  </si>
  <si>
    <t>ORD-2543</t>
  </si>
  <si>
    <t>ORD-1873</t>
  </si>
  <si>
    <t>ORD-1382</t>
  </si>
  <si>
    <t>ORD-1908</t>
  </si>
  <si>
    <t>ORD-2210</t>
  </si>
  <si>
    <t>ORD-2554</t>
  </si>
  <si>
    <t>ORD-1440</t>
  </si>
  <si>
    <t>ORD-2736</t>
  </si>
  <si>
    <t>ORD-2365</t>
  </si>
  <si>
    <t>ORD-1037</t>
  </si>
  <si>
    <t>ORD-1673</t>
  </si>
  <si>
    <t>ORD-2535</t>
  </si>
  <si>
    <t>ORD-2679</t>
  </si>
  <si>
    <t>ORD-2321</t>
  </si>
  <si>
    <t>ORD-1906</t>
  </si>
  <si>
    <t>ORD-2071</t>
  </si>
  <si>
    <t>ORD-1101</t>
  </si>
  <si>
    <t>ORD-2820</t>
  </si>
  <si>
    <t>ORD-2696</t>
  </si>
  <si>
    <t>ORD-2446</t>
  </si>
  <si>
    <t>ORD-1557</t>
  </si>
  <si>
    <t>ORD-2985</t>
  </si>
  <si>
    <t>ORD-1409</t>
  </si>
  <si>
    <t>ORD-2997</t>
  </si>
  <si>
    <t>ORD-2709</t>
  </si>
  <si>
    <t>ORD-1811</t>
  </si>
  <si>
    <t>ORD-1780</t>
  </si>
  <si>
    <t>ORD-1242</t>
  </si>
  <si>
    <t>ORD-2083</t>
  </si>
  <si>
    <t>ORD-1414</t>
  </si>
  <si>
    <t>ORD-2406</t>
  </si>
  <si>
    <t>ORD-1402</t>
  </si>
  <si>
    <t>ORD-2426</t>
  </si>
  <si>
    <t>ORD-2570</t>
  </si>
  <si>
    <t>ORD-1970</t>
  </si>
  <si>
    <t>ORD-1115</t>
  </si>
  <si>
    <t>ORD-1408</t>
  </si>
  <si>
    <t>ORD-2914</t>
  </si>
  <si>
    <t>ORD-2767</t>
  </si>
  <si>
    <t>ORD-1855</t>
  </si>
  <si>
    <t>ORD-1678</t>
  </si>
  <si>
    <t>ORD-1707</t>
  </si>
  <si>
    <t>ORD-1829</t>
  </si>
  <si>
    <t>ORD-2896</t>
  </si>
  <si>
    <t>ORD-1723</t>
  </si>
  <si>
    <t>ORD-1314</t>
  </si>
  <si>
    <t>ORD-2391</t>
  </si>
  <si>
    <t>ORD-1130</t>
  </si>
  <si>
    <t>ORD-2567</t>
  </si>
  <si>
    <t>ORD-2328</t>
  </si>
  <si>
    <t>ORD-1831</t>
  </si>
  <si>
    <t>ORD-2212</t>
  </si>
  <si>
    <t>ORD-1775</t>
  </si>
  <si>
    <t>ORD-2753</t>
  </si>
  <si>
    <t>ORD-2637</t>
  </si>
  <si>
    <t>ORD-2169</t>
  </si>
  <si>
    <t>ORD-1331</t>
  </si>
  <si>
    <t>ORD-2906</t>
  </si>
  <si>
    <t>ORD-2007</t>
  </si>
  <si>
    <t>ORD-1643</t>
  </si>
  <si>
    <t>ORD-1783</t>
  </si>
  <si>
    <t>ORD-2530</t>
  </si>
  <si>
    <t>ORD-2683</t>
  </si>
  <si>
    <t>ORD-2798</t>
  </si>
  <si>
    <t>ORD-1325</t>
  </si>
  <si>
    <t>ORD-1395</t>
  </si>
  <si>
    <t>ORD-2602</t>
  </si>
  <si>
    <t>ORD-1596</t>
  </si>
  <si>
    <t>ORD-2956</t>
  </si>
  <si>
    <t>ORD-1958</t>
  </si>
  <si>
    <t>ORD-2498</t>
  </si>
  <si>
    <t>ORD-1843</t>
  </si>
  <si>
    <t>ORD-1693</t>
  </si>
  <si>
    <t>ORD-1003</t>
  </si>
  <si>
    <t>ORD-2058</t>
  </si>
  <si>
    <t>ORD-2348</t>
  </si>
  <si>
    <t>ORD-2905</t>
  </si>
  <si>
    <t>ORD-2907</t>
  </si>
  <si>
    <t>ORD-2108</t>
  </si>
  <si>
    <t>ORD-2687</t>
  </si>
  <si>
    <t>ORD-2910</t>
  </si>
  <si>
    <t>ORD-2357</t>
  </si>
  <si>
    <t>ORD-2353</t>
  </si>
  <si>
    <t>ORD-2748</t>
  </si>
  <si>
    <t>ORD-2265</t>
  </si>
  <si>
    <t>ORD-1543</t>
  </si>
  <si>
    <t>ORD-1680</t>
  </si>
  <si>
    <t>ORD-2483</t>
  </si>
  <si>
    <t>ORD-2232</t>
  </si>
  <si>
    <t>ORD-2078</t>
  </si>
  <si>
    <t>ORD-2745</t>
  </si>
  <si>
    <t>ORD-2106</t>
  </si>
  <si>
    <t>ORD-1187</t>
  </si>
  <si>
    <t>ORD-1515</t>
  </si>
  <si>
    <t>ORD-2558</t>
  </si>
  <si>
    <t>ORD-2185</t>
  </si>
  <si>
    <t>ORD-1978</t>
  </si>
  <si>
    <t>ORD-2501</t>
  </si>
  <si>
    <t>ORD-2805</t>
  </si>
  <si>
    <t>ORD-1784</t>
  </si>
  <si>
    <t>ORD-1287</t>
  </si>
  <si>
    <t>ORD-2888</t>
  </si>
  <si>
    <t>ORD-1708</t>
  </si>
  <si>
    <t>ORD-2704</t>
  </si>
  <si>
    <t>ORD-2031</t>
  </si>
  <si>
    <t>ORD-1556</t>
  </si>
  <si>
    <t>ORD-2062</t>
  </si>
  <si>
    <t>ORD-2999</t>
  </si>
  <si>
    <t>ORD-1490</t>
  </si>
  <si>
    <t>ORD-1394</t>
  </si>
  <si>
    <t>ORD-1407</t>
  </si>
  <si>
    <t>ORD-1240</t>
  </si>
  <si>
    <t>ORD-1582</t>
  </si>
  <si>
    <t>ORD-1112</t>
  </si>
  <si>
    <t>ORD-2549</t>
  </si>
  <si>
    <t>ORD-1774</t>
  </si>
  <si>
    <t>ORD-2299</t>
  </si>
  <si>
    <t>ORD-2174</t>
  </si>
  <si>
    <t>ORD-1379</t>
  </si>
  <si>
    <t>ORD-2182</t>
  </si>
  <si>
    <t>ORD-2039</t>
  </si>
  <si>
    <t>ORD-2550</t>
  </si>
  <si>
    <t>ORD-1010</t>
  </si>
  <si>
    <t>ORD-2990</t>
  </si>
  <si>
    <t>ORD-2227</t>
  </si>
  <si>
    <t>ORD-2992</t>
  </si>
  <si>
    <t>ORD-1858</t>
  </si>
  <si>
    <t>ORD-2423</t>
  </si>
  <si>
    <t>ORD-1074</t>
  </si>
  <si>
    <t>ORD-2755</t>
  </si>
  <si>
    <t>ORD-2237</t>
  </si>
  <si>
    <t>ORD-2994</t>
  </si>
  <si>
    <t>ORD-2025</t>
  </si>
  <si>
    <t>ORD-2991</t>
  </si>
  <si>
    <t>ORD-2293</t>
  </si>
  <si>
    <t>ORD-1757</t>
  </si>
  <si>
    <t>ORD-1345</t>
  </si>
  <si>
    <t>ORD-2788</t>
  </si>
  <si>
    <t>ORD-1248</t>
  </si>
  <si>
    <t>ORD-2524</t>
  </si>
  <si>
    <t>ORD-1586</t>
  </si>
  <si>
    <t>ORD-2793</t>
  </si>
  <si>
    <t>ORD-2852</t>
  </si>
  <si>
    <t>ORD-1221</t>
  </si>
  <si>
    <t>ORD-2464</t>
  </si>
  <si>
    <t>ORD-2919</t>
  </si>
  <si>
    <t>ORD-1880</t>
  </si>
  <si>
    <t>ORD-2032</t>
  </si>
  <si>
    <t>ORD-2699</t>
  </si>
  <si>
    <t>ORD-2813</t>
  </si>
  <si>
    <t>ORD-1951</t>
  </si>
  <si>
    <t>ORD-2373</t>
  </si>
  <si>
    <t>ORD-1138</t>
  </si>
  <si>
    <t>ORD-1924</t>
  </si>
  <si>
    <t>ORD-1902</t>
  </si>
  <si>
    <t>ORD-2796</t>
  </si>
  <si>
    <t>ORD-1962</t>
  </si>
  <si>
    <t>ORD-1614</t>
  </si>
  <si>
    <t>ORD-1696</t>
  </si>
  <si>
    <t>ORD-2167</t>
  </si>
  <si>
    <t>ORD-2238</t>
  </si>
  <si>
    <t>ORD-1481</t>
  </si>
  <si>
    <t>ORD-1264</t>
  </si>
  <si>
    <t>ORD-1376</t>
  </si>
  <si>
    <t>ORD-1531</t>
  </si>
  <si>
    <t>ORD-1837</t>
  </si>
  <si>
    <t>ORD-1988</t>
  </si>
  <si>
    <t>ORD-1357</t>
  </si>
  <si>
    <t>ORD-1117</t>
  </si>
  <si>
    <t>ORD-1196</t>
  </si>
  <si>
    <t>ORD-2113</t>
  </si>
  <si>
    <t>ORD-2239</t>
  </si>
  <si>
    <t>ORD-2698</t>
  </si>
  <si>
    <t>ORD-1853</t>
  </si>
  <si>
    <t>ORD-2018</t>
  </si>
  <si>
    <t>ORD-2329</t>
  </si>
  <si>
    <t>ORD-2310</t>
  </si>
  <si>
    <t>ORD-1897</t>
  </si>
  <si>
    <t>ORD-2671</t>
  </si>
  <si>
    <t>ORD-2085</t>
  </si>
  <si>
    <t>ORD-2843</t>
  </si>
  <si>
    <t>ORD-2081</t>
  </si>
  <si>
    <t>ORD-1028</t>
  </si>
  <si>
    <t>ORD-1611</t>
  </si>
  <si>
    <t>ORD-2494</t>
  </si>
  <si>
    <t>ORD-1710</t>
  </si>
  <si>
    <t>ORD-2451</t>
  </si>
  <si>
    <t>ORD-2065</t>
  </si>
  <si>
    <t>ORD-2510</t>
  </si>
  <si>
    <t>ORD-2404</t>
  </si>
  <si>
    <t>ORD-1292</t>
  </si>
  <si>
    <t>ORD-2454</t>
  </si>
  <si>
    <t>ORD-2934</t>
  </si>
  <si>
    <t>ORD-1066</t>
  </si>
  <si>
    <t>ORD-2229</t>
  </si>
  <si>
    <t>ORD-1503</t>
  </si>
  <si>
    <t>ORD-2325</t>
  </si>
  <si>
    <t>ORD-2253</t>
  </si>
  <si>
    <t>ORD-2195</t>
  </si>
  <si>
    <t>ORD-2461</t>
  </si>
  <si>
    <t>ORD-2877</t>
  </si>
  <si>
    <t>ORD-1056</t>
  </si>
  <si>
    <t>ORD-1553</t>
  </si>
  <si>
    <t>ORD-1882</t>
  </si>
  <si>
    <t>ORD-2782</t>
  </si>
  <si>
    <t>ORD-1794</t>
  </si>
  <si>
    <t>ORD-2470</t>
  </si>
  <si>
    <t>ORD-2349</t>
  </si>
  <si>
    <t>ORD-2797</t>
  </si>
  <si>
    <t>ORD-2750</t>
  </si>
  <si>
    <t>ORD-2314</t>
  </si>
  <si>
    <t>ORD-2960</t>
  </si>
  <si>
    <t>ORD-2644</t>
  </si>
  <si>
    <t>ORD-1486</t>
  </si>
  <si>
    <t>ORD-1340</t>
  </si>
  <si>
    <t>ORD-2881</t>
  </si>
  <si>
    <t>ORD-2126</t>
  </si>
  <si>
    <t>ORD-1011</t>
  </si>
  <si>
    <t>ORD-2622</t>
  </si>
  <si>
    <t>ORD-1350</t>
  </si>
  <si>
    <t>ORD-2436</t>
  </si>
  <si>
    <t>ORD-2026</t>
  </si>
  <si>
    <t>ORD-1086</t>
  </si>
  <si>
    <t>ORD-2163</t>
  </si>
  <si>
    <t>ORD-2411</t>
  </si>
  <si>
    <t>ORD-1055</t>
  </si>
  <si>
    <t>ORD-1879</t>
  </si>
  <si>
    <t>ORD-1954</t>
  </si>
  <si>
    <t>ORD-2016</t>
  </si>
  <si>
    <t>ORD-1244</t>
  </si>
  <si>
    <t>ORD-1584</t>
  </si>
  <si>
    <t>ORD-1618</t>
  </si>
  <si>
    <t>ORD-2651</t>
  </si>
  <si>
    <t>ORD-1108</t>
  </si>
  <si>
    <t>ORD-2581</t>
  </si>
  <si>
    <t>ORD-2134</t>
  </si>
  <si>
    <t>ORD-2234</t>
  </si>
  <si>
    <t>ORD-2589</t>
  </si>
  <si>
    <t>ORD-2002</t>
  </si>
  <si>
    <t>ORD-1078</t>
  </si>
  <si>
    <t>ORD-1083</t>
  </si>
  <si>
    <t>ORD-1418</t>
  </si>
  <si>
    <t>ORD-2395</t>
  </si>
  <si>
    <t>ORD-2213</t>
  </si>
  <si>
    <t>ORD-2415</t>
  </si>
  <si>
    <t>ORD-1505</t>
  </si>
  <si>
    <t>ORD-1177</t>
  </si>
  <si>
    <t>ORD-2246</t>
  </si>
  <si>
    <t>ORD-2911</t>
  </si>
  <si>
    <t>ORD-1442</t>
  </si>
  <si>
    <t>ORD-2370</t>
  </si>
  <si>
    <t>ORD-2345</t>
  </si>
  <si>
    <t>ORD-2650</t>
  </si>
  <si>
    <t>ORD-2445</t>
  </si>
  <si>
    <t>ORD-2707</t>
  </si>
  <si>
    <t>ORD-1276</t>
  </si>
  <si>
    <t>ORD-1767</t>
  </si>
  <si>
    <t>ORD-2316</t>
  </si>
  <si>
    <t>ORD-1380</t>
  </si>
  <si>
    <t>ORD-1945</t>
  </si>
  <si>
    <t>ORD-1540</t>
  </si>
  <si>
    <t>ORD-1466</t>
  </si>
  <si>
    <t>ORD-2416</t>
  </si>
  <si>
    <t>ORD-2688</t>
  </si>
  <si>
    <t>ORD-2761</t>
  </si>
  <si>
    <t>ORD-1014</t>
  </si>
  <si>
    <t>ORD-2918</t>
  </si>
  <si>
    <t>ORD-1193</t>
  </si>
  <si>
    <t>ORD-2758</t>
  </si>
  <si>
    <t>ORD-1136</t>
  </si>
  <si>
    <t>ORD-1413</t>
  </si>
  <si>
    <t>ORD-1229</t>
  </si>
  <si>
    <t>ORD-2369</t>
  </si>
  <si>
    <t>ORD-2588</t>
  </si>
  <si>
    <t>ORD-1808</t>
  </si>
  <si>
    <t>ORD-1482</t>
  </si>
  <si>
    <t>ORD-1230</t>
  </si>
  <si>
    <t>ORD-2209</t>
  </si>
  <si>
    <t>ORD-2706</t>
  </si>
  <si>
    <t>ORD-2036</t>
  </si>
  <si>
    <t>ORD-1948</t>
  </si>
  <si>
    <t>ORD-2077</t>
  </si>
  <si>
    <t>ORD-1475</t>
  </si>
  <si>
    <t>ORD-1265</t>
  </si>
  <si>
    <t>ORD-1830</t>
  </si>
  <si>
    <t>ORD-1840</t>
  </si>
  <si>
    <t>ORD-1396</t>
  </si>
  <si>
    <t>ORD-1804</t>
  </si>
  <si>
    <t>ORD-2202</t>
  </si>
  <si>
    <t>ORD-2055</t>
  </si>
  <si>
    <t>ORD-2136</t>
  </si>
  <si>
    <t>ORD-2738</t>
  </si>
  <si>
    <t>ORD-2506</t>
  </si>
  <si>
    <t>ORD-1405</t>
  </si>
  <si>
    <t>ORD-1528</t>
  </si>
  <si>
    <t>ORD-2332</t>
  </si>
  <si>
    <t>ORD-2615</t>
  </si>
  <si>
    <t>ORD-1137</t>
  </si>
  <si>
    <t>ORD-2294</t>
  </si>
  <si>
    <t>ORD-1761</t>
  </si>
  <si>
    <t>ORD-1151</t>
  </si>
  <si>
    <t>ORD-2097</t>
  </si>
  <si>
    <t>ORD-2821</t>
  </si>
  <si>
    <t>ORD-2694</t>
  </si>
  <si>
    <t>ORD-2250</t>
  </si>
  <si>
    <t>ORD-1371</t>
  </si>
  <si>
    <t>ORD-1533</t>
  </si>
  <si>
    <t>ORD-1303</t>
  </si>
  <si>
    <t>ORD-2091</t>
  </si>
  <si>
    <t>ORD-1035</t>
  </si>
  <si>
    <t>ORD-1268</t>
  </si>
  <si>
    <t>ORD-1909</t>
  </si>
  <si>
    <t>ORD-1197</t>
  </si>
  <si>
    <t>ORD-1709</t>
  </si>
  <si>
    <t>ORD-2000</t>
  </si>
  <si>
    <t>ORD-1041</t>
  </si>
  <si>
    <t>ORD-2389</t>
  </si>
  <si>
    <t>ORD-2889</t>
  </si>
  <si>
    <t>ORD-1670</t>
  </si>
  <si>
    <t>ORD-2171</t>
  </si>
  <si>
    <t>ORD-2973</t>
  </si>
  <si>
    <t>ORD-2611</t>
  </si>
  <si>
    <t>ORD-2801</t>
  </si>
  <si>
    <t>ORD-2768</t>
  </si>
  <si>
    <t>ORD-1544</t>
  </si>
  <si>
    <t>ORD-2500</t>
  </si>
  <si>
    <t>ORD-1150</t>
  </si>
  <si>
    <t>ORD-1024</t>
  </si>
  <si>
    <t>ORD-2030</t>
  </si>
  <si>
    <t>ORD-2891</t>
  </si>
  <si>
    <t>ORD-1363</t>
  </si>
  <si>
    <t>ORD-1725</t>
  </si>
  <si>
    <t>ORD-1987</t>
  </si>
  <si>
    <t>ORD-1646</t>
  </si>
  <si>
    <t>ORD-2700</t>
  </si>
  <si>
    <t>ORD-2289</t>
  </si>
  <si>
    <t>ORD-1684</t>
  </si>
  <si>
    <t>ORD-1422</t>
  </si>
  <si>
    <t>ORD-1817</t>
  </si>
  <si>
    <t>ORD-2418</t>
  </si>
  <si>
    <t>ORD-1085</t>
  </si>
  <si>
    <t>ORD-2240</t>
  </si>
  <si>
    <t>ORD-2484</t>
  </si>
  <si>
    <t>ORD-1092</t>
  </si>
  <si>
    <t>ORD-2221</t>
  </si>
  <si>
    <t>ORD-1736</t>
  </si>
  <si>
    <t>ORD-2883</t>
  </si>
  <si>
    <t>ORD-1373</t>
  </si>
  <si>
    <t>ORD-2620</t>
  </si>
  <si>
    <t>ORD-1799</t>
  </si>
  <si>
    <t>ORD-1166</t>
  </si>
  <si>
    <t>ORD-2459</t>
  </si>
  <si>
    <t>ORD-2592</t>
  </si>
  <si>
    <t>ORD-2993</t>
  </si>
  <si>
    <t>ORD-1789</t>
  </si>
  <si>
    <t>ORD-1974</t>
  </si>
  <si>
    <t>ORD-1145</t>
  </si>
  <si>
    <t>ORD-1275</t>
  </si>
  <si>
    <t>ORD-1617</t>
  </si>
  <si>
    <t>ORD-2526</t>
  </si>
  <si>
    <t>ORD-1953</t>
  </si>
  <si>
    <t>ORD-1975</t>
  </si>
  <si>
    <t>ORD-2682</t>
  </si>
  <si>
    <t>ORD-2773</t>
  </si>
  <si>
    <t>ORD-2001</t>
  </si>
  <si>
    <t>ORD-1179</t>
  </si>
  <si>
    <t>ORD-2722</t>
  </si>
  <si>
    <t>ORD-1997</t>
  </si>
  <si>
    <t>ORD-2803</t>
  </si>
  <si>
    <t>ORD-2044</t>
  </si>
  <si>
    <t>ORD-1939</t>
  </si>
  <si>
    <t>ORD-1450</t>
  </si>
  <si>
    <t>ORD-1164</t>
  </si>
  <si>
    <t>ORD-1549</t>
  </si>
  <si>
    <t>ORD-1385</t>
  </si>
  <si>
    <t>ORD-1468</t>
  </si>
  <si>
    <t>ORD-1064</t>
  </si>
  <si>
    <t>ORD-1730</t>
  </si>
  <si>
    <t>ORD-2939</t>
  </si>
  <si>
    <t>ORD-2552</t>
  </si>
  <si>
    <t>ORD-1457</t>
  </si>
  <si>
    <t>ORD-1760</t>
  </si>
  <si>
    <t>ORD-1527</t>
  </si>
  <si>
    <t>ORD-2123</t>
  </si>
  <si>
    <t>ORD-1998</t>
  </si>
  <si>
    <t>ORD-1966</t>
  </si>
  <si>
    <t>ORD-1360</t>
  </si>
  <si>
    <t>ORD-1263</t>
  </si>
  <si>
    <t>ORD-1550</t>
  </si>
  <si>
    <t>ORD-1570</t>
  </si>
  <si>
    <t>ORD-2542</t>
  </si>
  <si>
    <t>ORD-1204</t>
  </si>
  <si>
    <t>ORD-1355</t>
  </si>
  <si>
    <t>ORD-1473</t>
  </si>
  <si>
    <t>ORD-2832</t>
  </si>
  <si>
    <t>ORD-2285</t>
  </si>
  <si>
    <t>ORD-2878</t>
  </si>
  <si>
    <t>ORD-2147</t>
  </si>
  <si>
    <t>ORD-1033</t>
  </si>
  <si>
    <t>ORD-2515</t>
  </si>
  <si>
    <t>ORD-2257</t>
  </si>
  <si>
    <t>ORD-1391</t>
  </si>
  <si>
    <t>ORD-1795</t>
  </si>
  <si>
    <t>ORD-1393</t>
  </si>
  <si>
    <t>ORD-1801</t>
  </si>
  <si>
    <t>ORD-2158</t>
  </si>
  <si>
    <t>ORD-2132</t>
  </si>
  <si>
    <t>ORD-1792</t>
  </si>
  <si>
    <t>ORD-1113</t>
  </si>
  <si>
    <t>ORD-2102</t>
  </si>
  <si>
    <t>ORD-1875</t>
  </si>
  <si>
    <t>ORD-1470</t>
  </si>
  <si>
    <t>ORD-2486</t>
  </si>
  <si>
    <t>ORD-1377</t>
  </si>
  <si>
    <t>ORD-2130</t>
  </si>
  <si>
    <t>ORD-1001</t>
  </si>
  <si>
    <t>ORD-2098</t>
  </si>
  <si>
    <t>ORD-1140</t>
  </si>
  <si>
    <t>ORD-1103</t>
  </si>
  <si>
    <t>ORD-1718</t>
  </si>
  <si>
    <t>ORD-1779</t>
  </si>
  <si>
    <t>ORD-1161</t>
  </si>
  <si>
    <t>ORD-1428</t>
  </si>
  <si>
    <t>ORD-1546</t>
  </si>
  <si>
    <t>ORD-2649</t>
  </si>
  <si>
    <t>ORD-2609</t>
  </si>
  <si>
    <t>ORD-2277</t>
  </si>
  <si>
    <t>ORD-1374</t>
  </si>
  <si>
    <t>ORD-2089</t>
  </si>
  <si>
    <t>ORD-1674</t>
  </si>
  <si>
    <t>ORD-2444</t>
  </si>
  <si>
    <t>ORD-2865</t>
  </si>
  <si>
    <t>ORD-2720</t>
  </si>
  <si>
    <t>ORD-2281</t>
  </si>
  <si>
    <t>ORD-2335</t>
  </si>
  <si>
    <t>ORD-2381</t>
  </si>
  <si>
    <t>ORD-2953</t>
  </si>
  <si>
    <t>ORD-1421</t>
  </si>
  <si>
    <t>ORD-1469</t>
  </si>
  <si>
    <t>ORD-1589</t>
  </si>
  <si>
    <t>ORD-1982</t>
  </si>
  <si>
    <t>ORD-2230</t>
  </si>
  <si>
    <t>ORD-2946</t>
  </si>
  <si>
    <t>ORD-2318</t>
  </si>
  <si>
    <t>ORD-2352</t>
  </si>
  <si>
    <t>ORD-2288</t>
  </si>
  <si>
    <t>ORD-1688</t>
  </si>
  <si>
    <t>ORD-2684</t>
  </si>
  <si>
    <t>ORD-2502</t>
  </si>
  <si>
    <t>ORD-2397</t>
  </si>
  <si>
    <t>ORD-1965</t>
  </si>
  <si>
    <t>ORD-1432</t>
  </si>
  <si>
    <t>ORD-1604</t>
  </si>
  <si>
    <t>ORD-1750</t>
  </si>
  <si>
    <t>ORD-1940</t>
  </si>
  <si>
    <t>ORD-1931</t>
  </si>
  <si>
    <t>ORD-1770</t>
  </si>
  <si>
    <t>ORD-2824</t>
  </si>
  <si>
    <t>ORD-2575</t>
  </si>
  <si>
    <t>ORD-1874</t>
  </si>
  <si>
    <t>ORD-2744</t>
  </si>
  <si>
    <t>ORD-1243</t>
  </si>
  <si>
    <t>ORD-1900</t>
  </si>
  <si>
    <t>ORD-2028</t>
  </si>
  <si>
    <t>ORD-1925</t>
  </si>
  <si>
    <t>ORD-2048</t>
  </si>
  <si>
    <t>ORD-2427</t>
  </si>
  <si>
    <t>ORD-1210</t>
  </si>
  <si>
    <t>ORD-1052</t>
  </si>
  <si>
    <t>ORD-2925</t>
  </si>
  <si>
    <t>Index Match</t>
  </si>
  <si>
    <t>Vlookup</t>
  </si>
  <si>
    <t>Sum of Revenue</t>
  </si>
  <si>
    <t>Row Labels</t>
  </si>
  <si>
    <t>Grand Total</t>
  </si>
  <si>
    <t>Sum of Quantity</t>
  </si>
  <si>
    <t>Count of Order ID</t>
  </si>
  <si>
    <t>Values</t>
  </si>
  <si>
    <t>Average of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</si>
</sst>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 #,##0.00,,&quot;M&quot;;[&gt;=1000]\ \$\ #.00,\ &quot;K&quot;;\ \$\ ###.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88">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IN" b="1">
                <a:solidFill>
                  <a:schemeClr val="accent1">
                    <a:lumMod val="75000"/>
                  </a:schemeClr>
                </a:solidFill>
              </a:rPr>
              <a:t>REVENUE BY MONTH</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lumMod val="75000"/>
              </a:schemeClr>
            </a:solidFill>
            <a:ln>
              <a:noFill/>
            </a:ln>
            <a:effectLst/>
          </c:spPr>
          <c:invertIfNegative val="0"/>
          <c:cat>
            <c:strRef>
              <c:f>'PIVOT TABLE'!$D$4:$D$367</c:f>
              <c:strCache>
                <c:ptCount val="363"/>
                <c:pt idx="0">
                  <c:v>46028</c:v>
                </c:pt>
                <c:pt idx="1">
                  <c:v>46176</c:v>
                </c:pt>
                <c:pt idx="2">
                  <c:v>9/13/2026</c:v>
                </c:pt>
                <c:pt idx="3">
                  <c:v>46026</c:v>
                </c:pt>
                <c:pt idx="4">
                  <c:v>11/21/2026</c:v>
                </c:pt>
                <c:pt idx="5">
                  <c:v>11/17/2026</c:v>
                </c:pt>
                <c:pt idx="6">
                  <c:v>3/27/2026</c:v>
                </c:pt>
                <c:pt idx="7">
                  <c:v>4/20/2026</c:v>
                </c:pt>
                <c:pt idx="8">
                  <c:v>7/22/2026</c:v>
                </c:pt>
                <c:pt idx="9">
                  <c:v>46357</c:v>
                </c:pt>
                <c:pt idx="10">
                  <c:v>10/16/2026</c:v>
                </c:pt>
                <c:pt idx="11">
                  <c:v>46365</c:v>
                </c:pt>
                <c:pt idx="12">
                  <c:v>11/26/2026</c:v>
                </c:pt>
                <c:pt idx="13">
                  <c:v>11/20/2026</c:v>
                </c:pt>
                <c:pt idx="14">
                  <c:v>46085</c:v>
                </c:pt>
                <c:pt idx="15">
                  <c:v>1/17/2026</c:v>
                </c:pt>
                <c:pt idx="16">
                  <c:v>6/15/2026</c:v>
                </c:pt>
                <c:pt idx="17">
                  <c:v>8/13/2026</c:v>
                </c:pt>
                <c:pt idx="18">
                  <c:v>10/17/2026</c:v>
                </c:pt>
                <c:pt idx="19">
                  <c:v>12/16/2026</c:v>
                </c:pt>
                <c:pt idx="20">
                  <c:v>6/13/2026</c:v>
                </c:pt>
                <c:pt idx="21">
                  <c:v>8/18/2026</c:v>
                </c:pt>
                <c:pt idx="22">
                  <c:v>5/29/2026</c:v>
                </c:pt>
                <c:pt idx="23">
                  <c:v>9/22/2026</c:v>
                </c:pt>
                <c:pt idx="24">
                  <c:v>11/27/2026</c:v>
                </c:pt>
                <c:pt idx="25">
                  <c:v>2/19/2026</c:v>
                </c:pt>
                <c:pt idx="26">
                  <c:v>3/22/2026</c:v>
                </c:pt>
                <c:pt idx="27">
                  <c:v>46151</c:v>
                </c:pt>
                <c:pt idx="28">
                  <c:v>46330</c:v>
                </c:pt>
                <c:pt idx="29">
                  <c:v>46033</c:v>
                </c:pt>
                <c:pt idx="30">
                  <c:v>8/30/2026</c:v>
                </c:pt>
                <c:pt idx="31">
                  <c:v>46090</c:v>
                </c:pt>
                <c:pt idx="32">
                  <c:v>3/15/2026</c:v>
                </c:pt>
                <c:pt idx="33">
                  <c:v>46274</c:v>
                </c:pt>
                <c:pt idx="34">
                  <c:v>46300</c:v>
                </c:pt>
                <c:pt idx="35">
                  <c:v>4/24/2026</c:v>
                </c:pt>
                <c:pt idx="36">
                  <c:v>46276</c:v>
                </c:pt>
                <c:pt idx="37">
                  <c:v>46362</c:v>
                </c:pt>
                <c:pt idx="38">
                  <c:v>7/25/2026</c:v>
                </c:pt>
                <c:pt idx="39">
                  <c:v>46175</c:v>
                </c:pt>
                <c:pt idx="40">
                  <c:v>5/22/2026</c:v>
                </c:pt>
                <c:pt idx="41">
                  <c:v>4/23/2026</c:v>
                </c:pt>
                <c:pt idx="42">
                  <c:v>6/17/2026</c:v>
                </c:pt>
                <c:pt idx="43">
                  <c:v>11/22/2026</c:v>
                </c:pt>
                <c:pt idx="44">
                  <c:v>6/22/2026</c:v>
                </c:pt>
                <c:pt idx="45">
                  <c:v>6/20/2026</c:v>
                </c:pt>
                <c:pt idx="46">
                  <c:v>46244</c:v>
                </c:pt>
                <c:pt idx="47">
                  <c:v>6/18/2026</c:v>
                </c:pt>
                <c:pt idx="48">
                  <c:v>8/27/2026</c:v>
                </c:pt>
                <c:pt idx="49">
                  <c:v>3/23/2026</c:v>
                </c:pt>
                <c:pt idx="50">
                  <c:v>46057</c:v>
                </c:pt>
                <c:pt idx="51">
                  <c:v>8/14/2026</c:v>
                </c:pt>
                <c:pt idx="52">
                  <c:v>46360</c:v>
                </c:pt>
                <c:pt idx="53">
                  <c:v>11/25/2026</c:v>
                </c:pt>
                <c:pt idx="54">
                  <c:v>46204</c:v>
                </c:pt>
                <c:pt idx="55">
                  <c:v>4/14/2026</c:v>
                </c:pt>
                <c:pt idx="56">
                  <c:v>12/19/2026</c:v>
                </c:pt>
                <c:pt idx="57">
                  <c:v>12/21/2026</c:v>
                </c:pt>
                <c:pt idx="58">
                  <c:v>9/26/2026</c:v>
                </c:pt>
                <c:pt idx="59">
                  <c:v>12/28/2026</c:v>
                </c:pt>
                <c:pt idx="60">
                  <c:v>46030</c:v>
                </c:pt>
                <c:pt idx="61">
                  <c:v>46182</c:v>
                </c:pt>
                <c:pt idx="62">
                  <c:v>12/27/2026</c:v>
                </c:pt>
                <c:pt idx="63">
                  <c:v>46297</c:v>
                </c:pt>
                <c:pt idx="64">
                  <c:v>7/26/2026</c:v>
                </c:pt>
                <c:pt idx="65">
                  <c:v>46236</c:v>
                </c:pt>
                <c:pt idx="66">
                  <c:v>46179</c:v>
                </c:pt>
                <c:pt idx="67">
                  <c:v>46307</c:v>
                </c:pt>
                <c:pt idx="68">
                  <c:v>46328</c:v>
                </c:pt>
                <c:pt idx="69">
                  <c:v>8/31/2026</c:v>
                </c:pt>
                <c:pt idx="70">
                  <c:v>10/19/2026</c:v>
                </c:pt>
                <c:pt idx="71">
                  <c:v>8/22/2026</c:v>
                </c:pt>
                <c:pt idx="72">
                  <c:v>46119</c:v>
                </c:pt>
                <c:pt idx="73">
                  <c:v>46145</c:v>
                </c:pt>
                <c:pt idx="74">
                  <c:v>10/21/2026</c:v>
                </c:pt>
                <c:pt idx="75">
                  <c:v>46358</c:v>
                </c:pt>
                <c:pt idx="76">
                  <c:v>11/18/2026</c:v>
                </c:pt>
                <c:pt idx="77">
                  <c:v>3/31/2026</c:v>
                </c:pt>
                <c:pt idx="78">
                  <c:v>6/23/2026</c:v>
                </c:pt>
                <c:pt idx="79">
                  <c:v>46148</c:v>
                </c:pt>
                <c:pt idx="80">
                  <c:v>46304</c:v>
                </c:pt>
                <c:pt idx="81">
                  <c:v>46305</c:v>
                </c:pt>
                <c:pt idx="82">
                  <c:v>46301</c:v>
                </c:pt>
                <c:pt idx="83">
                  <c:v>46123</c:v>
                </c:pt>
                <c:pt idx="84">
                  <c:v>7/30/2026</c:v>
                </c:pt>
                <c:pt idx="85">
                  <c:v>46056</c:v>
                </c:pt>
                <c:pt idx="86">
                  <c:v>46024</c:v>
                </c:pt>
                <c:pt idx="87">
                  <c:v>5/26/2026</c:v>
                </c:pt>
                <c:pt idx="88">
                  <c:v>9/23/2026</c:v>
                </c:pt>
                <c:pt idx="89">
                  <c:v>1/30/2026</c:v>
                </c:pt>
                <c:pt idx="90">
                  <c:v>46177</c:v>
                </c:pt>
                <c:pt idx="91">
                  <c:v>9/27/2026</c:v>
                </c:pt>
                <c:pt idx="92">
                  <c:v>6/29/2026</c:v>
                </c:pt>
                <c:pt idx="93">
                  <c:v>2/21/2026</c:v>
                </c:pt>
                <c:pt idx="94">
                  <c:v>10/24/2026</c:v>
                </c:pt>
                <c:pt idx="95">
                  <c:v>46029</c:v>
                </c:pt>
                <c:pt idx="96">
                  <c:v>46337</c:v>
                </c:pt>
                <c:pt idx="97">
                  <c:v>46065</c:v>
                </c:pt>
                <c:pt idx="98">
                  <c:v>1/14/2026</c:v>
                </c:pt>
                <c:pt idx="99">
                  <c:v>46054</c:v>
                </c:pt>
                <c:pt idx="100">
                  <c:v>46206</c:v>
                </c:pt>
                <c:pt idx="101">
                  <c:v>3/26/2026</c:v>
                </c:pt>
                <c:pt idx="102">
                  <c:v>46180</c:v>
                </c:pt>
                <c:pt idx="103">
                  <c:v>12/23/2026</c:v>
                </c:pt>
                <c:pt idx="104">
                  <c:v>4/29/2026</c:v>
                </c:pt>
                <c:pt idx="105">
                  <c:v>46117</c:v>
                </c:pt>
                <c:pt idx="106">
                  <c:v>4/25/2026</c:v>
                </c:pt>
                <c:pt idx="107">
                  <c:v>7/16/2026</c:v>
                </c:pt>
                <c:pt idx="108">
                  <c:v>12/13/2026</c:v>
                </c:pt>
                <c:pt idx="109">
                  <c:v>5/25/2026</c:v>
                </c:pt>
                <c:pt idx="110">
                  <c:v>46122</c:v>
                </c:pt>
                <c:pt idx="111">
                  <c:v>2/24/2026</c:v>
                </c:pt>
                <c:pt idx="112">
                  <c:v>10/23/2026</c:v>
                </c:pt>
                <c:pt idx="113">
                  <c:v>8/25/2026</c:v>
                </c:pt>
                <c:pt idx="114">
                  <c:v>1/13/2026</c:v>
                </c:pt>
                <c:pt idx="115">
                  <c:v>46146</c:v>
                </c:pt>
                <c:pt idx="116">
                  <c:v>46335</c:v>
                </c:pt>
                <c:pt idx="117">
                  <c:v>46359</c:v>
                </c:pt>
                <c:pt idx="118">
                  <c:v>46181</c:v>
                </c:pt>
                <c:pt idx="119">
                  <c:v>6/28/2026</c:v>
                </c:pt>
                <c:pt idx="120">
                  <c:v>6/26/2026</c:v>
                </c:pt>
                <c:pt idx="121">
                  <c:v>5/20/2026</c:v>
                </c:pt>
                <c:pt idx="122">
                  <c:v>11/28/2026</c:v>
                </c:pt>
                <c:pt idx="123">
                  <c:v>4/17/2026</c:v>
                </c:pt>
                <c:pt idx="124">
                  <c:v>5/17/2026</c:v>
                </c:pt>
                <c:pt idx="125">
                  <c:v>10/31/2026</c:v>
                </c:pt>
                <c:pt idx="126">
                  <c:v>6/24/2026</c:v>
                </c:pt>
                <c:pt idx="127">
                  <c:v>5/21/2026</c:v>
                </c:pt>
                <c:pt idx="128">
                  <c:v>1/24/2026</c:v>
                </c:pt>
                <c:pt idx="129">
                  <c:v>9/19/2026</c:v>
                </c:pt>
                <c:pt idx="130">
                  <c:v>10/13/2026</c:v>
                </c:pt>
                <c:pt idx="131">
                  <c:v>2/22/2026</c:v>
                </c:pt>
                <c:pt idx="132">
                  <c:v>2/20/2026</c:v>
                </c:pt>
                <c:pt idx="133">
                  <c:v>7/29/2026</c:v>
                </c:pt>
                <c:pt idx="134">
                  <c:v>46209</c:v>
                </c:pt>
                <c:pt idx="135">
                  <c:v>46152</c:v>
                </c:pt>
                <c:pt idx="136">
                  <c:v>7/23/2026</c:v>
                </c:pt>
                <c:pt idx="137">
                  <c:v>8/29/2026</c:v>
                </c:pt>
                <c:pt idx="138">
                  <c:v>46267</c:v>
                </c:pt>
                <c:pt idx="139">
                  <c:v>1/22/2026</c:v>
                </c:pt>
                <c:pt idx="140">
                  <c:v>46120</c:v>
                </c:pt>
                <c:pt idx="141">
                  <c:v>46268</c:v>
                </c:pt>
                <c:pt idx="142">
                  <c:v>3/29/2026</c:v>
                </c:pt>
                <c:pt idx="143">
                  <c:v>12/31/2026</c:v>
                </c:pt>
                <c:pt idx="144">
                  <c:v>12/20/2026</c:v>
                </c:pt>
                <c:pt idx="145">
                  <c:v>46124</c:v>
                </c:pt>
                <c:pt idx="146">
                  <c:v>46092</c:v>
                </c:pt>
                <c:pt idx="147">
                  <c:v>46214</c:v>
                </c:pt>
                <c:pt idx="148">
                  <c:v>46185</c:v>
                </c:pt>
                <c:pt idx="149">
                  <c:v>3/18/2026</c:v>
                </c:pt>
                <c:pt idx="150">
                  <c:v>2/25/2026</c:v>
                </c:pt>
                <c:pt idx="151">
                  <c:v>5/27/2026</c:v>
                </c:pt>
                <c:pt idx="152">
                  <c:v>46306</c:v>
                </c:pt>
                <c:pt idx="153">
                  <c:v>46150</c:v>
                </c:pt>
                <c:pt idx="154">
                  <c:v>46055</c:v>
                </c:pt>
                <c:pt idx="155">
                  <c:v>3/16/2026</c:v>
                </c:pt>
                <c:pt idx="156">
                  <c:v>1/16/2026</c:v>
                </c:pt>
                <c:pt idx="157">
                  <c:v>46271</c:v>
                </c:pt>
                <c:pt idx="158">
                  <c:v>4/15/2026</c:v>
                </c:pt>
                <c:pt idx="159">
                  <c:v>46064</c:v>
                </c:pt>
                <c:pt idx="160">
                  <c:v>3/28/2026</c:v>
                </c:pt>
                <c:pt idx="161">
                  <c:v>46062</c:v>
                </c:pt>
                <c:pt idx="162">
                  <c:v>10/30/2026</c:v>
                </c:pt>
                <c:pt idx="163">
                  <c:v>12/24/2026</c:v>
                </c:pt>
                <c:pt idx="164">
                  <c:v>6/25/2026</c:v>
                </c:pt>
                <c:pt idx="165">
                  <c:v>10/28/2026</c:v>
                </c:pt>
                <c:pt idx="166">
                  <c:v>4/28/2026</c:v>
                </c:pt>
                <c:pt idx="167">
                  <c:v>3/24/2026</c:v>
                </c:pt>
                <c:pt idx="168">
                  <c:v>7/28/2026</c:v>
                </c:pt>
                <c:pt idx="169">
                  <c:v>6/27/2026</c:v>
                </c:pt>
                <c:pt idx="170">
                  <c:v>4/21/2026</c:v>
                </c:pt>
                <c:pt idx="171">
                  <c:v>46367</c:v>
                </c:pt>
                <c:pt idx="172">
                  <c:v>11/15/2026</c:v>
                </c:pt>
                <c:pt idx="173">
                  <c:v>4/16/2026</c:v>
                </c:pt>
                <c:pt idx="174">
                  <c:v>46059</c:v>
                </c:pt>
                <c:pt idx="175">
                  <c:v>46207</c:v>
                </c:pt>
                <c:pt idx="176">
                  <c:v>46058</c:v>
                </c:pt>
                <c:pt idx="177">
                  <c:v>2/28/2026</c:v>
                </c:pt>
                <c:pt idx="178">
                  <c:v>46093</c:v>
                </c:pt>
                <c:pt idx="179">
                  <c:v>7/24/2026</c:v>
                </c:pt>
                <c:pt idx="180">
                  <c:v>46084</c:v>
                </c:pt>
                <c:pt idx="181">
                  <c:v>46063</c:v>
                </c:pt>
                <c:pt idx="182">
                  <c:v>9/14/2026</c:v>
                </c:pt>
                <c:pt idx="183">
                  <c:v>1/21/2026</c:v>
                </c:pt>
                <c:pt idx="184">
                  <c:v>9/15/2026</c:v>
                </c:pt>
                <c:pt idx="185">
                  <c:v>5/15/2026</c:v>
                </c:pt>
                <c:pt idx="186">
                  <c:v>11/30/2026</c:v>
                </c:pt>
                <c:pt idx="187">
                  <c:v>3/13/2026</c:v>
                </c:pt>
                <c:pt idx="188">
                  <c:v>4/22/2026</c:v>
                </c:pt>
                <c:pt idx="189">
                  <c:v>46114</c:v>
                </c:pt>
                <c:pt idx="190">
                  <c:v>8/28/2026</c:v>
                </c:pt>
                <c:pt idx="191">
                  <c:v>46327</c:v>
                </c:pt>
                <c:pt idx="192">
                  <c:v>46211</c:v>
                </c:pt>
                <c:pt idx="193">
                  <c:v>46277</c:v>
                </c:pt>
                <c:pt idx="194">
                  <c:v>46087</c:v>
                </c:pt>
                <c:pt idx="195">
                  <c:v>6/16/2026</c:v>
                </c:pt>
                <c:pt idx="196">
                  <c:v>11/29/2026</c:v>
                </c:pt>
                <c:pt idx="197">
                  <c:v>10/22/2026</c:v>
                </c:pt>
                <c:pt idx="198">
                  <c:v>46269</c:v>
                </c:pt>
                <c:pt idx="199">
                  <c:v>46213</c:v>
                </c:pt>
                <c:pt idx="200">
                  <c:v>5/23/2026</c:v>
                </c:pt>
                <c:pt idx="201">
                  <c:v>9/29/2026</c:v>
                </c:pt>
                <c:pt idx="202">
                  <c:v>1/26/2026</c:v>
                </c:pt>
                <c:pt idx="203">
                  <c:v>46368</c:v>
                </c:pt>
                <c:pt idx="204">
                  <c:v>1/15/2026</c:v>
                </c:pt>
                <c:pt idx="205">
                  <c:v>46302</c:v>
                </c:pt>
                <c:pt idx="206">
                  <c:v>46235</c:v>
                </c:pt>
                <c:pt idx="207">
                  <c:v>2/23/2026</c:v>
                </c:pt>
                <c:pt idx="208">
                  <c:v>46032</c:v>
                </c:pt>
                <c:pt idx="209">
                  <c:v>9/20/2026</c:v>
                </c:pt>
                <c:pt idx="210">
                  <c:v>46241</c:v>
                </c:pt>
                <c:pt idx="211">
                  <c:v>12/17/2026</c:v>
                </c:pt>
                <c:pt idx="212">
                  <c:v>46027</c:v>
                </c:pt>
                <c:pt idx="213">
                  <c:v>11/19/2026</c:v>
                </c:pt>
                <c:pt idx="214">
                  <c:v>7/21/2026</c:v>
                </c:pt>
                <c:pt idx="215">
                  <c:v>5/19/2026</c:v>
                </c:pt>
                <c:pt idx="216">
                  <c:v>46154</c:v>
                </c:pt>
                <c:pt idx="217">
                  <c:v>46299</c:v>
                </c:pt>
                <c:pt idx="218">
                  <c:v>46143</c:v>
                </c:pt>
                <c:pt idx="219">
                  <c:v>46215</c:v>
                </c:pt>
                <c:pt idx="220">
                  <c:v>5/28/2026</c:v>
                </c:pt>
                <c:pt idx="221">
                  <c:v>6/19/2026</c:v>
                </c:pt>
                <c:pt idx="222">
                  <c:v>46144</c:v>
                </c:pt>
                <c:pt idx="223">
                  <c:v>46245</c:v>
                </c:pt>
                <c:pt idx="224">
                  <c:v>12/22/2026</c:v>
                </c:pt>
                <c:pt idx="225">
                  <c:v>46184</c:v>
                </c:pt>
                <c:pt idx="226">
                  <c:v>46270</c:v>
                </c:pt>
                <c:pt idx="227">
                  <c:v>46329</c:v>
                </c:pt>
                <c:pt idx="228">
                  <c:v>46243</c:v>
                </c:pt>
                <c:pt idx="229">
                  <c:v>12/15/2026</c:v>
                </c:pt>
                <c:pt idx="230">
                  <c:v>8/17/2026</c:v>
                </c:pt>
                <c:pt idx="231">
                  <c:v>46298</c:v>
                </c:pt>
                <c:pt idx="232">
                  <c:v>46338</c:v>
                </c:pt>
                <c:pt idx="233">
                  <c:v>10/26/2026</c:v>
                </c:pt>
                <c:pt idx="234">
                  <c:v>10/27/2026</c:v>
                </c:pt>
                <c:pt idx="235">
                  <c:v>11/14/2026</c:v>
                </c:pt>
                <c:pt idx="236">
                  <c:v>4/27/2026</c:v>
                </c:pt>
                <c:pt idx="237">
                  <c:v>46366</c:v>
                </c:pt>
                <c:pt idx="238">
                  <c:v>9/25/2026</c:v>
                </c:pt>
                <c:pt idx="239">
                  <c:v>2/15/2026</c:v>
                </c:pt>
                <c:pt idx="240">
                  <c:v>5/24/2026</c:v>
                </c:pt>
                <c:pt idx="241">
                  <c:v>12/14/2026</c:v>
                </c:pt>
                <c:pt idx="242">
                  <c:v>3/19/2026</c:v>
                </c:pt>
                <c:pt idx="243">
                  <c:v>4/30/2026</c:v>
                </c:pt>
                <c:pt idx="244">
                  <c:v>8/23/2026</c:v>
                </c:pt>
                <c:pt idx="245">
                  <c:v>46205</c:v>
                </c:pt>
                <c:pt idx="246">
                  <c:v>3/21/2026</c:v>
                </c:pt>
                <c:pt idx="247">
                  <c:v>46118</c:v>
                </c:pt>
                <c:pt idx="248">
                  <c:v>8/24/2026</c:v>
                </c:pt>
                <c:pt idx="249">
                  <c:v>10/29/2026</c:v>
                </c:pt>
                <c:pt idx="250">
                  <c:v>46246</c:v>
                </c:pt>
                <c:pt idx="251">
                  <c:v>46178</c:v>
                </c:pt>
                <c:pt idx="252">
                  <c:v>46336</c:v>
                </c:pt>
                <c:pt idx="253">
                  <c:v>1/25/2026</c:v>
                </c:pt>
                <c:pt idx="254">
                  <c:v>46333</c:v>
                </c:pt>
                <c:pt idx="255">
                  <c:v>3/25/2026</c:v>
                </c:pt>
                <c:pt idx="256">
                  <c:v>1/23/2026</c:v>
                </c:pt>
                <c:pt idx="257">
                  <c:v>2/18/2026</c:v>
                </c:pt>
                <c:pt idx="258">
                  <c:v>46153</c:v>
                </c:pt>
                <c:pt idx="259">
                  <c:v>1/28/2026</c:v>
                </c:pt>
                <c:pt idx="260">
                  <c:v>12/29/2026</c:v>
                </c:pt>
                <c:pt idx="261">
                  <c:v>46296</c:v>
                </c:pt>
                <c:pt idx="262">
                  <c:v>46113</c:v>
                </c:pt>
                <c:pt idx="263">
                  <c:v>46149</c:v>
                </c:pt>
                <c:pt idx="264">
                  <c:v>6/14/2026</c:v>
                </c:pt>
                <c:pt idx="265">
                  <c:v>46331</c:v>
                </c:pt>
                <c:pt idx="266">
                  <c:v>3/20/2026</c:v>
                </c:pt>
                <c:pt idx="267">
                  <c:v>46364</c:v>
                </c:pt>
                <c:pt idx="268">
                  <c:v>4/26/2026</c:v>
                </c:pt>
                <c:pt idx="269">
                  <c:v>9/30/2026</c:v>
                </c:pt>
                <c:pt idx="270">
                  <c:v>1/31/2026</c:v>
                </c:pt>
                <c:pt idx="271">
                  <c:v>12/26/2026</c:v>
                </c:pt>
                <c:pt idx="272">
                  <c:v>12/30/2026</c:v>
                </c:pt>
                <c:pt idx="273">
                  <c:v>46088</c:v>
                </c:pt>
                <c:pt idx="274">
                  <c:v>46091</c:v>
                </c:pt>
                <c:pt idx="275">
                  <c:v>5/13/2026</c:v>
                </c:pt>
                <c:pt idx="276">
                  <c:v>7/27/2026</c:v>
                </c:pt>
                <c:pt idx="277">
                  <c:v>11/23/2026</c:v>
                </c:pt>
                <c:pt idx="278">
                  <c:v>46240</c:v>
                </c:pt>
                <c:pt idx="279">
                  <c:v>46116</c:v>
                </c:pt>
                <c:pt idx="280">
                  <c:v>8/26/2026</c:v>
                </c:pt>
                <c:pt idx="281">
                  <c:v>46208</c:v>
                </c:pt>
                <c:pt idx="282">
                  <c:v>2/26/2026</c:v>
                </c:pt>
                <c:pt idx="283">
                  <c:v>46332</c:v>
                </c:pt>
                <c:pt idx="284">
                  <c:v>1/18/2026</c:v>
                </c:pt>
                <c:pt idx="285">
                  <c:v>46334</c:v>
                </c:pt>
                <c:pt idx="286">
                  <c:v>10/20/2026</c:v>
                </c:pt>
                <c:pt idx="287">
                  <c:v>9/21/2026</c:v>
                </c:pt>
                <c:pt idx="288">
                  <c:v>46212</c:v>
                </c:pt>
                <c:pt idx="289">
                  <c:v>9/28/2026</c:v>
                </c:pt>
                <c:pt idx="290">
                  <c:v>46023</c:v>
                </c:pt>
                <c:pt idx="291">
                  <c:v>4/19/2026</c:v>
                </c:pt>
                <c:pt idx="292">
                  <c:v>46272</c:v>
                </c:pt>
                <c:pt idx="293">
                  <c:v>46266</c:v>
                </c:pt>
                <c:pt idx="294">
                  <c:v>5/16/2026</c:v>
                </c:pt>
                <c:pt idx="295">
                  <c:v>46083</c:v>
                </c:pt>
                <c:pt idx="296">
                  <c:v>5/31/2026</c:v>
                </c:pt>
                <c:pt idx="297">
                  <c:v>46147</c:v>
                </c:pt>
                <c:pt idx="298">
                  <c:v>46210</c:v>
                </c:pt>
                <c:pt idx="299">
                  <c:v>46034</c:v>
                </c:pt>
                <c:pt idx="300">
                  <c:v>46183</c:v>
                </c:pt>
                <c:pt idx="301">
                  <c:v>8/16/2026</c:v>
                </c:pt>
                <c:pt idx="302">
                  <c:v>46121</c:v>
                </c:pt>
                <c:pt idx="303">
                  <c:v>10/18/2026</c:v>
                </c:pt>
                <c:pt idx="304">
                  <c:v>11/16/2026</c:v>
                </c:pt>
                <c:pt idx="305">
                  <c:v>9/17/2026</c:v>
                </c:pt>
                <c:pt idx="306">
                  <c:v>46237</c:v>
                </c:pt>
                <c:pt idx="307">
                  <c:v>6/21/2026</c:v>
                </c:pt>
                <c:pt idx="308">
                  <c:v>10/15/2026</c:v>
                </c:pt>
                <c:pt idx="309">
                  <c:v>1/27/2026</c:v>
                </c:pt>
                <c:pt idx="310">
                  <c:v>4/18/2026</c:v>
                </c:pt>
                <c:pt idx="311">
                  <c:v>3/17/2026</c:v>
                </c:pt>
                <c:pt idx="312">
                  <c:v>9/18/2026</c:v>
                </c:pt>
                <c:pt idx="313">
                  <c:v>46025</c:v>
                </c:pt>
                <c:pt idx="314">
                  <c:v>7/15/2026</c:v>
                </c:pt>
                <c:pt idx="315">
                  <c:v>46086</c:v>
                </c:pt>
                <c:pt idx="316">
                  <c:v>46242</c:v>
                </c:pt>
                <c:pt idx="317">
                  <c:v>10/14/2026</c:v>
                </c:pt>
                <c:pt idx="318">
                  <c:v>3/30/2026</c:v>
                </c:pt>
                <c:pt idx="319">
                  <c:v>46089</c:v>
                </c:pt>
                <c:pt idx="320">
                  <c:v>46082</c:v>
                </c:pt>
                <c:pt idx="321">
                  <c:v>1/20/2026</c:v>
                </c:pt>
                <c:pt idx="322">
                  <c:v>46239</c:v>
                </c:pt>
                <c:pt idx="323">
                  <c:v>8/19/2026</c:v>
                </c:pt>
                <c:pt idx="324">
                  <c:v>46361</c:v>
                </c:pt>
                <c:pt idx="325">
                  <c:v>46031</c:v>
                </c:pt>
                <c:pt idx="326">
                  <c:v>46238</c:v>
                </c:pt>
                <c:pt idx="327">
                  <c:v>1/19/2026</c:v>
                </c:pt>
                <c:pt idx="328">
                  <c:v>5/18/2026</c:v>
                </c:pt>
                <c:pt idx="329">
                  <c:v>6/30/2026</c:v>
                </c:pt>
                <c:pt idx="330">
                  <c:v>11/13/2026</c:v>
                </c:pt>
                <c:pt idx="331">
                  <c:v>3/14/2026</c:v>
                </c:pt>
                <c:pt idx="332">
                  <c:v>12/25/2026</c:v>
                </c:pt>
                <c:pt idx="333">
                  <c:v>9/16/2026</c:v>
                </c:pt>
                <c:pt idx="334">
                  <c:v>2/16/2026</c:v>
                </c:pt>
                <c:pt idx="335">
                  <c:v>7/20/2026</c:v>
                </c:pt>
                <c:pt idx="336">
                  <c:v>10/25/2026</c:v>
                </c:pt>
                <c:pt idx="337">
                  <c:v>8/21/2026</c:v>
                </c:pt>
                <c:pt idx="338">
                  <c:v>46303</c:v>
                </c:pt>
                <c:pt idx="339">
                  <c:v>7/31/2026</c:v>
                </c:pt>
                <c:pt idx="340">
                  <c:v>46115</c:v>
                </c:pt>
                <c:pt idx="341">
                  <c:v>46061</c:v>
                </c:pt>
                <c:pt idx="342">
                  <c:v>46273</c:v>
                </c:pt>
                <c:pt idx="343">
                  <c:v>5/14/2026</c:v>
                </c:pt>
                <c:pt idx="344">
                  <c:v>46060</c:v>
                </c:pt>
                <c:pt idx="345">
                  <c:v>4/13/2026</c:v>
                </c:pt>
                <c:pt idx="346">
                  <c:v>46174</c:v>
                </c:pt>
                <c:pt idx="347">
                  <c:v>46363</c:v>
                </c:pt>
                <c:pt idx="348">
                  <c:v>7/14/2026</c:v>
                </c:pt>
                <c:pt idx="349">
                  <c:v>7/19/2026</c:v>
                </c:pt>
                <c:pt idx="350">
                  <c:v>11/24/2026</c:v>
                </c:pt>
                <c:pt idx="351">
                  <c:v>7/13/2026</c:v>
                </c:pt>
                <c:pt idx="352">
                  <c:v>8/20/2026</c:v>
                </c:pt>
                <c:pt idx="353">
                  <c:v>2/27/2026</c:v>
                </c:pt>
                <c:pt idx="354">
                  <c:v>7/18/2026</c:v>
                </c:pt>
                <c:pt idx="355">
                  <c:v>2/17/2026</c:v>
                </c:pt>
                <c:pt idx="356">
                  <c:v>8/15/2026</c:v>
                </c:pt>
                <c:pt idx="357">
                  <c:v>5/30/2026</c:v>
                </c:pt>
                <c:pt idx="358">
                  <c:v>9/24/2026</c:v>
                </c:pt>
                <c:pt idx="359">
                  <c:v>2/13/2026</c:v>
                </c:pt>
                <c:pt idx="360">
                  <c:v>2/14/2026</c:v>
                </c:pt>
                <c:pt idx="361">
                  <c:v>12/18/2026</c:v>
                </c:pt>
                <c:pt idx="362">
                  <c:v>7/17/2026</c:v>
                </c:pt>
              </c:strCache>
            </c:strRef>
          </c:cat>
          <c:val>
            <c:numRef>
              <c:f>'PIVOT TABLE'!$E$4:$E$367</c:f>
              <c:numCache>
                <c:formatCode>[&gt;=1000000]\ \$\ #,##0.00,,"M";[&gt;=1000]\ \$\ #.00,\ "K";\ \$\ ###.00</c:formatCode>
                <c:ptCount val="363"/>
                <c:pt idx="0">
                  <c:v>42645.79</c:v>
                </c:pt>
                <c:pt idx="1">
                  <c:v>40028.899999999994</c:v>
                </c:pt>
                <c:pt idx="2">
                  <c:v>37447.22</c:v>
                </c:pt>
                <c:pt idx="3">
                  <c:v>32521.61</c:v>
                </c:pt>
                <c:pt idx="4">
                  <c:v>31589.850000000006</c:v>
                </c:pt>
                <c:pt idx="5">
                  <c:v>30489.200000000001</c:v>
                </c:pt>
                <c:pt idx="6">
                  <c:v>29176.489999999998</c:v>
                </c:pt>
                <c:pt idx="7">
                  <c:v>29075.79</c:v>
                </c:pt>
                <c:pt idx="8">
                  <c:v>26461.770000000004</c:v>
                </c:pt>
                <c:pt idx="9">
                  <c:v>26454.399999999998</c:v>
                </c:pt>
                <c:pt idx="10">
                  <c:v>26370.399999999998</c:v>
                </c:pt>
                <c:pt idx="11">
                  <c:v>26163.8</c:v>
                </c:pt>
                <c:pt idx="12">
                  <c:v>25840.019999999997</c:v>
                </c:pt>
                <c:pt idx="13">
                  <c:v>25672.15</c:v>
                </c:pt>
                <c:pt idx="14">
                  <c:v>25131.480000000003</c:v>
                </c:pt>
                <c:pt idx="15">
                  <c:v>25101.27</c:v>
                </c:pt>
                <c:pt idx="16">
                  <c:v>24792.5</c:v>
                </c:pt>
                <c:pt idx="17">
                  <c:v>24657.010000000002</c:v>
                </c:pt>
                <c:pt idx="18">
                  <c:v>24497.68</c:v>
                </c:pt>
                <c:pt idx="19">
                  <c:v>24245.51</c:v>
                </c:pt>
                <c:pt idx="20">
                  <c:v>23982.080000000002</c:v>
                </c:pt>
                <c:pt idx="21">
                  <c:v>23619.149999999998</c:v>
                </c:pt>
                <c:pt idx="22">
                  <c:v>23507.210000000003</c:v>
                </c:pt>
                <c:pt idx="23">
                  <c:v>23367.97</c:v>
                </c:pt>
                <c:pt idx="24">
                  <c:v>22782.28</c:v>
                </c:pt>
                <c:pt idx="25">
                  <c:v>22721.360000000001</c:v>
                </c:pt>
                <c:pt idx="26">
                  <c:v>22630.03</c:v>
                </c:pt>
                <c:pt idx="27">
                  <c:v>22354.19</c:v>
                </c:pt>
                <c:pt idx="28">
                  <c:v>21682.720000000001</c:v>
                </c:pt>
                <c:pt idx="29">
                  <c:v>21352.75</c:v>
                </c:pt>
                <c:pt idx="30">
                  <c:v>21121.02</c:v>
                </c:pt>
                <c:pt idx="31">
                  <c:v>20235.199999999997</c:v>
                </c:pt>
                <c:pt idx="32">
                  <c:v>20092.91</c:v>
                </c:pt>
                <c:pt idx="33">
                  <c:v>19938.14</c:v>
                </c:pt>
                <c:pt idx="34">
                  <c:v>19778.859999999997</c:v>
                </c:pt>
                <c:pt idx="35">
                  <c:v>19409.150000000001</c:v>
                </c:pt>
                <c:pt idx="36">
                  <c:v>19291.5</c:v>
                </c:pt>
                <c:pt idx="37">
                  <c:v>19234.71</c:v>
                </c:pt>
                <c:pt idx="38">
                  <c:v>19136.38</c:v>
                </c:pt>
                <c:pt idx="39">
                  <c:v>19087.11</c:v>
                </c:pt>
                <c:pt idx="40">
                  <c:v>18903.84</c:v>
                </c:pt>
                <c:pt idx="41">
                  <c:v>18865.22</c:v>
                </c:pt>
                <c:pt idx="42">
                  <c:v>18846.07</c:v>
                </c:pt>
                <c:pt idx="43">
                  <c:v>18799.019999999997</c:v>
                </c:pt>
                <c:pt idx="44">
                  <c:v>18504.23</c:v>
                </c:pt>
                <c:pt idx="45">
                  <c:v>18463.18</c:v>
                </c:pt>
                <c:pt idx="46">
                  <c:v>18141.22</c:v>
                </c:pt>
                <c:pt idx="47">
                  <c:v>17829.79</c:v>
                </c:pt>
                <c:pt idx="48">
                  <c:v>17586.39</c:v>
                </c:pt>
                <c:pt idx="49">
                  <c:v>17452.150000000001</c:v>
                </c:pt>
                <c:pt idx="50">
                  <c:v>17313.68</c:v>
                </c:pt>
                <c:pt idx="51">
                  <c:v>17251.739999999998</c:v>
                </c:pt>
                <c:pt idx="52">
                  <c:v>17143.830000000002</c:v>
                </c:pt>
                <c:pt idx="53">
                  <c:v>16913.7</c:v>
                </c:pt>
                <c:pt idx="54">
                  <c:v>16875.359999999997</c:v>
                </c:pt>
                <c:pt idx="55">
                  <c:v>16844.280000000002</c:v>
                </c:pt>
                <c:pt idx="56">
                  <c:v>16831.04</c:v>
                </c:pt>
                <c:pt idx="57">
                  <c:v>16693.260000000002</c:v>
                </c:pt>
                <c:pt idx="58">
                  <c:v>16471.150000000001</c:v>
                </c:pt>
                <c:pt idx="59">
                  <c:v>16305.820000000002</c:v>
                </c:pt>
                <c:pt idx="60">
                  <c:v>16300.05</c:v>
                </c:pt>
                <c:pt idx="61">
                  <c:v>16230.849999999999</c:v>
                </c:pt>
                <c:pt idx="62">
                  <c:v>15960.58</c:v>
                </c:pt>
                <c:pt idx="63">
                  <c:v>15827.210000000001</c:v>
                </c:pt>
                <c:pt idx="64">
                  <c:v>15787.740000000002</c:v>
                </c:pt>
                <c:pt idx="65">
                  <c:v>15776.42</c:v>
                </c:pt>
                <c:pt idx="66">
                  <c:v>15737.180000000002</c:v>
                </c:pt>
                <c:pt idx="67">
                  <c:v>15273.559999999998</c:v>
                </c:pt>
                <c:pt idx="68">
                  <c:v>15038.03</c:v>
                </c:pt>
                <c:pt idx="69">
                  <c:v>14970.119999999999</c:v>
                </c:pt>
                <c:pt idx="70">
                  <c:v>14957.97</c:v>
                </c:pt>
                <c:pt idx="71">
                  <c:v>14931.829999999998</c:v>
                </c:pt>
                <c:pt idx="72">
                  <c:v>14846.680000000002</c:v>
                </c:pt>
                <c:pt idx="73">
                  <c:v>14796.36</c:v>
                </c:pt>
                <c:pt idx="74">
                  <c:v>14658.5</c:v>
                </c:pt>
                <c:pt idx="75">
                  <c:v>14540.149999999998</c:v>
                </c:pt>
                <c:pt idx="76">
                  <c:v>14504.11</c:v>
                </c:pt>
                <c:pt idx="77">
                  <c:v>14484.31</c:v>
                </c:pt>
                <c:pt idx="78">
                  <c:v>14448.599999999999</c:v>
                </c:pt>
                <c:pt idx="79">
                  <c:v>14381.93</c:v>
                </c:pt>
                <c:pt idx="80">
                  <c:v>14365.73</c:v>
                </c:pt>
                <c:pt idx="81">
                  <c:v>14217.34</c:v>
                </c:pt>
                <c:pt idx="82">
                  <c:v>14178.2</c:v>
                </c:pt>
                <c:pt idx="83">
                  <c:v>14112.64</c:v>
                </c:pt>
                <c:pt idx="84">
                  <c:v>14074.5</c:v>
                </c:pt>
                <c:pt idx="85">
                  <c:v>14040.550000000001</c:v>
                </c:pt>
                <c:pt idx="86">
                  <c:v>14026.61</c:v>
                </c:pt>
                <c:pt idx="87">
                  <c:v>14021.960000000001</c:v>
                </c:pt>
                <c:pt idx="88">
                  <c:v>13649.23</c:v>
                </c:pt>
                <c:pt idx="89">
                  <c:v>13563.05</c:v>
                </c:pt>
                <c:pt idx="90">
                  <c:v>13109.49</c:v>
                </c:pt>
                <c:pt idx="91">
                  <c:v>13096.579999999998</c:v>
                </c:pt>
                <c:pt idx="92">
                  <c:v>13000.630000000001</c:v>
                </c:pt>
                <c:pt idx="93">
                  <c:v>12993.07</c:v>
                </c:pt>
                <c:pt idx="94">
                  <c:v>12697.079999999998</c:v>
                </c:pt>
                <c:pt idx="95">
                  <c:v>12696.029999999999</c:v>
                </c:pt>
                <c:pt idx="96">
                  <c:v>12646.44</c:v>
                </c:pt>
                <c:pt idx="97">
                  <c:v>12540.73</c:v>
                </c:pt>
                <c:pt idx="98">
                  <c:v>12521.269999999999</c:v>
                </c:pt>
                <c:pt idx="99">
                  <c:v>12417.6</c:v>
                </c:pt>
                <c:pt idx="100">
                  <c:v>12362.59</c:v>
                </c:pt>
                <c:pt idx="101">
                  <c:v>12295.6</c:v>
                </c:pt>
                <c:pt idx="102">
                  <c:v>12286.21</c:v>
                </c:pt>
                <c:pt idx="103">
                  <c:v>12228.570000000002</c:v>
                </c:pt>
                <c:pt idx="104">
                  <c:v>12185.43</c:v>
                </c:pt>
                <c:pt idx="105">
                  <c:v>12173.039999999999</c:v>
                </c:pt>
                <c:pt idx="106">
                  <c:v>12164.67</c:v>
                </c:pt>
                <c:pt idx="107">
                  <c:v>12033</c:v>
                </c:pt>
                <c:pt idx="108">
                  <c:v>11974.5</c:v>
                </c:pt>
                <c:pt idx="109">
                  <c:v>11945.82</c:v>
                </c:pt>
                <c:pt idx="110">
                  <c:v>11938.67</c:v>
                </c:pt>
                <c:pt idx="111">
                  <c:v>11926.919999999998</c:v>
                </c:pt>
                <c:pt idx="112">
                  <c:v>11904.659999999998</c:v>
                </c:pt>
                <c:pt idx="113">
                  <c:v>11875.32</c:v>
                </c:pt>
                <c:pt idx="114">
                  <c:v>11852.64</c:v>
                </c:pt>
                <c:pt idx="115">
                  <c:v>11787.220000000001</c:v>
                </c:pt>
                <c:pt idx="116">
                  <c:v>11578.44</c:v>
                </c:pt>
                <c:pt idx="117">
                  <c:v>11525.58</c:v>
                </c:pt>
                <c:pt idx="118">
                  <c:v>11503.81</c:v>
                </c:pt>
                <c:pt idx="119">
                  <c:v>11402.99</c:v>
                </c:pt>
                <c:pt idx="120">
                  <c:v>11292.300000000001</c:v>
                </c:pt>
                <c:pt idx="121">
                  <c:v>11176.93</c:v>
                </c:pt>
                <c:pt idx="122">
                  <c:v>11110.460000000001</c:v>
                </c:pt>
                <c:pt idx="123">
                  <c:v>10958.4</c:v>
                </c:pt>
                <c:pt idx="124">
                  <c:v>10917.089999999998</c:v>
                </c:pt>
                <c:pt idx="125">
                  <c:v>10915.220000000001</c:v>
                </c:pt>
                <c:pt idx="126">
                  <c:v>10897.81</c:v>
                </c:pt>
                <c:pt idx="127">
                  <c:v>10761.46</c:v>
                </c:pt>
                <c:pt idx="128">
                  <c:v>10631.52</c:v>
                </c:pt>
                <c:pt idx="129">
                  <c:v>10511.310000000001</c:v>
                </c:pt>
                <c:pt idx="130">
                  <c:v>10476.929999999998</c:v>
                </c:pt>
                <c:pt idx="131">
                  <c:v>10451.310000000001</c:v>
                </c:pt>
                <c:pt idx="132">
                  <c:v>10441.16</c:v>
                </c:pt>
                <c:pt idx="133">
                  <c:v>10336.52</c:v>
                </c:pt>
                <c:pt idx="134">
                  <c:v>10145.27</c:v>
                </c:pt>
                <c:pt idx="135">
                  <c:v>10044.76</c:v>
                </c:pt>
                <c:pt idx="136">
                  <c:v>10030.09</c:v>
                </c:pt>
                <c:pt idx="137">
                  <c:v>10019.540000000001</c:v>
                </c:pt>
                <c:pt idx="138">
                  <c:v>10013.17</c:v>
                </c:pt>
                <c:pt idx="139">
                  <c:v>9993.64</c:v>
                </c:pt>
                <c:pt idx="140">
                  <c:v>9930.8799999999992</c:v>
                </c:pt>
                <c:pt idx="141">
                  <c:v>9699.17</c:v>
                </c:pt>
                <c:pt idx="142">
                  <c:v>9641.0300000000007</c:v>
                </c:pt>
                <c:pt idx="143">
                  <c:v>9622.83</c:v>
                </c:pt>
                <c:pt idx="144">
                  <c:v>9575.26</c:v>
                </c:pt>
                <c:pt idx="145">
                  <c:v>9560.8100000000013</c:v>
                </c:pt>
                <c:pt idx="146">
                  <c:v>9549.3700000000008</c:v>
                </c:pt>
                <c:pt idx="147">
                  <c:v>9541.75</c:v>
                </c:pt>
                <c:pt idx="148">
                  <c:v>9533.8799999999992</c:v>
                </c:pt>
                <c:pt idx="149">
                  <c:v>9506.0799999999981</c:v>
                </c:pt>
                <c:pt idx="150">
                  <c:v>9500.41</c:v>
                </c:pt>
                <c:pt idx="151">
                  <c:v>9497.9599999999991</c:v>
                </c:pt>
                <c:pt idx="152">
                  <c:v>9483.27</c:v>
                </c:pt>
                <c:pt idx="153">
                  <c:v>9467.6400000000012</c:v>
                </c:pt>
                <c:pt idx="154">
                  <c:v>9438.36</c:v>
                </c:pt>
                <c:pt idx="155">
                  <c:v>9370.92</c:v>
                </c:pt>
                <c:pt idx="156">
                  <c:v>9303.43</c:v>
                </c:pt>
                <c:pt idx="157">
                  <c:v>9258.9900000000016</c:v>
                </c:pt>
                <c:pt idx="158">
                  <c:v>9204.65</c:v>
                </c:pt>
                <c:pt idx="159">
                  <c:v>9201.2999999999993</c:v>
                </c:pt>
                <c:pt idx="160">
                  <c:v>9137.4</c:v>
                </c:pt>
                <c:pt idx="161">
                  <c:v>9007.9699999999993</c:v>
                </c:pt>
                <c:pt idx="162">
                  <c:v>9002.7800000000007</c:v>
                </c:pt>
                <c:pt idx="163">
                  <c:v>8892.6699999999983</c:v>
                </c:pt>
                <c:pt idx="164">
                  <c:v>8823.9599999999991</c:v>
                </c:pt>
                <c:pt idx="165">
                  <c:v>8794.17</c:v>
                </c:pt>
                <c:pt idx="166">
                  <c:v>8706.57</c:v>
                </c:pt>
                <c:pt idx="167">
                  <c:v>8659.4200000000019</c:v>
                </c:pt>
                <c:pt idx="168">
                  <c:v>8611.34</c:v>
                </c:pt>
                <c:pt idx="169">
                  <c:v>8473.08</c:v>
                </c:pt>
                <c:pt idx="170">
                  <c:v>8468.39</c:v>
                </c:pt>
                <c:pt idx="171">
                  <c:v>8290.48</c:v>
                </c:pt>
                <c:pt idx="172">
                  <c:v>8230.16</c:v>
                </c:pt>
                <c:pt idx="173">
                  <c:v>8208.3100000000013</c:v>
                </c:pt>
                <c:pt idx="174">
                  <c:v>8114.54</c:v>
                </c:pt>
                <c:pt idx="175">
                  <c:v>8086.22</c:v>
                </c:pt>
                <c:pt idx="176">
                  <c:v>8083.81</c:v>
                </c:pt>
                <c:pt idx="177">
                  <c:v>8073.61</c:v>
                </c:pt>
                <c:pt idx="178">
                  <c:v>8024.829999999999</c:v>
                </c:pt>
                <c:pt idx="179">
                  <c:v>7875.13</c:v>
                </c:pt>
                <c:pt idx="180">
                  <c:v>7865.1900000000005</c:v>
                </c:pt>
                <c:pt idx="181">
                  <c:v>7851.11</c:v>
                </c:pt>
                <c:pt idx="182">
                  <c:v>7776.81</c:v>
                </c:pt>
                <c:pt idx="183">
                  <c:v>7733.65</c:v>
                </c:pt>
                <c:pt idx="184">
                  <c:v>7648.1</c:v>
                </c:pt>
                <c:pt idx="185">
                  <c:v>7616.7800000000007</c:v>
                </c:pt>
                <c:pt idx="186">
                  <c:v>7615.32</c:v>
                </c:pt>
                <c:pt idx="187">
                  <c:v>7540.01</c:v>
                </c:pt>
                <c:pt idx="188">
                  <c:v>7451.1</c:v>
                </c:pt>
                <c:pt idx="189">
                  <c:v>7421.09</c:v>
                </c:pt>
                <c:pt idx="190">
                  <c:v>7350.99</c:v>
                </c:pt>
                <c:pt idx="191">
                  <c:v>7302.35</c:v>
                </c:pt>
                <c:pt idx="192">
                  <c:v>7299.91</c:v>
                </c:pt>
                <c:pt idx="193">
                  <c:v>7288.8</c:v>
                </c:pt>
                <c:pt idx="194">
                  <c:v>7247.1</c:v>
                </c:pt>
                <c:pt idx="195">
                  <c:v>7241.5199999999995</c:v>
                </c:pt>
                <c:pt idx="196">
                  <c:v>7199.1599999999989</c:v>
                </c:pt>
                <c:pt idx="197">
                  <c:v>7194.3399999999992</c:v>
                </c:pt>
                <c:pt idx="198">
                  <c:v>7129.51</c:v>
                </c:pt>
                <c:pt idx="199">
                  <c:v>7125.1900000000005</c:v>
                </c:pt>
                <c:pt idx="200">
                  <c:v>7107.4599999999991</c:v>
                </c:pt>
                <c:pt idx="201">
                  <c:v>7048.35</c:v>
                </c:pt>
                <c:pt idx="202">
                  <c:v>7020</c:v>
                </c:pt>
                <c:pt idx="203">
                  <c:v>7001.08</c:v>
                </c:pt>
                <c:pt idx="204">
                  <c:v>6947.83</c:v>
                </c:pt>
                <c:pt idx="205">
                  <c:v>6930.3</c:v>
                </c:pt>
                <c:pt idx="206">
                  <c:v>6874.45</c:v>
                </c:pt>
                <c:pt idx="207">
                  <c:v>6871.0999999999995</c:v>
                </c:pt>
                <c:pt idx="208">
                  <c:v>6827.74</c:v>
                </c:pt>
                <c:pt idx="209">
                  <c:v>6814.19</c:v>
                </c:pt>
                <c:pt idx="210">
                  <c:v>6794.0099999999993</c:v>
                </c:pt>
                <c:pt idx="211">
                  <c:v>6623.14</c:v>
                </c:pt>
                <c:pt idx="212">
                  <c:v>6614.05</c:v>
                </c:pt>
                <c:pt idx="213">
                  <c:v>6557.08</c:v>
                </c:pt>
                <c:pt idx="214">
                  <c:v>6528.59</c:v>
                </c:pt>
                <c:pt idx="215">
                  <c:v>6523.9199999999992</c:v>
                </c:pt>
                <c:pt idx="216">
                  <c:v>6479.76</c:v>
                </c:pt>
                <c:pt idx="217">
                  <c:v>6396.86</c:v>
                </c:pt>
                <c:pt idx="218">
                  <c:v>6386.58</c:v>
                </c:pt>
                <c:pt idx="219">
                  <c:v>6314.7200000000012</c:v>
                </c:pt>
                <c:pt idx="220">
                  <c:v>6292.36</c:v>
                </c:pt>
                <c:pt idx="221">
                  <c:v>6262.83</c:v>
                </c:pt>
                <c:pt idx="222">
                  <c:v>6186.29</c:v>
                </c:pt>
                <c:pt idx="223">
                  <c:v>6149.57</c:v>
                </c:pt>
                <c:pt idx="224">
                  <c:v>6070.63</c:v>
                </c:pt>
                <c:pt idx="225">
                  <c:v>6031.24</c:v>
                </c:pt>
                <c:pt idx="226">
                  <c:v>5918.8099999999995</c:v>
                </c:pt>
                <c:pt idx="227">
                  <c:v>5916.36</c:v>
                </c:pt>
                <c:pt idx="228">
                  <c:v>5910.95</c:v>
                </c:pt>
                <c:pt idx="229">
                  <c:v>5823.37</c:v>
                </c:pt>
                <c:pt idx="230">
                  <c:v>5799.34</c:v>
                </c:pt>
                <c:pt idx="231">
                  <c:v>5787.83</c:v>
                </c:pt>
                <c:pt idx="232">
                  <c:v>5646.42</c:v>
                </c:pt>
                <c:pt idx="233">
                  <c:v>5645.3499999999995</c:v>
                </c:pt>
                <c:pt idx="234">
                  <c:v>5610.24</c:v>
                </c:pt>
                <c:pt idx="235">
                  <c:v>5609.02</c:v>
                </c:pt>
                <c:pt idx="236">
                  <c:v>5578.4</c:v>
                </c:pt>
                <c:pt idx="237">
                  <c:v>5560.0199999999995</c:v>
                </c:pt>
                <c:pt idx="238">
                  <c:v>5547.42</c:v>
                </c:pt>
                <c:pt idx="239">
                  <c:v>5541.17</c:v>
                </c:pt>
                <c:pt idx="240">
                  <c:v>5494.0900000000011</c:v>
                </c:pt>
                <c:pt idx="241">
                  <c:v>5490.98</c:v>
                </c:pt>
                <c:pt idx="242">
                  <c:v>5420.17</c:v>
                </c:pt>
                <c:pt idx="243">
                  <c:v>5358.4</c:v>
                </c:pt>
                <c:pt idx="244">
                  <c:v>5343.67</c:v>
                </c:pt>
                <c:pt idx="245">
                  <c:v>5259.61</c:v>
                </c:pt>
                <c:pt idx="246">
                  <c:v>5177.5700000000006</c:v>
                </c:pt>
                <c:pt idx="247">
                  <c:v>5124.1400000000003</c:v>
                </c:pt>
                <c:pt idx="248">
                  <c:v>5001.38</c:v>
                </c:pt>
                <c:pt idx="249">
                  <c:v>4965.6899999999996</c:v>
                </c:pt>
                <c:pt idx="250">
                  <c:v>4953.8999999999996</c:v>
                </c:pt>
                <c:pt idx="251">
                  <c:v>4925.58</c:v>
                </c:pt>
                <c:pt idx="252">
                  <c:v>4876.24</c:v>
                </c:pt>
                <c:pt idx="253">
                  <c:v>4869.45</c:v>
                </c:pt>
                <c:pt idx="254">
                  <c:v>4865.5099999999993</c:v>
                </c:pt>
                <c:pt idx="255">
                  <c:v>4740.7700000000004</c:v>
                </c:pt>
                <c:pt idx="256">
                  <c:v>4735.33</c:v>
                </c:pt>
                <c:pt idx="257">
                  <c:v>4665.96</c:v>
                </c:pt>
                <c:pt idx="258">
                  <c:v>4570.24</c:v>
                </c:pt>
                <c:pt idx="259">
                  <c:v>4537.0099999999993</c:v>
                </c:pt>
                <c:pt idx="260">
                  <c:v>4521.63</c:v>
                </c:pt>
                <c:pt idx="261">
                  <c:v>4512.0600000000004</c:v>
                </c:pt>
                <c:pt idx="262">
                  <c:v>4501.84</c:v>
                </c:pt>
                <c:pt idx="263">
                  <c:v>4296.1099999999997</c:v>
                </c:pt>
                <c:pt idx="264">
                  <c:v>4220.6399999999994</c:v>
                </c:pt>
                <c:pt idx="265">
                  <c:v>4220.46</c:v>
                </c:pt>
                <c:pt idx="266">
                  <c:v>4186.26</c:v>
                </c:pt>
                <c:pt idx="267">
                  <c:v>4177.79</c:v>
                </c:pt>
                <c:pt idx="268">
                  <c:v>4075.88</c:v>
                </c:pt>
                <c:pt idx="269">
                  <c:v>4003.02</c:v>
                </c:pt>
                <c:pt idx="270">
                  <c:v>3954.24</c:v>
                </c:pt>
                <c:pt idx="271">
                  <c:v>3893.24</c:v>
                </c:pt>
                <c:pt idx="272">
                  <c:v>3721.21</c:v>
                </c:pt>
                <c:pt idx="273">
                  <c:v>3664.26</c:v>
                </c:pt>
                <c:pt idx="274">
                  <c:v>3634.6400000000003</c:v>
                </c:pt>
                <c:pt idx="275">
                  <c:v>3615.0299999999997</c:v>
                </c:pt>
                <c:pt idx="276">
                  <c:v>3593.7200000000003</c:v>
                </c:pt>
                <c:pt idx="277">
                  <c:v>3575.7699999999995</c:v>
                </c:pt>
                <c:pt idx="278">
                  <c:v>3539.3500000000004</c:v>
                </c:pt>
                <c:pt idx="279">
                  <c:v>3491.6400000000003</c:v>
                </c:pt>
                <c:pt idx="280">
                  <c:v>3448.7</c:v>
                </c:pt>
                <c:pt idx="281">
                  <c:v>3380.4</c:v>
                </c:pt>
                <c:pt idx="282">
                  <c:v>3347.37</c:v>
                </c:pt>
                <c:pt idx="283">
                  <c:v>3343.27</c:v>
                </c:pt>
                <c:pt idx="284">
                  <c:v>3327.64</c:v>
                </c:pt>
                <c:pt idx="285">
                  <c:v>3300.01</c:v>
                </c:pt>
                <c:pt idx="286">
                  <c:v>3140.3199999999997</c:v>
                </c:pt>
                <c:pt idx="287">
                  <c:v>3105.77</c:v>
                </c:pt>
                <c:pt idx="288">
                  <c:v>2917.02</c:v>
                </c:pt>
                <c:pt idx="289">
                  <c:v>2828.59</c:v>
                </c:pt>
                <c:pt idx="290">
                  <c:v>2821.2699999999995</c:v>
                </c:pt>
                <c:pt idx="291">
                  <c:v>2784.52</c:v>
                </c:pt>
                <c:pt idx="292">
                  <c:v>2769.66</c:v>
                </c:pt>
                <c:pt idx="293">
                  <c:v>2743.2400000000002</c:v>
                </c:pt>
                <c:pt idx="294">
                  <c:v>2636.7</c:v>
                </c:pt>
                <c:pt idx="295">
                  <c:v>2592.0699999999997</c:v>
                </c:pt>
                <c:pt idx="296">
                  <c:v>2494.85</c:v>
                </c:pt>
                <c:pt idx="297">
                  <c:v>2469.15</c:v>
                </c:pt>
                <c:pt idx="298">
                  <c:v>2436.83</c:v>
                </c:pt>
                <c:pt idx="299">
                  <c:v>2408.0599999999995</c:v>
                </c:pt>
                <c:pt idx="300">
                  <c:v>2389.21</c:v>
                </c:pt>
                <c:pt idx="301">
                  <c:v>2371.4499999999998</c:v>
                </c:pt>
                <c:pt idx="302">
                  <c:v>2358.92</c:v>
                </c:pt>
                <c:pt idx="303">
                  <c:v>2353.14</c:v>
                </c:pt>
                <c:pt idx="304">
                  <c:v>2347</c:v>
                </c:pt>
                <c:pt idx="305">
                  <c:v>2334.42</c:v>
                </c:pt>
                <c:pt idx="306">
                  <c:v>2296.5100000000002</c:v>
                </c:pt>
                <c:pt idx="307">
                  <c:v>2274.9700000000003</c:v>
                </c:pt>
                <c:pt idx="308">
                  <c:v>2267.41</c:v>
                </c:pt>
                <c:pt idx="309">
                  <c:v>2265.16</c:v>
                </c:pt>
                <c:pt idx="310">
                  <c:v>2194.13</c:v>
                </c:pt>
                <c:pt idx="311">
                  <c:v>2192.9899999999998</c:v>
                </c:pt>
                <c:pt idx="312">
                  <c:v>2186.64</c:v>
                </c:pt>
                <c:pt idx="313">
                  <c:v>2178.19</c:v>
                </c:pt>
                <c:pt idx="314">
                  <c:v>2160</c:v>
                </c:pt>
                <c:pt idx="315">
                  <c:v>2151.5500000000002</c:v>
                </c:pt>
                <c:pt idx="316">
                  <c:v>2123.69</c:v>
                </c:pt>
                <c:pt idx="317">
                  <c:v>2115.27</c:v>
                </c:pt>
                <c:pt idx="318">
                  <c:v>2092.34</c:v>
                </c:pt>
                <c:pt idx="319">
                  <c:v>2006.7400000000002</c:v>
                </c:pt>
                <c:pt idx="320">
                  <c:v>1996.49</c:v>
                </c:pt>
                <c:pt idx="321">
                  <c:v>1904.21</c:v>
                </c:pt>
                <c:pt idx="322">
                  <c:v>1766.65</c:v>
                </c:pt>
                <c:pt idx="323">
                  <c:v>1676.16</c:v>
                </c:pt>
                <c:pt idx="324">
                  <c:v>1591.2</c:v>
                </c:pt>
                <c:pt idx="325">
                  <c:v>1573.67</c:v>
                </c:pt>
                <c:pt idx="326">
                  <c:v>1541.4</c:v>
                </c:pt>
                <c:pt idx="327">
                  <c:v>1515.6200000000001</c:v>
                </c:pt>
                <c:pt idx="328">
                  <c:v>1475.44</c:v>
                </c:pt>
                <c:pt idx="329">
                  <c:v>1472.54</c:v>
                </c:pt>
                <c:pt idx="330">
                  <c:v>1377.7800000000002</c:v>
                </c:pt>
                <c:pt idx="331">
                  <c:v>1376.6000000000001</c:v>
                </c:pt>
                <c:pt idx="332">
                  <c:v>1358.6899999999998</c:v>
                </c:pt>
                <c:pt idx="333">
                  <c:v>1206.0600000000002</c:v>
                </c:pt>
                <c:pt idx="334">
                  <c:v>1168.45</c:v>
                </c:pt>
                <c:pt idx="335">
                  <c:v>1163.78</c:v>
                </c:pt>
                <c:pt idx="336">
                  <c:v>1134.25</c:v>
                </c:pt>
                <c:pt idx="337">
                  <c:v>1118.7</c:v>
                </c:pt>
                <c:pt idx="338">
                  <c:v>1109.7</c:v>
                </c:pt>
                <c:pt idx="339">
                  <c:v>1012.96</c:v>
                </c:pt>
                <c:pt idx="340">
                  <c:v>991.45</c:v>
                </c:pt>
                <c:pt idx="341">
                  <c:v>934.46</c:v>
                </c:pt>
                <c:pt idx="342">
                  <c:v>917.34999999999991</c:v>
                </c:pt>
                <c:pt idx="343">
                  <c:v>886.45</c:v>
                </c:pt>
                <c:pt idx="344">
                  <c:v>856.8</c:v>
                </c:pt>
                <c:pt idx="345">
                  <c:v>841.56999999999994</c:v>
                </c:pt>
                <c:pt idx="346">
                  <c:v>823.12000000000012</c:v>
                </c:pt>
                <c:pt idx="347">
                  <c:v>783.04</c:v>
                </c:pt>
                <c:pt idx="348">
                  <c:v>776.90999999999985</c:v>
                </c:pt>
                <c:pt idx="349">
                  <c:v>696.40000000000009</c:v>
                </c:pt>
                <c:pt idx="350">
                  <c:v>677.97</c:v>
                </c:pt>
                <c:pt idx="351">
                  <c:v>652.73</c:v>
                </c:pt>
                <c:pt idx="352">
                  <c:v>625.05999999999995</c:v>
                </c:pt>
                <c:pt idx="353">
                  <c:v>567.95000000000005</c:v>
                </c:pt>
                <c:pt idx="354">
                  <c:v>558.72</c:v>
                </c:pt>
                <c:pt idx="355">
                  <c:v>523.59999999999991</c:v>
                </c:pt>
                <c:pt idx="356">
                  <c:v>449.75</c:v>
                </c:pt>
                <c:pt idx="357">
                  <c:v>407.65000000000003</c:v>
                </c:pt>
                <c:pt idx="358">
                  <c:v>400.37</c:v>
                </c:pt>
                <c:pt idx="359">
                  <c:v>331.86</c:v>
                </c:pt>
                <c:pt idx="360">
                  <c:v>260.51</c:v>
                </c:pt>
                <c:pt idx="361">
                  <c:v>137.69999999999999</c:v>
                </c:pt>
                <c:pt idx="362">
                  <c:v>120.2</c:v>
                </c:pt>
              </c:numCache>
            </c:numRef>
          </c:val>
          <c:extLst>
            <c:ext xmlns:c16="http://schemas.microsoft.com/office/drawing/2014/chart" uri="{C3380CC4-5D6E-409C-BE32-E72D297353CC}">
              <c16:uniqueId val="{00000002-AB12-4026-85FC-52B4B227F4EF}"/>
            </c:ext>
          </c:extLst>
        </c:ser>
        <c:dLbls>
          <c:showLegendKey val="0"/>
          <c:showVal val="0"/>
          <c:showCatName val="0"/>
          <c:showSerName val="0"/>
          <c:showPercent val="0"/>
          <c:showBubbleSize val="0"/>
        </c:dLbls>
        <c:gapWidth val="219"/>
        <c:overlap val="-27"/>
        <c:axId val="12638912"/>
        <c:axId val="12641312"/>
      </c:barChart>
      <c:catAx>
        <c:axId val="126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2641312"/>
        <c:crosses val="autoZero"/>
        <c:auto val="1"/>
        <c:lblAlgn val="ctr"/>
        <c:lblOffset val="100"/>
        <c:noMultiLvlLbl val="0"/>
      </c:catAx>
      <c:valAx>
        <c:axId val="12641312"/>
        <c:scaling>
          <c:orientation val="minMax"/>
        </c:scaling>
        <c:delete val="0"/>
        <c:axPos val="l"/>
        <c:numFmt formatCode="[&gt;=1000000]\ \$\ #,##0.00,,&quot;M&quot;;[&gt;=1000]\ \$\ #.00,\ &quot;K&quot;;\ \$\ ###.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63891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REGION</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TABLE'!$H$4:$H$9</c:f>
              <c:strCache>
                <c:ptCount val="5"/>
                <c:pt idx="0">
                  <c:v>Central</c:v>
                </c:pt>
                <c:pt idx="1">
                  <c:v>East</c:v>
                </c:pt>
                <c:pt idx="2">
                  <c:v>North</c:v>
                </c:pt>
                <c:pt idx="3">
                  <c:v>South</c:v>
                </c:pt>
                <c:pt idx="4">
                  <c:v>West</c:v>
                </c:pt>
              </c:strCache>
            </c:strRef>
          </c:cat>
          <c:val>
            <c:numRef>
              <c:f>'PIVOT TABLE'!$I$4:$I$9</c:f>
              <c:numCache>
                <c:formatCode>[&gt;=1000000]\ \$\ #,##0.00,,"M";[&gt;=1000]\ \$\ #.00,\ "K";\ \$\ ###.00</c:formatCode>
                <c:ptCount val="5"/>
                <c:pt idx="0">
                  <c:v>802603.64000000048</c:v>
                </c:pt>
                <c:pt idx="1">
                  <c:v>658276.02000000048</c:v>
                </c:pt>
                <c:pt idx="2">
                  <c:v>787107.32999999949</c:v>
                </c:pt>
                <c:pt idx="3">
                  <c:v>627690.51999999979</c:v>
                </c:pt>
                <c:pt idx="4">
                  <c:v>586927.80999999971</c:v>
                </c:pt>
              </c:numCache>
            </c:numRef>
          </c:val>
          <c:extLst>
            <c:ext xmlns:c16="http://schemas.microsoft.com/office/drawing/2014/chart" uri="{C3380CC4-5D6E-409C-BE32-E72D297353CC}">
              <c16:uniqueId val="{00000000-0538-488B-AE38-96A127602BAE}"/>
            </c:ext>
          </c:extLst>
        </c:ser>
        <c:dLbls>
          <c:dLblPos val="outEnd"/>
          <c:showLegendKey val="0"/>
          <c:showVal val="1"/>
          <c:showCatName val="0"/>
          <c:showSerName val="0"/>
          <c:showPercent val="0"/>
          <c:showBubbleSize val="0"/>
        </c:dLbls>
        <c:gapWidth val="219"/>
        <c:overlap val="-27"/>
        <c:axId val="12638912"/>
        <c:axId val="12641312"/>
      </c:barChart>
      <c:catAx>
        <c:axId val="126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641312"/>
        <c:crosses val="autoZero"/>
        <c:auto val="1"/>
        <c:lblAlgn val="ctr"/>
        <c:lblOffset val="100"/>
        <c:noMultiLvlLbl val="0"/>
      </c:catAx>
      <c:valAx>
        <c:axId val="12641312"/>
        <c:scaling>
          <c:orientation val="minMax"/>
        </c:scaling>
        <c:delete val="0"/>
        <c:axPos val="l"/>
        <c:numFmt formatCode="[&gt;=1000000]\ \$\ #,##0.00,,&quot;M&quot;;[&gt;=1000]\ \$\ #.00,\ &quot;K&quot;;\ \$\ ###.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63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PRODUCT CATEGORY</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2910203990140761E-3"/>
              <c:y val="-2.567237246187720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2.85248582909746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1.99674008036823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6.0334676990589786E-17"/>
              <c:y val="-2.567237246187720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2910203990141364E-3"/>
              <c:y val="-2.85248582909746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2.85248582909746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TABLE'!$L$3</c:f>
              <c:strCache>
                <c:ptCount val="1"/>
                <c:pt idx="0">
                  <c:v>Total</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dPt>
          <c:dPt>
            <c:idx val="4"/>
            <c:invertIfNegative val="0"/>
            <c:bubble3D val="0"/>
            <c:spPr>
              <a:solidFill>
                <a:schemeClr val="accent1"/>
              </a:solidFill>
              <a:ln>
                <a:noFill/>
              </a:ln>
              <a:effectLst/>
              <a:sp3d/>
            </c:spPr>
          </c:dPt>
          <c:dPt>
            <c:idx val="5"/>
            <c:invertIfNegative val="0"/>
            <c:bubble3D val="0"/>
            <c:spPr>
              <a:solidFill>
                <a:schemeClr val="accent1"/>
              </a:solidFill>
              <a:ln>
                <a:noFill/>
              </a:ln>
              <a:effectLst/>
              <a:sp3d/>
            </c:spPr>
          </c:dPt>
          <c:dLbls>
            <c:dLbl>
              <c:idx val="0"/>
              <c:layout>
                <c:manualLayout>
                  <c:x val="0"/>
                  <c:y val="-2.8524858290974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CE-4A04-911A-DAF154850E31}"/>
                </c:ext>
              </c:extLst>
            </c:dLbl>
            <c:dLbl>
              <c:idx val="1"/>
              <c:layout>
                <c:manualLayout>
                  <c:x val="3.2910203990141364E-3"/>
                  <c:y val="-2.8524858290974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CE-4A04-911A-DAF154850E31}"/>
                </c:ext>
              </c:extLst>
            </c:dLbl>
            <c:dLbl>
              <c:idx val="2"/>
              <c:layout>
                <c:manualLayout>
                  <c:x val="-6.0334676990589786E-17"/>
                  <c:y val="-2.5672372461877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CE-4A04-911A-DAF154850E31}"/>
                </c:ext>
              </c:extLst>
            </c:dLbl>
            <c:dLbl>
              <c:idx val="3"/>
              <c:layout>
                <c:manualLayout>
                  <c:x val="0"/>
                  <c:y val="-1.996740080368237E-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2.8524858290974668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3.2910203990140761E-3"/>
                  <c:y val="-2.5672372461877202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TABLE'!$K$4:$K$10</c:f>
              <c:strCache>
                <c:ptCount val="6"/>
                <c:pt idx="0">
                  <c:v>Computers</c:v>
                </c:pt>
                <c:pt idx="1">
                  <c:v>Monitors</c:v>
                </c:pt>
                <c:pt idx="2">
                  <c:v>Networking</c:v>
                </c:pt>
                <c:pt idx="3">
                  <c:v>Storage</c:v>
                </c:pt>
                <c:pt idx="4">
                  <c:v>Accessories</c:v>
                </c:pt>
                <c:pt idx="5">
                  <c:v>Office Supplies</c:v>
                </c:pt>
              </c:strCache>
            </c:strRef>
          </c:cat>
          <c:val>
            <c:numRef>
              <c:f>'PIVOT TABLE'!$L$4:$L$10</c:f>
              <c:numCache>
                <c:formatCode>[&gt;=1000000]\ \$\ #,##0.00,,"M";[&gt;=1000]\ \$\ #.00,\ "K";\ \$\ ###.00</c:formatCode>
                <c:ptCount val="6"/>
                <c:pt idx="0">
                  <c:v>2058536.2400000002</c:v>
                </c:pt>
                <c:pt idx="1">
                  <c:v>737406.12000000011</c:v>
                </c:pt>
                <c:pt idx="2">
                  <c:v>291619.52000000008</c:v>
                </c:pt>
                <c:pt idx="3">
                  <c:v>269998.04999999987</c:v>
                </c:pt>
                <c:pt idx="4">
                  <c:v>85917.490000000034</c:v>
                </c:pt>
                <c:pt idx="5">
                  <c:v>19127.899999999998</c:v>
                </c:pt>
              </c:numCache>
            </c:numRef>
          </c:val>
          <c:extLst>
            <c:ext xmlns:c16="http://schemas.microsoft.com/office/drawing/2014/chart" uri="{C3380CC4-5D6E-409C-BE32-E72D297353CC}">
              <c16:uniqueId val="{00000000-C2CE-4A04-911A-DAF154850E31}"/>
            </c:ext>
          </c:extLst>
        </c:ser>
        <c:dLbls>
          <c:showLegendKey val="0"/>
          <c:showVal val="1"/>
          <c:showCatName val="0"/>
          <c:showSerName val="0"/>
          <c:showPercent val="0"/>
          <c:showBubbleSize val="0"/>
        </c:dLbls>
        <c:gapWidth val="150"/>
        <c:shape val="box"/>
        <c:axId val="520747488"/>
        <c:axId val="520748448"/>
        <c:axId val="0"/>
      </c:bar3DChart>
      <c:catAx>
        <c:axId val="52074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520748448"/>
        <c:crosses val="autoZero"/>
        <c:auto val="1"/>
        <c:lblAlgn val="ctr"/>
        <c:lblOffset val="100"/>
        <c:noMultiLvlLbl val="0"/>
      </c:catAx>
      <c:valAx>
        <c:axId val="520748448"/>
        <c:scaling>
          <c:orientation val="minMax"/>
        </c:scaling>
        <c:delete val="0"/>
        <c:axPos val="l"/>
        <c:numFmt formatCode="[&gt;=1000000]\ \$\ #,##0.00,,&quot;M&quot;;[&gt;=1000]\ \$\ #.00,\ &quot;K&quot;;\ \$\ ###.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52074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SALES CHANNEL</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dLbl>
          <c:idx val="0"/>
          <c:layout>
            <c:manualLayout>
              <c:x val="4.1666666666666664E-2"/>
              <c:y val="-7.720588980294598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c:spPr>
        <c:dLbl>
          <c:idx val="0"/>
          <c:layout>
            <c:manualLayout>
              <c:x val="4.3402777777777839E-2"/>
              <c:y val="9.7222231603709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dLbl>
          <c:idx val="0"/>
          <c:layout>
            <c:manualLayout>
              <c:x val="-4.6875E-2"/>
              <c:y val="8.578432200327321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20000"/>
              <a:lumOff val="80000"/>
            </a:schemeClr>
          </a:solidFill>
          <a:ln w="19050">
            <a:solidFill>
              <a:schemeClr val="lt1"/>
            </a:solidFill>
          </a:ln>
          <a:effectLst/>
        </c:spPr>
        <c:dLbl>
          <c:idx val="0"/>
          <c:layout>
            <c:manualLayout>
              <c:x val="-8.6805555555555552E-2"/>
              <c:y val="-0.1029411864039279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TABLE'!$I$19</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A2E1-4080-8395-0D9B23C6BDB0}"/>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A2E1-4080-8395-0D9B23C6BDB0}"/>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A2E1-4080-8395-0D9B23C6BDB0}"/>
              </c:ext>
            </c:extLst>
          </c:dPt>
          <c:dPt>
            <c:idx val="3"/>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A2E1-4080-8395-0D9B23C6BDB0}"/>
              </c:ext>
            </c:extLst>
          </c:dPt>
          <c:dLbls>
            <c:dLbl>
              <c:idx val="0"/>
              <c:layout>
                <c:manualLayout>
                  <c:x val="4.1666666666666664E-2"/>
                  <c:y val="-7.7205889802945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E1-4080-8395-0D9B23C6BDB0}"/>
                </c:ext>
              </c:extLst>
            </c:dLbl>
            <c:dLbl>
              <c:idx val="1"/>
              <c:layout>
                <c:manualLayout>
                  <c:x val="4.3402777777777839E-2"/>
                  <c:y val="9.722223160370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E1-4080-8395-0D9B23C6BDB0}"/>
                </c:ext>
              </c:extLst>
            </c:dLbl>
            <c:dLbl>
              <c:idx val="2"/>
              <c:layout>
                <c:manualLayout>
                  <c:x val="-4.6875E-2"/>
                  <c:y val="8.5784322003273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E1-4080-8395-0D9B23C6BDB0}"/>
                </c:ext>
              </c:extLst>
            </c:dLbl>
            <c:dLbl>
              <c:idx val="3"/>
              <c:layout>
                <c:manualLayout>
                  <c:x val="-8.6805555555555552E-2"/>
                  <c:y val="-0.10294118640392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E1-4080-8395-0D9B23C6BDB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TABLE'!$H$20:$H$24</c:f>
              <c:strCache>
                <c:ptCount val="4"/>
                <c:pt idx="0">
                  <c:v>Corporate Sales</c:v>
                </c:pt>
                <c:pt idx="1">
                  <c:v>Marketplace</c:v>
                </c:pt>
                <c:pt idx="2">
                  <c:v>Online</c:v>
                </c:pt>
                <c:pt idx="3">
                  <c:v>Retail Store</c:v>
                </c:pt>
              </c:strCache>
            </c:strRef>
          </c:cat>
          <c:val>
            <c:numRef>
              <c:f>'PIVOT TABLE'!$I$20:$I$24</c:f>
              <c:numCache>
                <c:formatCode>[&gt;=1000000]\ \$\ #,##0.00,,"M";[&gt;=1000]\ \$\ #.00,\ "K";\ \$\ ###.00</c:formatCode>
                <c:ptCount val="4"/>
                <c:pt idx="0">
                  <c:v>1013948.6899999996</c:v>
                </c:pt>
                <c:pt idx="1">
                  <c:v>429017.54000000039</c:v>
                </c:pt>
                <c:pt idx="2">
                  <c:v>1112657.2199999995</c:v>
                </c:pt>
                <c:pt idx="3">
                  <c:v>906981.87000000011</c:v>
                </c:pt>
              </c:numCache>
            </c:numRef>
          </c:val>
          <c:extLst>
            <c:ext xmlns:c16="http://schemas.microsoft.com/office/drawing/2014/chart" uri="{C3380CC4-5D6E-409C-BE32-E72D297353CC}">
              <c16:uniqueId val="{00000008-A2E1-4080-8395-0D9B23C6BD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emf"/><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emf"/><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emf"/><Relationship Id="rId24" Type="http://schemas.openxmlformats.org/officeDocument/2006/relationships/image" Target="../media/image20.sv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image" Target="../media/image19.png"/><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emf"/><Relationship Id="rId22" Type="http://schemas.openxmlformats.org/officeDocument/2006/relationships/image" Target="../media/image18.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4"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xdr:from>
      <xdr:col>2</xdr:col>
      <xdr:colOff>43542</xdr:colOff>
      <xdr:row>7</xdr:row>
      <xdr:rowOff>97971</xdr:rowOff>
    </xdr:from>
    <xdr:to>
      <xdr:col>33</xdr:col>
      <xdr:colOff>0</xdr:colOff>
      <xdr:row>82</xdr:row>
      <xdr:rowOff>87084</xdr:rowOff>
    </xdr:to>
    <xdr:sp macro="" textlink="">
      <xdr:nvSpPr>
        <xdr:cNvPr id="2" name="Rectangle: Rounded Corners 1">
          <a:extLst>
            <a:ext uri="{FF2B5EF4-FFF2-40B4-BE49-F238E27FC236}">
              <a16:creationId xmlns:a16="http://schemas.microsoft.com/office/drawing/2014/main" id="{7D0025E9-1540-43F3-2136-03F5FE53E4A3}"/>
            </a:ext>
          </a:extLst>
        </xdr:cNvPr>
        <xdr:cNvSpPr/>
      </xdr:nvSpPr>
      <xdr:spPr>
        <a:xfrm>
          <a:off x="1262742" y="1393371"/>
          <a:ext cx="18854058" cy="13868399"/>
        </a:xfrm>
        <a:prstGeom prst="roundRect">
          <a:avLst>
            <a:gd name="adj" fmla="val 3721"/>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250368</xdr:colOff>
      <xdr:row>12</xdr:row>
      <xdr:rowOff>163279</xdr:rowOff>
    </xdr:from>
    <xdr:to>
      <xdr:col>32</xdr:col>
      <xdr:colOff>378768</xdr:colOff>
      <xdr:row>80</xdr:row>
      <xdr:rowOff>54429</xdr:rowOff>
    </xdr:to>
    <xdr:sp macro="" textlink="">
      <xdr:nvSpPr>
        <xdr:cNvPr id="3" name="Rectangle: Rounded Corners 2">
          <a:extLst>
            <a:ext uri="{FF2B5EF4-FFF2-40B4-BE49-F238E27FC236}">
              <a16:creationId xmlns:a16="http://schemas.microsoft.com/office/drawing/2014/main" id="{9DF64192-9D8A-4968-849E-024AC6039121}"/>
            </a:ext>
          </a:extLst>
        </xdr:cNvPr>
        <xdr:cNvSpPr/>
      </xdr:nvSpPr>
      <xdr:spPr>
        <a:xfrm>
          <a:off x="2688768" y="2383965"/>
          <a:ext cx="17197200" cy="12475035"/>
        </a:xfrm>
        <a:prstGeom prst="roundRect">
          <a:avLst>
            <a:gd name="adj" fmla="val 3721"/>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7</xdr:col>
      <xdr:colOff>185057</xdr:colOff>
      <xdr:row>13</xdr:row>
      <xdr:rowOff>76198</xdr:rowOff>
    </xdr:from>
    <xdr:to>
      <xdr:col>32</xdr:col>
      <xdr:colOff>261257</xdr:colOff>
      <xdr:row>22</xdr:row>
      <xdr:rowOff>32657</xdr:rowOff>
    </xdr:to>
    <xdr:sp macro="" textlink="">
      <xdr:nvSpPr>
        <xdr:cNvPr id="4" name="Rectangle: Rounded Corners 3">
          <a:extLst>
            <a:ext uri="{FF2B5EF4-FFF2-40B4-BE49-F238E27FC236}">
              <a16:creationId xmlns:a16="http://schemas.microsoft.com/office/drawing/2014/main" id="{0C9CA9BD-E647-8C3B-55C8-66F6402C5F62}"/>
            </a:ext>
          </a:extLst>
        </xdr:cNvPr>
        <xdr:cNvSpPr/>
      </xdr:nvSpPr>
      <xdr:spPr>
        <a:xfrm>
          <a:off x="4452257" y="2481941"/>
          <a:ext cx="15316200" cy="1621973"/>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359228</xdr:colOff>
      <xdr:row>15</xdr:row>
      <xdr:rowOff>72792</xdr:rowOff>
    </xdr:from>
    <xdr:to>
      <xdr:col>7</xdr:col>
      <xdr:colOff>97970</xdr:colOff>
      <xdr:row>79</xdr:row>
      <xdr:rowOff>171824</xdr:rowOff>
    </xdr:to>
    <xdr:sp macro="" textlink="">
      <xdr:nvSpPr>
        <xdr:cNvPr id="5" name="Rectangle: Rounded Corners 4">
          <a:extLst>
            <a:ext uri="{FF2B5EF4-FFF2-40B4-BE49-F238E27FC236}">
              <a16:creationId xmlns:a16="http://schemas.microsoft.com/office/drawing/2014/main" id="{826407A7-A1EC-4A03-B0CF-D9E48BF0231C}"/>
            </a:ext>
          </a:extLst>
        </xdr:cNvPr>
        <xdr:cNvSpPr/>
      </xdr:nvSpPr>
      <xdr:spPr>
        <a:xfrm rot="5400000">
          <a:off x="-2189093" y="7760878"/>
          <a:ext cx="11573855" cy="1576507"/>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261252</xdr:colOff>
      <xdr:row>22</xdr:row>
      <xdr:rowOff>130620</xdr:rowOff>
    </xdr:from>
    <xdr:to>
      <xdr:col>13</xdr:col>
      <xdr:colOff>293910</xdr:colOff>
      <xdr:row>34</xdr:row>
      <xdr:rowOff>68060</xdr:rowOff>
    </xdr:to>
    <xdr:sp macro="" textlink="">
      <xdr:nvSpPr>
        <xdr:cNvPr id="14" name="Rectangle: Rounded Corners 13">
          <a:extLst>
            <a:ext uri="{FF2B5EF4-FFF2-40B4-BE49-F238E27FC236}">
              <a16:creationId xmlns:a16="http://schemas.microsoft.com/office/drawing/2014/main" id="{7FDDE94A-5B49-4C88-9576-8B3609804803}"/>
            </a:ext>
          </a:extLst>
        </xdr:cNvPr>
        <xdr:cNvSpPr/>
      </xdr:nvSpPr>
      <xdr:spPr>
        <a:xfrm>
          <a:off x="4528452"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TOTAL REVENUE</a:t>
          </a:r>
        </a:p>
      </xdr:txBody>
    </xdr:sp>
    <xdr:clientData/>
  </xdr:twoCellAnchor>
  <xdr:twoCellAnchor>
    <xdr:from>
      <xdr:col>13</xdr:col>
      <xdr:colOff>460825</xdr:colOff>
      <xdr:row>22</xdr:row>
      <xdr:rowOff>130620</xdr:rowOff>
    </xdr:from>
    <xdr:to>
      <xdr:col>19</xdr:col>
      <xdr:colOff>493483</xdr:colOff>
      <xdr:row>34</xdr:row>
      <xdr:rowOff>68060</xdr:rowOff>
    </xdr:to>
    <xdr:sp macro="" textlink="">
      <xdr:nvSpPr>
        <xdr:cNvPr id="16" name="Rectangle: Rounded Corners 15">
          <a:extLst>
            <a:ext uri="{FF2B5EF4-FFF2-40B4-BE49-F238E27FC236}">
              <a16:creationId xmlns:a16="http://schemas.microsoft.com/office/drawing/2014/main" id="{9C976208-AEA3-429C-946A-7ACC80C1E712}"/>
            </a:ext>
          </a:extLst>
        </xdr:cNvPr>
        <xdr:cNvSpPr/>
      </xdr:nvSpPr>
      <xdr:spPr>
        <a:xfrm>
          <a:off x="8385625"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TOTAL ORDERS</a:t>
          </a:r>
        </a:p>
      </xdr:txBody>
    </xdr:sp>
    <xdr:clientData/>
  </xdr:twoCellAnchor>
  <xdr:twoCellAnchor>
    <xdr:from>
      <xdr:col>20</xdr:col>
      <xdr:colOff>50798</xdr:colOff>
      <xdr:row>22</xdr:row>
      <xdr:rowOff>130620</xdr:rowOff>
    </xdr:from>
    <xdr:to>
      <xdr:col>26</xdr:col>
      <xdr:colOff>83456</xdr:colOff>
      <xdr:row>34</xdr:row>
      <xdr:rowOff>68060</xdr:rowOff>
    </xdr:to>
    <xdr:sp macro="" textlink="">
      <xdr:nvSpPr>
        <xdr:cNvPr id="17" name="Rectangle: Rounded Corners 16">
          <a:extLst>
            <a:ext uri="{FF2B5EF4-FFF2-40B4-BE49-F238E27FC236}">
              <a16:creationId xmlns:a16="http://schemas.microsoft.com/office/drawing/2014/main" id="{6787544B-439F-4DB1-9E26-FDAD8291898C}"/>
            </a:ext>
          </a:extLst>
        </xdr:cNvPr>
        <xdr:cNvSpPr/>
      </xdr:nvSpPr>
      <xdr:spPr>
        <a:xfrm>
          <a:off x="12242798"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QUANTITY SOLD</a:t>
          </a:r>
        </a:p>
      </xdr:txBody>
    </xdr:sp>
    <xdr:clientData/>
  </xdr:twoCellAnchor>
  <xdr:twoCellAnchor>
    <xdr:from>
      <xdr:col>26</xdr:col>
      <xdr:colOff>250370</xdr:colOff>
      <xdr:row>22</xdr:row>
      <xdr:rowOff>130620</xdr:rowOff>
    </xdr:from>
    <xdr:to>
      <xdr:col>32</xdr:col>
      <xdr:colOff>283028</xdr:colOff>
      <xdr:row>34</xdr:row>
      <xdr:rowOff>68060</xdr:rowOff>
    </xdr:to>
    <xdr:sp macro="" textlink="">
      <xdr:nvSpPr>
        <xdr:cNvPr id="18" name="Rectangle: Rounded Corners 17">
          <a:extLst>
            <a:ext uri="{FF2B5EF4-FFF2-40B4-BE49-F238E27FC236}">
              <a16:creationId xmlns:a16="http://schemas.microsoft.com/office/drawing/2014/main" id="{2DED6E4A-4330-436C-B8F1-47E378BB0916}"/>
            </a:ext>
          </a:extLst>
        </xdr:cNvPr>
        <xdr:cNvSpPr/>
      </xdr:nvSpPr>
      <xdr:spPr>
        <a:xfrm>
          <a:off x="16099970"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AVERAGE</a:t>
          </a:r>
          <a:r>
            <a:rPr lang="en-IN" sz="2000" b="1" baseline="0">
              <a:solidFill>
                <a:schemeClr val="accent1">
                  <a:lumMod val="75000"/>
                </a:schemeClr>
              </a:solidFill>
            </a:rPr>
            <a:t> ORDER</a:t>
          </a:r>
          <a:endParaRPr lang="en-IN" sz="2000" b="1">
            <a:solidFill>
              <a:schemeClr val="accent1">
                <a:lumMod val="75000"/>
              </a:schemeClr>
            </a:solidFill>
          </a:endParaRPr>
        </a:p>
      </xdr:txBody>
    </xdr:sp>
    <xdr:clientData/>
  </xdr:twoCellAnchor>
  <xdr:twoCellAnchor>
    <xdr:from>
      <xdr:col>11</xdr:col>
      <xdr:colOff>97971</xdr:colOff>
      <xdr:row>6</xdr:row>
      <xdr:rowOff>10887</xdr:rowOff>
    </xdr:from>
    <xdr:to>
      <xdr:col>23</xdr:col>
      <xdr:colOff>533400</xdr:colOff>
      <xdr:row>14</xdr:row>
      <xdr:rowOff>117306</xdr:rowOff>
    </xdr:to>
    <xdr:sp macro="" textlink="">
      <xdr:nvSpPr>
        <xdr:cNvPr id="19" name="TextBox 18">
          <a:extLst>
            <a:ext uri="{FF2B5EF4-FFF2-40B4-BE49-F238E27FC236}">
              <a16:creationId xmlns:a16="http://schemas.microsoft.com/office/drawing/2014/main" id="{99ED22D0-ED38-4A90-AA2B-C7542FD4B18B}"/>
            </a:ext>
          </a:extLst>
        </xdr:cNvPr>
        <xdr:cNvSpPr txBox="1"/>
      </xdr:nvSpPr>
      <xdr:spPr>
        <a:xfrm>
          <a:off x="6803571" y="1121230"/>
          <a:ext cx="7750629" cy="158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SALES</a:t>
          </a:r>
          <a:r>
            <a:rPr lang="en-IN" sz="4000" b="1" baseline="0">
              <a:solidFill>
                <a:schemeClr val="bg1"/>
              </a:solidFill>
            </a:rPr>
            <a:t> PERFORMANCE DASHBOARD</a:t>
          </a:r>
          <a:endParaRPr lang="en-IN" sz="4000" b="1">
            <a:solidFill>
              <a:schemeClr val="bg1"/>
            </a:solidFill>
          </a:endParaRPr>
        </a:p>
      </xdr:txBody>
    </xdr:sp>
    <xdr:clientData/>
  </xdr:twoCellAnchor>
  <xdr:twoCellAnchor editAs="oneCell">
    <xdr:from>
      <xdr:col>10</xdr:col>
      <xdr:colOff>54427</xdr:colOff>
      <xdr:row>7</xdr:row>
      <xdr:rowOff>108857</xdr:rowOff>
    </xdr:from>
    <xdr:to>
      <xdr:col>11</xdr:col>
      <xdr:colOff>97971</xdr:colOff>
      <xdr:row>12</xdr:row>
      <xdr:rowOff>172026</xdr:rowOff>
    </xdr:to>
    <xdr:pic>
      <xdr:nvPicPr>
        <xdr:cNvPr id="27" name="Graphic 26" descr="Presentation with bar chart with solid fill">
          <a:extLst>
            <a:ext uri="{FF2B5EF4-FFF2-40B4-BE49-F238E27FC236}">
              <a16:creationId xmlns:a16="http://schemas.microsoft.com/office/drawing/2014/main" id="{97982729-03ED-F782-D649-133082AF7B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150427" y="1404257"/>
          <a:ext cx="653144" cy="988455"/>
        </a:xfrm>
        <a:prstGeom prst="rect">
          <a:avLst/>
        </a:prstGeom>
      </xdr:spPr>
    </xdr:pic>
    <xdr:clientData/>
  </xdr:twoCellAnchor>
  <xdr:twoCellAnchor editAs="oneCell">
    <xdr:from>
      <xdr:col>14</xdr:col>
      <xdr:colOff>87087</xdr:colOff>
      <xdr:row>23</xdr:row>
      <xdr:rowOff>185049</xdr:rowOff>
    </xdr:from>
    <xdr:to>
      <xdr:col>15</xdr:col>
      <xdr:colOff>391887</xdr:colOff>
      <xdr:row>31</xdr:row>
      <xdr:rowOff>88428</xdr:rowOff>
    </xdr:to>
    <xdr:pic>
      <xdr:nvPicPr>
        <xdr:cNvPr id="33" name="Graphic 32" descr="Shopping cart with solid fill">
          <a:extLst>
            <a:ext uri="{FF2B5EF4-FFF2-40B4-BE49-F238E27FC236}">
              <a16:creationId xmlns:a16="http://schemas.microsoft.com/office/drawing/2014/main" id="{6E5D1BFE-F5BD-87D4-D76B-E42DCE6FD11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621487" y="4441363"/>
          <a:ext cx="914400" cy="1383836"/>
        </a:xfrm>
        <a:prstGeom prst="rect">
          <a:avLst/>
        </a:prstGeom>
      </xdr:spPr>
    </xdr:pic>
    <xdr:clientData/>
  </xdr:twoCellAnchor>
  <xdr:twoCellAnchor editAs="oneCell">
    <xdr:from>
      <xdr:col>7</xdr:col>
      <xdr:colOff>283029</xdr:colOff>
      <xdr:row>24</xdr:row>
      <xdr:rowOff>10878</xdr:rowOff>
    </xdr:from>
    <xdr:to>
      <xdr:col>8</xdr:col>
      <xdr:colOff>587829</xdr:colOff>
      <xdr:row>31</xdr:row>
      <xdr:rowOff>99314</xdr:rowOff>
    </xdr:to>
    <xdr:pic>
      <xdr:nvPicPr>
        <xdr:cNvPr id="35" name="Graphic 34" descr="Dollar with solid fill">
          <a:extLst>
            <a:ext uri="{FF2B5EF4-FFF2-40B4-BE49-F238E27FC236}">
              <a16:creationId xmlns:a16="http://schemas.microsoft.com/office/drawing/2014/main" id="{8E64EE23-DE48-59C9-14F3-3F8A77AEE5C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550229" y="4452249"/>
          <a:ext cx="914400" cy="1383836"/>
        </a:xfrm>
        <a:prstGeom prst="rect">
          <a:avLst/>
        </a:prstGeom>
      </xdr:spPr>
    </xdr:pic>
    <xdr:clientData/>
  </xdr:twoCellAnchor>
  <xdr:twoCellAnchor editAs="oneCell">
    <xdr:from>
      <xdr:col>26</xdr:col>
      <xdr:colOff>293915</xdr:colOff>
      <xdr:row>24</xdr:row>
      <xdr:rowOff>65307</xdr:rowOff>
    </xdr:from>
    <xdr:to>
      <xdr:col>27</xdr:col>
      <xdr:colOff>598715</xdr:colOff>
      <xdr:row>31</xdr:row>
      <xdr:rowOff>153743</xdr:rowOff>
    </xdr:to>
    <xdr:pic>
      <xdr:nvPicPr>
        <xdr:cNvPr id="37" name="Graphic 36" descr="Document with solid fill">
          <a:extLst>
            <a:ext uri="{FF2B5EF4-FFF2-40B4-BE49-F238E27FC236}">
              <a16:creationId xmlns:a16="http://schemas.microsoft.com/office/drawing/2014/main" id="{01471EF3-138E-2559-C021-0F30FAB827A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43515" y="4506678"/>
          <a:ext cx="914400" cy="1383836"/>
        </a:xfrm>
        <a:prstGeom prst="rect">
          <a:avLst/>
        </a:prstGeom>
      </xdr:spPr>
    </xdr:pic>
    <xdr:clientData/>
  </xdr:twoCellAnchor>
  <xdr:twoCellAnchor editAs="oneCell">
    <xdr:from>
      <xdr:col>20</xdr:col>
      <xdr:colOff>163286</xdr:colOff>
      <xdr:row>23</xdr:row>
      <xdr:rowOff>174164</xdr:rowOff>
    </xdr:from>
    <xdr:to>
      <xdr:col>21</xdr:col>
      <xdr:colOff>468086</xdr:colOff>
      <xdr:row>31</xdr:row>
      <xdr:rowOff>77543</xdr:rowOff>
    </xdr:to>
    <xdr:pic>
      <xdr:nvPicPr>
        <xdr:cNvPr id="39" name="Graphic 38" descr="Bar graph with upward trend with solid fill">
          <a:extLst>
            <a:ext uri="{FF2B5EF4-FFF2-40B4-BE49-F238E27FC236}">
              <a16:creationId xmlns:a16="http://schemas.microsoft.com/office/drawing/2014/main" id="{2B6931B3-76E9-17DB-BDA7-D010C8DBA35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355286" y="4430478"/>
          <a:ext cx="914400" cy="1383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130629</xdr:colOff>
          <xdr:row>26</xdr:row>
          <xdr:rowOff>10875</xdr:rowOff>
        </xdr:from>
        <xdr:to>
          <xdr:col>12</xdr:col>
          <xdr:colOff>283029</xdr:colOff>
          <xdr:row>31</xdr:row>
          <xdr:rowOff>74049</xdr:rowOff>
        </xdr:to>
        <xdr:pic>
          <xdr:nvPicPr>
            <xdr:cNvPr id="55" name="Picture 54">
              <a:extLst>
                <a:ext uri="{FF2B5EF4-FFF2-40B4-BE49-F238E27FC236}">
                  <a16:creationId xmlns:a16="http://schemas.microsoft.com/office/drawing/2014/main" id="{7EC04565-DECD-FE57-6933-8299C6D1036C}"/>
                </a:ext>
              </a:extLst>
            </xdr:cNvPr>
            <xdr:cNvPicPr>
              <a:picLocks noChangeAspect="1"/>
              <a:extLst>
                <a:ext uri="{84589F7E-364E-4C9E-8A38-B11213B215E9}">
                  <a14:cameraTool cellRange="'PIVOT TABLE'!B4" spid="_x0000_s2085"/>
                </a:ext>
              </a:extLst>
            </xdr:cNvPicPr>
          </xdr:nvPicPr>
          <xdr:blipFill>
            <a:blip xmlns:r="http://schemas.openxmlformats.org/officeDocument/2006/relationships" r:embed="rId11">
              <a:biLevel thresh="25000"/>
            </a:blip>
            <a:stretch>
              <a:fillRect/>
            </a:stretch>
          </xdr:blipFill>
          <xdr:spPr>
            <a:xfrm>
              <a:off x="5617029" y="4822361"/>
              <a:ext cx="1981200" cy="988459"/>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359223</xdr:colOff>
          <xdr:row>26</xdr:row>
          <xdr:rowOff>65304</xdr:rowOff>
        </xdr:from>
        <xdr:to>
          <xdr:col>19</xdr:col>
          <xdr:colOff>119737</xdr:colOff>
          <xdr:row>31</xdr:row>
          <xdr:rowOff>29633</xdr:rowOff>
        </xdr:to>
        <xdr:pic>
          <xdr:nvPicPr>
            <xdr:cNvPr id="59" name="Picture 58">
              <a:extLst>
                <a:ext uri="{FF2B5EF4-FFF2-40B4-BE49-F238E27FC236}">
                  <a16:creationId xmlns:a16="http://schemas.microsoft.com/office/drawing/2014/main" id="{DFB515D7-48C2-9B7D-F410-A14A09D3CB08}"/>
                </a:ext>
              </a:extLst>
            </xdr:cNvPr>
            <xdr:cNvPicPr>
              <a:picLocks noChangeAspect="1"/>
              <a:extLst>
                <a:ext uri="{84589F7E-364E-4C9E-8A38-B11213B215E9}">
                  <a14:cameraTool cellRange="'PIVOT TABLE'!B5" spid="_x0000_s2086"/>
                </a:ext>
              </a:extLst>
            </xdr:cNvPicPr>
          </xdr:nvPicPr>
          <xdr:blipFill>
            <a:blip xmlns:r="http://schemas.openxmlformats.org/officeDocument/2006/relationships" r:embed="rId12">
              <a:biLevel thresh="25000"/>
            </a:blip>
            <a:stretch>
              <a:fillRect/>
            </a:stretch>
          </xdr:blipFill>
          <xdr:spPr>
            <a:xfrm>
              <a:off x="9503223" y="4876790"/>
              <a:ext cx="2198914" cy="889614"/>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468083</xdr:colOff>
          <xdr:row>26</xdr:row>
          <xdr:rowOff>10876</xdr:rowOff>
        </xdr:from>
        <xdr:to>
          <xdr:col>25</xdr:col>
          <xdr:colOff>380998</xdr:colOff>
          <xdr:row>31</xdr:row>
          <xdr:rowOff>106998</xdr:rowOff>
        </xdr:to>
        <xdr:pic>
          <xdr:nvPicPr>
            <xdr:cNvPr id="60" name="Picture 59">
              <a:extLst>
                <a:ext uri="{FF2B5EF4-FFF2-40B4-BE49-F238E27FC236}">
                  <a16:creationId xmlns:a16="http://schemas.microsoft.com/office/drawing/2014/main" id="{AF3C74C0-FC97-BF52-68DF-209539E070A6}"/>
                </a:ext>
              </a:extLst>
            </xdr:cNvPr>
            <xdr:cNvPicPr>
              <a:picLocks noChangeAspect="1"/>
              <a:extLst>
                <a:ext uri="{84589F7E-364E-4C9E-8A38-B11213B215E9}">
                  <a14:cameraTool cellRange="'PIVOT TABLE'!B6" spid="_x0000_s2087"/>
                </a:ext>
              </a:extLst>
            </xdr:cNvPicPr>
          </xdr:nvPicPr>
          <xdr:blipFill>
            <a:blip xmlns:r="http://schemas.openxmlformats.org/officeDocument/2006/relationships" r:embed="rId13">
              <a:biLevel thresh="25000"/>
            </a:blip>
            <a:stretch>
              <a:fillRect/>
            </a:stretch>
          </xdr:blipFill>
          <xdr:spPr>
            <a:xfrm>
              <a:off x="13269683" y="4822362"/>
              <a:ext cx="2351315" cy="1021407"/>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609598</xdr:colOff>
          <xdr:row>26</xdr:row>
          <xdr:rowOff>32650</xdr:rowOff>
        </xdr:from>
        <xdr:to>
          <xdr:col>31</xdr:col>
          <xdr:colOff>555171</xdr:colOff>
          <xdr:row>31</xdr:row>
          <xdr:rowOff>95819</xdr:rowOff>
        </xdr:to>
        <xdr:pic>
          <xdr:nvPicPr>
            <xdr:cNvPr id="61" name="Picture 60">
              <a:extLst>
                <a:ext uri="{FF2B5EF4-FFF2-40B4-BE49-F238E27FC236}">
                  <a16:creationId xmlns:a16="http://schemas.microsoft.com/office/drawing/2014/main" id="{9E98FFA9-B5C3-EEEC-B5DC-FDD3A5AB8B5B}"/>
                </a:ext>
              </a:extLst>
            </xdr:cNvPr>
            <xdr:cNvPicPr>
              <a:picLocks noChangeAspect="1"/>
              <a:extLst>
                <a:ext uri="{84589F7E-364E-4C9E-8A38-B11213B215E9}">
                  <a14:cameraTool cellRange="'PIVOT TABLE'!B7" spid="_x0000_s2088"/>
                </a:ext>
              </a:extLst>
            </xdr:cNvPicPr>
          </xdr:nvPicPr>
          <xdr:blipFill>
            <a:blip xmlns:r="http://schemas.openxmlformats.org/officeDocument/2006/relationships" r:embed="rId14">
              <a:biLevel thresh="25000"/>
            </a:blip>
            <a:stretch>
              <a:fillRect/>
            </a:stretch>
          </xdr:blipFill>
          <xdr:spPr>
            <a:xfrm>
              <a:off x="17068798" y="4844136"/>
              <a:ext cx="2383973" cy="988454"/>
            </a:xfrm>
            <a:prstGeom prst="rect">
              <a:avLst/>
            </a:prstGeom>
          </xdr:spPr>
        </xdr:pic>
        <xdr:clientData/>
      </xdr:twoCellAnchor>
    </mc:Choice>
    <mc:Fallback/>
  </mc:AlternateContent>
  <xdr:twoCellAnchor>
    <xdr:from>
      <xdr:col>7</xdr:col>
      <xdr:colOff>195944</xdr:colOff>
      <xdr:row>34</xdr:row>
      <xdr:rowOff>163278</xdr:rowOff>
    </xdr:from>
    <xdr:to>
      <xdr:col>19</xdr:col>
      <xdr:colOff>566057</xdr:colOff>
      <xdr:row>54</xdr:row>
      <xdr:rowOff>65314</xdr:rowOff>
    </xdr:to>
    <xdr:graphicFrame macro="">
      <xdr:nvGraphicFramePr>
        <xdr:cNvPr id="64" name="Chart 63">
          <a:extLst>
            <a:ext uri="{FF2B5EF4-FFF2-40B4-BE49-F238E27FC236}">
              <a16:creationId xmlns:a16="http://schemas.microsoft.com/office/drawing/2014/main" id="{E0580A14-F992-4153-9270-A24B103BA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206830</xdr:colOff>
      <xdr:row>34</xdr:row>
      <xdr:rowOff>163285</xdr:rowOff>
    </xdr:from>
    <xdr:to>
      <xdr:col>32</xdr:col>
      <xdr:colOff>228600</xdr:colOff>
      <xdr:row>54</xdr:row>
      <xdr:rowOff>76199</xdr:rowOff>
    </xdr:to>
    <xdr:graphicFrame macro="">
      <xdr:nvGraphicFramePr>
        <xdr:cNvPr id="65" name="Chart 64">
          <a:extLst>
            <a:ext uri="{FF2B5EF4-FFF2-40B4-BE49-F238E27FC236}">
              <a16:creationId xmlns:a16="http://schemas.microsoft.com/office/drawing/2014/main" id="{EDFA23A3-4C63-4F76-9B85-D597658E1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163286</xdr:colOff>
      <xdr:row>54</xdr:row>
      <xdr:rowOff>152400</xdr:rowOff>
    </xdr:from>
    <xdr:to>
      <xdr:col>19</xdr:col>
      <xdr:colOff>566057</xdr:colOff>
      <xdr:row>78</xdr:row>
      <xdr:rowOff>163286</xdr:rowOff>
    </xdr:to>
    <xdr:graphicFrame macro="">
      <xdr:nvGraphicFramePr>
        <xdr:cNvPr id="66" name="Chart 65">
          <a:extLst>
            <a:ext uri="{FF2B5EF4-FFF2-40B4-BE49-F238E27FC236}">
              <a16:creationId xmlns:a16="http://schemas.microsoft.com/office/drawing/2014/main" id="{6372CBD4-E29B-467D-AD83-2EAD986B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206829</xdr:colOff>
      <xdr:row>54</xdr:row>
      <xdr:rowOff>108857</xdr:rowOff>
    </xdr:from>
    <xdr:to>
      <xdr:col>32</xdr:col>
      <xdr:colOff>206829</xdr:colOff>
      <xdr:row>78</xdr:row>
      <xdr:rowOff>170915</xdr:rowOff>
    </xdr:to>
    <xdr:graphicFrame macro="">
      <xdr:nvGraphicFramePr>
        <xdr:cNvPr id="67" name="Chart 66">
          <a:extLst>
            <a:ext uri="{FF2B5EF4-FFF2-40B4-BE49-F238E27FC236}">
              <a16:creationId xmlns:a16="http://schemas.microsoft.com/office/drawing/2014/main" id="{091F5F9F-E507-4AE4-8C5D-FAA67F4D4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455706</xdr:colOff>
      <xdr:row>16</xdr:row>
      <xdr:rowOff>1</xdr:rowOff>
    </xdr:from>
    <xdr:to>
      <xdr:col>7</xdr:col>
      <xdr:colOff>0</xdr:colOff>
      <xdr:row>78</xdr:row>
      <xdr:rowOff>149412</xdr:rowOff>
    </xdr:to>
    <mc:AlternateContent xmlns:mc="http://schemas.openxmlformats.org/markup-compatibility/2006" xmlns:a14="http://schemas.microsoft.com/office/drawing/2010/main">
      <mc:Choice Requires="a14">
        <xdr:graphicFrame macro="">
          <xdr:nvGraphicFramePr>
            <xdr:cNvPr id="71" name="Date 1">
              <a:extLst>
                <a:ext uri="{FF2B5EF4-FFF2-40B4-BE49-F238E27FC236}">
                  <a16:creationId xmlns:a16="http://schemas.microsoft.com/office/drawing/2014/main" id="{FC29030E-7A4D-49EB-8698-0132ED6754B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894106" y="2926081"/>
              <a:ext cx="1373094" cy="11487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11</xdr:row>
      <xdr:rowOff>121920</xdr:rowOff>
    </xdr:from>
    <xdr:to>
      <xdr:col>4</xdr:col>
      <xdr:colOff>198120</xdr:colOff>
      <xdr:row>33</xdr:row>
      <xdr:rowOff>0</xdr:rowOff>
    </xdr:to>
    <xdr:pic>
      <xdr:nvPicPr>
        <xdr:cNvPr id="83" name="Graphic 82" descr="Bar chart with solid fill">
          <a:extLst>
            <a:ext uri="{FF2B5EF4-FFF2-40B4-BE49-F238E27FC236}">
              <a16:creationId xmlns:a16="http://schemas.microsoft.com/office/drawing/2014/main" id="{F8521810-754D-4FAE-A980-F9612064D3E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310640" y="2133600"/>
          <a:ext cx="1325880" cy="3901440"/>
        </a:xfrm>
        <a:prstGeom prst="rect">
          <a:avLst/>
        </a:prstGeom>
      </xdr:spPr>
    </xdr:pic>
    <xdr:clientData/>
  </xdr:twoCellAnchor>
  <xdr:twoCellAnchor editAs="oneCell">
    <xdr:from>
      <xdr:col>1</xdr:col>
      <xdr:colOff>563880</xdr:colOff>
      <xdr:row>35</xdr:row>
      <xdr:rowOff>137160</xdr:rowOff>
    </xdr:from>
    <xdr:to>
      <xdr:col>4</xdr:col>
      <xdr:colOff>259080</xdr:colOff>
      <xdr:row>56</xdr:row>
      <xdr:rowOff>121920</xdr:rowOff>
    </xdr:to>
    <xdr:pic>
      <xdr:nvPicPr>
        <xdr:cNvPr id="85" name="Graphic 84" descr="Bar graph with upward trend with solid fill">
          <a:extLst>
            <a:ext uri="{FF2B5EF4-FFF2-40B4-BE49-F238E27FC236}">
              <a16:creationId xmlns:a16="http://schemas.microsoft.com/office/drawing/2014/main" id="{C10AC75F-E6DC-08A8-16A3-BCD8C8B154E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3480" y="6537960"/>
          <a:ext cx="1524000" cy="3825240"/>
        </a:xfrm>
        <a:prstGeom prst="rect">
          <a:avLst/>
        </a:prstGeom>
      </xdr:spPr>
    </xdr:pic>
    <xdr:clientData/>
  </xdr:twoCellAnchor>
  <xdr:twoCellAnchor editAs="oneCell">
    <xdr:from>
      <xdr:col>2</xdr:col>
      <xdr:colOff>60960</xdr:colOff>
      <xdr:row>59</xdr:row>
      <xdr:rowOff>45720</xdr:rowOff>
    </xdr:from>
    <xdr:to>
      <xdr:col>4</xdr:col>
      <xdr:colOff>198120</xdr:colOff>
      <xdr:row>78</xdr:row>
      <xdr:rowOff>167640</xdr:rowOff>
    </xdr:to>
    <xdr:pic>
      <xdr:nvPicPr>
        <xdr:cNvPr id="7" name="Graphic 6" descr="Bullseye with solid fill">
          <a:extLst>
            <a:ext uri="{FF2B5EF4-FFF2-40B4-BE49-F238E27FC236}">
              <a16:creationId xmlns:a16="http://schemas.microsoft.com/office/drawing/2014/main" id="{B3FDF71F-FC63-8D08-BA27-5C1B078198E6}"/>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280160" y="10835640"/>
          <a:ext cx="1356360" cy="3596640"/>
        </a:xfrm>
        <a:prstGeom prst="rect">
          <a:avLst/>
        </a:prstGeom>
      </xdr:spPr>
    </xdr:pic>
    <xdr:clientData/>
  </xdr:twoCellAnchor>
  <xdr:twoCellAnchor>
    <xdr:from>
      <xdr:col>7</xdr:col>
      <xdr:colOff>365760</xdr:colOff>
      <xdr:row>13</xdr:row>
      <xdr:rowOff>167640</xdr:rowOff>
    </xdr:from>
    <xdr:to>
      <xdr:col>32</xdr:col>
      <xdr:colOff>53340</xdr:colOff>
      <xdr:row>15</xdr:row>
      <xdr:rowOff>22860</xdr:rowOff>
    </xdr:to>
    <xdr:sp macro="" textlink="">
      <xdr:nvSpPr>
        <xdr:cNvPr id="8" name="Rectangle 7">
          <a:extLst>
            <a:ext uri="{FF2B5EF4-FFF2-40B4-BE49-F238E27FC236}">
              <a16:creationId xmlns:a16="http://schemas.microsoft.com/office/drawing/2014/main" id="{53824F9B-F45A-A7EC-55A4-04468EECC8F7}"/>
            </a:ext>
          </a:extLst>
        </xdr:cNvPr>
        <xdr:cNvSpPr/>
      </xdr:nvSpPr>
      <xdr:spPr>
        <a:xfrm>
          <a:off x="4644073" y="2540953"/>
          <a:ext cx="14967267" cy="22034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16</xdr:row>
      <xdr:rowOff>15240</xdr:rowOff>
    </xdr:from>
    <xdr:to>
      <xdr:col>32</xdr:col>
      <xdr:colOff>53340</xdr:colOff>
      <xdr:row>17</xdr:row>
      <xdr:rowOff>53340</xdr:rowOff>
    </xdr:to>
    <xdr:sp macro="" textlink="">
      <xdr:nvSpPr>
        <xdr:cNvPr id="9" name="Rectangle 8">
          <a:extLst>
            <a:ext uri="{FF2B5EF4-FFF2-40B4-BE49-F238E27FC236}">
              <a16:creationId xmlns:a16="http://schemas.microsoft.com/office/drawing/2014/main" id="{CA5593B6-3FAF-4E0C-9FB8-90313DA379FA}"/>
            </a:ext>
          </a:extLst>
        </xdr:cNvPr>
        <xdr:cNvSpPr/>
      </xdr:nvSpPr>
      <xdr:spPr>
        <a:xfrm>
          <a:off x="4632960" y="2941320"/>
          <a:ext cx="14927580" cy="2209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18</xdr:row>
      <xdr:rowOff>45720</xdr:rowOff>
    </xdr:from>
    <xdr:to>
      <xdr:col>32</xdr:col>
      <xdr:colOff>53340</xdr:colOff>
      <xdr:row>19</xdr:row>
      <xdr:rowOff>83820</xdr:rowOff>
    </xdr:to>
    <xdr:sp macro="" textlink="">
      <xdr:nvSpPr>
        <xdr:cNvPr id="10" name="Rectangle 9">
          <a:extLst>
            <a:ext uri="{FF2B5EF4-FFF2-40B4-BE49-F238E27FC236}">
              <a16:creationId xmlns:a16="http://schemas.microsoft.com/office/drawing/2014/main" id="{18131156-68BE-434B-8C6E-ED391907E4EE}"/>
            </a:ext>
          </a:extLst>
        </xdr:cNvPr>
        <xdr:cNvSpPr/>
      </xdr:nvSpPr>
      <xdr:spPr>
        <a:xfrm>
          <a:off x="4632960" y="3337560"/>
          <a:ext cx="14927580" cy="2209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20</xdr:row>
      <xdr:rowOff>30480</xdr:rowOff>
    </xdr:from>
    <xdr:to>
      <xdr:col>32</xdr:col>
      <xdr:colOff>53340</xdr:colOff>
      <xdr:row>21</xdr:row>
      <xdr:rowOff>68580</xdr:rowOff>
    </xdr:to>
    <xdr:sp macro="" textlink="">
      <xdr:nvSpPr>
        <xdr:cNvPr id="11" name="Rectangle 10">
          <a:extLst>
            <a:ext uri="{FF2B5EF4-FFF2-40B4-BE49-F238E27FC236}">
              <a16:creationId xmlns:a16="http://schemas.microsoft.com/office/drawing/2014/main" id="{C27C22E4-62E4-4CDB-B35F-5E0E421F85F5}"/>
            </a:ext>
          </a:extLst>
        </xdr:cNvPr>
        <xdr:cNvSpPr/>
      </xdr:nvSpPr>
      <xdr:spPr>
        <a:xfrm>
          <a:off x="4632960" y="3688080"/>
          <a:ext cx="14927580" cy="2209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293688</xdr:colOff>
      <xdr:row>13</xdr:row>
      <xdr:rowOff>61912</xdr:rowOff>
    </xdr:from>
    <xdr:to>
      <xdr:col>10</xdr:col>
      <xdr:colOff>119063</xdr:colOff>
      <xdr:row>21</xdr:row>
      <xdr:rowOff>141287</xdr:rowOff>
    </xdr:to>
    <xdr:sp macro="" textlink="">
      <xdr:nvSpPr>
        <xdr:cNvPr id="13" name="Arrow: Down 12">
          <a:extLst>
            <a:ext uri="{FF2B5EF4-FFF2-40B4-BE49-F238E27FC236}">
              <a16:creationId xmlns:a16="http://schemas.microsoft.com/office/drawing/2014/main" id="{B868CFB1-ADC8-28A9-E4A3-139C31670386}"/>
            </a:ext>
          </a:extLst>
        </xdr:cNvPr>
        <xdr:cNvSpPr/>
      </xdr:nvSpPr>
      <xdr:spPr>
        <a:xfrm>
          <a:off x="5183188"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312284</xdr:colOff>
      <xdr:row>13</xdr:row>
      <xdr:rowOff>61912</xdr:rowOff>
    </xdr:from>
    <xdr:to>
      <xdr:col>13</xdr:col>
      <xdr:colOff>137659</xdr:colOff>
      <xdr:row>21</xdr:row>
      <xdr:rowOff>141287</xdr:rowOff>
    </xdr:to>
    <xdr:sp macro="" textlink="">
      <xdr:nvSpPr>
        <xdr:cNvPr id="15" name="Arrow: Down 14">
          <a:extLst>
            <a:ext uri="{FF2B5EF4-FFF2-40B4-BE49-F238E27FC236}">
              <a16:creationId xmlns:a16="http://schemas.microsoft.com/office/drawing/2014/main" id="{5D944DA2-9511-48B0-9E6E-0C9F52E23124}"/>
            </a:ext>
          </a:extLst>
        </xdr:cNvPr>
        <xdr:cNvSpPr/>
      </xdr:nvSpPr>
      <xdr:spPr>
        <a:xfrm>
          <a:off x="7035347"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330881</xdr:colOff>
      <xdr:row>13</xdr:row>
      <xdr:rowOff>61912</xdr:rowOff>
    </xdr:from>
    <xdr:to>
      <xdr:col>16</xdr:col>
      <xdr:colOff>156256</xdr:colOff>
      <xdr:row>21</xdr:row>
      <xdr:rowOff>141287</xdr:rowOff>
    </xdr:to>
    <xdr:sp macro="" textlink="">
      <xdr:nvSpPr>
        <xdr:cNvPr id="20" name="Arrow: Down 19">
          <a:extLst>
            <a:ext uri="{FF2B5EF4-FFF2-40B4-BE49-F238E27FC236}">
              <a16:creationId xmlns:a16="http://schemas.microsoft.com/office/drawing/2014/main" id="{EC03C712-C111-48B2-A716-8CA42DC5C502}"/>
            </a:ext>
          </a:extLst>
        </xdr:cNvPr>
        <xdr:cNvSpPr/>
      </xdr:nvSpPr>
      <xdr:spPr>
        <a:xfrm>
          <a:off x="8887506"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349477</xdr:colOff>
      <xdr:row>13</xdr:row>
      <xdr:rowOff>61912</xdr:rowOff>
    </xdr:from>
    <xdr:to>
      <xdr:col>19</xdr:col>
      <xdr:colOff>174852</xdr:colOff>
      <xdr:row>21</xdr:row>
      <xdr:rowOff>141287</xdr:rowOff>
    </xdr:to>
    <xdr:sp macro="" textlink="">
      <xdr:nvSpPr>
        <xdr:cNvPr id="21" name="Arrow: Down 20">
          <a:extLst>
            <a:ext uri="{FF2B5EF4-FFF2-40B4-BE49-F238E27FC236}">
              <a16:creationId xmlns:a16="http://schemas.microsoft.com/office/drawing/2014/main" id="{FC6E2C1E-54E8-4F42-A527-6EC75E28A73E}"/>
            </a:ext>
          </a:extLst>
        </xdr:cNvPr>
        <xdr:cNvSpPr/>
      </xdr:nvSpPr>
      <xdr:spPr>
        <a:xfrm>
          <a:off x="10739665"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368074</xdr:colOff>
      <xdr:row>13</xdr:row>
      <xdr:rowOff>61912</xdr:rowOff>
    </xdr:from>
    <xdr:to>
      <xdr:col>22</xdr:col>
      <xdr:colOff>193449</xdr:colOff>
      <xdr:row>21</xdr:row>
      <xdr:rowOff>141287</xdr:rowOff>
    </xdr:to>
    <xdr:sp macro="" textlink="">
      <xdr:nvSpPr>
        <xdr:cNvPr id="22" name="Arrow: Down 21">
          <a:extLst>
            <a:ext uri="{FF2B5EF4-FFF2-40B4-BE49-F238E27FC236}">
              <a16:creationId xmlns:a16="http://schemas.microsoft.com/office/drawing/2014/main" id="{5E43C410-D713-47B7-9E49-2885181DB09B}"/>
            </a:ext>
          </a:extLst>
        </xdr:cNvPr>
        <xdr:cNvSpPr/>
      </xdr:nvSpPr>
      <xdr:spPr>
        <a:xfrm>
          <a:off x="12591824"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386670</xdr:colOff>
      <xdr:row>13</xdr:row>
      <xdr:rowOff>61912</xdr:rowOff>
    </xdr:from>
    <xdr:to>
      <xdr:col>25</xdr:col>
      <xdr:colOff>212045</xdr:colOff>
      <xdr:row>21</xdr:row>
      <xdr:rowOff>141287</xdr:rowOff>
    </xdr:to>
    <xdr:sp macro="" textlink="">
      <xdr:nvSpPr>
        <xdr:cNvPr id="23" name="Arrow: Down 22">
          <a:extLst>
            <a:ext uri="{FF2B5EF4-FFF2-40B4-BE49-F238E27FC236}">
              <a16:creationId xmlns:a16="http://schemas.microsoft.com/office/drawing/2014/main" id="{B1071F6A-6858-4538-9BB0-4C8F83F3617B}"/>
            </a:ext>
          </a:extLst>
        </xdr:cNvPr>
        <xdr:cNvSpPr/>
      </xdr:nvSpPr>
      <xdr:spPr>
        <a:xfrm>
          <a:off x="14443983"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405267</xdr:colOff>
      <xdr:row>13</xdr:row>
      <xdr:rowOff>61912</xdr:rowOff>
    </xdr:from>
    <xdr:to>
      <xdr:col>28</xdr:col>
      <xdr:colOff>230642</xdr:colOff>
      <xdr:row>21</xdr:row>
      <xdr:rowOff>141287</xdr:rowOff>
    </xdr:to>
    <xdr:sp macro="" textlink="">
      <xdr:nvSpPr>
        <xdr:cNvPr id="24" name="Arrow: Down 23">
          <a:extLst>
            <a:ext uri="{FF2B5EF4-FFF2-40B4-BE49-F238E27FC236}">
              <a16:creationId xmlns:a16="http://schemas.microsoft.com/office/drawing/2014/main" id="{E0C18042-E0F9-4272-8A85-263B93EB8056}"/>
            </a:ext>
          </a:extLst>
        </xdr:cNvPr>
        <xdr:cNvSpPr/>
      </xdr:nvSpPr>
      <xdr:spPr>
        <a:xfrm>
          <a:off x="16296142"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423863</xdr:colOff>
      <xdr:row>13</xdr:row>
      <xdr:rowOff>61912</xdr:rowOff>
    </xdr:from>
    <xdr:to>
      <xdr:col>31</xdr:col>
      <xdr:colOff>249238</xdr:colOff>
      <xdr:row>21</xdr:row>
      <xdr:rowOff>141287</xdr:rowOff>
    </xdr:to>
    <xdr:sp macro="" textlink="">
      <xdr:nvSpPr>
        <xdr:cNvPr id="25" name="Arrow: Down 24">
          <a:extLst>
            <a:ext uri="{FF2B5EF4-FFF2-40B4-BE49-F238E27FC236}">
              <a16:creationId xmlns:a16="http://schemas.microsoft.com/office/drawing/2014/main" id="{DEC0E74D-F870-401E-AE3D-B4210906BE42}"/>
            </a:ext>
          </a:extLst>
        </xdr:cNvPr>
        <xdr:cNvSpPr/>
      </xdr:nvSpPr>
      <xdr:spPr>
        <a:xfrm>
          <a:off x="18148301"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an" refreshedDate="46293.828802314812" createdVersion="8" refreshedVersion="8" minRefreshableVersion="3" recordCount="2000" xr:uid="{738AF01F-FB9B-4BA5-8096-CB9B2CB88BD6}">
  <cacheSource type="worksheet">
    <worksheetSource name="Table_Table1"/>
  </cacheSource>
  <cacheFields count="14">
    <cacheField name="Order ID" numFmtId="0">
      <sharedItems count="2000">
        <s v="ORD-2247"/>
        <s v="ORD-1073"/>
        <s v="ORD-2143"/>
        <s v="ORD-1306"/>
        <s v="ORD-2800"/>
        <s v="ORD-1211"/>
        <s v="ORD-2529"/>
        <s v="ORD-1560"/>
        <s v="ORD-1358"/>
        <s v="ORD-2974"/>
        <s v="ORD-1742"/>
        <s v="ORD-1043"/>
        <s v="ORD-1659"/>
        <s v="ORD-2493"/>
        <s v="ORD-2280"/>
        <s v="ORD-2828"/>
        <s v="ORD-1124"/>
        <s v="ORD-2961"/>
        <s v="ORD-1313"/>
        <s v="ORD-2752"/>
        <s v="ORD-1390"/>
        <s v="ORD-1420"/>
        <s v="ORD-1664"/>
        <s v="ORD-2902"/>
        <s v="ORD-2742"/>
        <s v="ORD-1493"/>
        <s v="ORD-1123"/>
        <s v="ORD-1286"/>
        <s v="ORD-2189"/>
        <s v="ORD-1854"/>
        <s v="ORD-1825"/>
        <s v="ORD-2795"/>
        <s v="ORD-1821"/>
        <s v="ORD-2297"/>
        <s v="ORD-1387"/>
        <s v="ORD-1926"/>
        <s v="ORD-2730"/>
        <s v="ORD-2858"/>
        <s v="ORD-2306"/>
        <s v="ORD-1747"/>
        <s v="ORD-1721"/>
        <s v="ORD-1215"/>
        <s v="ORD-2657"/>
        <s v="ORD-1255"/>
        <s v="ORD-1672"/>
        <s v="ORD-1683"/>
        <s v="ORD-2966"/>
        <s v="ORD-2523"/>
        <s v="ORD-1791"/>
        <s v="ORD-2116"/>
        <s v="ORD-2982"/>
        <s v="ORD-1772"/>
        <s v="ORD-1415"/>
        <s v="ORD-1282"/>
        <s v="ORD-1547"/>
        <s v="ORD-1930"/>
        <s v="ORD-1488"/>
        <s v="ORD-1462"/>
        <s v="ORD-2023"/>
        <s v="ORD-1496"/>
        <s v="ORD-1307"/>
        <s v="ORD-2899"/>
        <s v="ORD-2270"/>
        <s v="ORD-2503"/>
        <s v="ORD-2603"/>
        <s v="ORD-1324"/>
        <s v="ORD-2390"/>
        <s v="ORD-2245"/>
        <s v="ORD-1587"/>
        <s v="ORD-2690"/>
        <s v="ORD-1494"/>
        <s v="ORD-2131"/>
        <s v="ORD-1719"/>
        <s v="ORD-2200"/>
        <s v="ORD-1574"/>
        <s v="ORD-1218"/>
        <s v="ORD-2142"/>
        <s v="ORD-2437"/>
        <s v="ORD-2935"/>
        <s v="ORD-1141"/>
        <s v="ORD-1507"/>
        <s v="ORD-1339"/>
        <s v="ORD-2217"/>
        <s v="ORD-1769"/>
        <s v="ORD-2127"/>
        <s v="ORD-1768"/>
        <s v="ORD-2080"/>
        <s v="ORD-1406"/>
        <s v="ORD-1126"/>
        <s v="ORD-2487"/>
        <s v="ORD-1671"/>
        <s v="ORD-1144"/>
        <s v="ORD-1828"/>
        <s v="ORD-1999"/>
        <s v="ORD-1917"/>
        <s v="ORD-1833"/>
        <s v="ORD-2774"/>
        <s v="ORD-2322"/>
        <s v="ORD-1523"/>
        <s v="ORD-1892"/>
        <s v="ORD-2291"/>
        <s v="ORD-2723"/>
        <s v="ORD-1845"/>
        <s v="ORD-2073"/>
        <s v="ORD-1315"/>
        <s v="ORD-2430"/>
        <s v="ORD-2759"/>
        <s v="ORD-2514"/>
        <s v="ORD-1463"/>
        <s v="ORD-1762"/>
        <s v="ORD-2834"/>
        <s v="ORD-1899"/>
        <s v="ORD-2394"/>
        <s v="ORD-2066"/>
        <s v="ORD-2539"/>
        <s v="ORD-1231"/>
        <s v="ORD-2504"/>
        <s v="ORD-1532"/>
        <s v="ORD-2175"/>
        <s v="ORD-1114"/>
        <s v="ORD-2422"/>
        <s v="ORD-1561"/>
        <s v="ORD-2670"/>
        <s v="ORD-2211"/>
        <s v="ORD-2731"/>
        <s v="ORD-1203"/>
        <s v="ORD-2301"/>
        <s v="ORD-2251"/>
        <s v="ORD-1392"/>
        <s v="ORD-1483"/>
        <s v="ORD-2168"/>
        <s v="ORD-2269"/>
        <s v="ORD-1517"/>
        <s v="ORD-2623"/>
        <s v="ORD-1467"/>
        <s v="ORD-2490"/>
        <s v="ORD-2893"/>
        <s v="ORD-1004"/>
        <s v="ORD-1063"/>
        <s v="ORD-1338"/>
        <s v="ORD-1310"/>
        <s v="ORD-2532"/>
        <s v="ORD-2968"/>
        <s v="ORD-2568"/>
        <s v="ORD-1676"/>
        <s v="ORD-2901"/>
        <s v="ORD-2110"/>
        <s v="ORD-2119"/>
        <s v="ORD-1443"/>
        <s v="ORD-1487"/>
        <s v="ORD-2713"/>
        <s v="ORD-1005"/>
        <s v="ORD-1359"/>
        <s v="ORD-1038"/>
        <s v="ORD-2377"/>
        <s v="ORD-1744"/>
        <s v="ORD-2806"/>
        <s v="ORD-2386"/>
        <s v="ORD-2838"/>
        <s v="ORD-2128"/>
        <s v="ORD-2396"/>
        <s v="ORD-2455"/>
        <s v="ORD-2107"/>
        <s v="ORD-2958"/>
        <s v="ORD-2337"/>
        <s v="ORD-2912"/>
        <s v="ORD-1023"/>
        <s v="ORD-1247"/>
        <s v="ORD-2518"/>
        <s v="ORD-1677"/>
        <s v="ORD-1667"/>
        <s v="ORD-2478"/>
        <s v="ORD-1233"/>
        <s v="ORD-2576"/>
        <s v="ORD-2566"/>
        <s v="ORD-2156"/>
        <s v="ORD-2409"/>
        <s v="ORD-2988"/>
        <s v="ORD-2872"/>
        <s v="ORD-1139"/>
        <s v="ORD-1631"/>
        <s v="ORD-1731"/>
        <s v="ORD-1832"/>
        <s v="ORD-1665"/>
        <s v="ORD-1259"/>
        <s v="ORD-1612"/>
        <s v="ORD-1938"/>
        <s v="ORD-1237"/>
        <s v="ORD-2052"/>
        <s v="ORD-2545"/>
        <s v="ORD-2741"/>
        <s v="ORD-2421"/>
        <s v="ORD-2160"/>
        <s v="ORD-1891"/>
        <s v="ORD-1984"/>
        <s v="ORD-1208"/>
        <s v="ORD-1093"/>
        <s v="ORD-1573"/>
        <s v="ORD-1851"/>
        <s v="ORD-2986"/>
        <s v="ORD-2315"/>
        <s v="ORD-2989"/>
        <s v="ORD-2043"/>
        <s v="ORD-2400"/>
        <s v="ORD-1191"/>
        <s v="ORD-2660"/>
        <s v="ORD-2069"/>
        <s v="ORD-1598"/>
        <s v="ORD-1685"/>
        <s v="ORD-2295"/>
        <s v="ORD-2509"/>
        <s v="ORD-1031"/>
        <s v="ORD-1267"/>
        <s v="ORD-2405"/>
        <s v="ORD-2983"/>
        <s v="ORD-1634"/>
        <s v="ORD-2468"/>
        <s v="ORD-1362"/>
        <s v="ORD-1826"/>
        <s v="ORD-2224"/>
        <s v="ORD-2561"/>
        <s v="ORD-2583"/>
        <s v="ORD-2547"/>
        <s v="ORD-1916"/>
        <s v="ORD-2880"/>
        <s v="ORD-2187"/>
        <s v="ORD-1647"/>
        <s v="ORD-1706"/>
        <s v="ORD-2366"/>
        <s v="ORD-1198"/>
        <s v="ORD-2360"/>
        <s v="ORD-2045"/>
        <s v="ORD-2355"/>
        <s v="ORD-1195"/>
        <s v="ORD-1173"/>
        <s v="ORD-1346"/>
        <s v="ORD-2124"/>
        <s v="ORD-2936"/>
        <s v="ORD-1171"/>
        <s v="ORD-1606"/>
        <s v="ORD-1835"/>
        <s v="ORD-1822"/>
        <s v="ORD-2851"/>
        <s v="ORD-1766"/>
        <s v="ORD-2930"/>
        <s v="ORD-1980"/>
        <s v="ORD-1627"/>
        <s v="ORD-1538"/>
        <s v="ORD-2639"/>
        <s v="ORD-2268"/>
        <s v="ORD-1465"/>
        <s v="ORD-2439"/>
        <s v="ORD-2338"/>
        <s v="ORD-1311"/>
        <s v="ORD-1225"/>
        <s v="ORD-2845"/>
        <s v="ORD-1662"/>
        <s v="ORD-2618"/>
        <s v="ORD-2471"/>
        <s v="ORD-1087"/>
        <s v="ORD-1973"/>
        <s v="ORD-2837"/>
        <s v="ORD-1884"/>
        <s v="ORD-1576"/>
        <s v="ORD-1790"/>
        <s v="ORD-1657"/>
        <s v="ORD-1446"/>
        <s v="ORD-2940"/>
        <s v="ORD-1781"/>
        <s v="ORD-2584"/>
        <s v="ORD-2496"/>
        <s v="ORD-2420"/>
        <s v="ORD-2876"/>
        <s v="ORD-1516"/>
        <s v="ORD-2100"/>
        <s v="ORD-1520"/>
        <s v="ORD-2817"/>
        <s v="ORD-1366"/>
        <s v="ORD-2802"/>
        <s v="ORD-2892"/>
        <s v="ORD-2403"/>
        <s v="ORD-2304"/>
        <s v="ORD-2656"/>
        <s v="ORD-2638"/>
        <s v="ORD-1878"/>
        <s v="ORD-2807"/>
        <s v="ORD-2628"/>
        <s v="ORD-1327"/>
        <s v="ORD-1201"/>
        <s v="ORD-1644"/>
        <s v="ORD-1328"/>
        <s v="ORD-1279"/>
        <s v="ORD-1226"/>
        <s v="ORD-2787"/>
        <s v="ORD-1920"/>
        <s v="ORD-1262"/>
        <s v="ORD-1147"/>
        <s v="ORD-1257"/>
        <s v="ORD-1044"/>
        <s v="ORD-2521"/>
        <s v="ORD-1438"/>
        <s v="ORD-2861"/>
        <s v="ORD-1232"/>
        <s v="ORD-2927"/>
        <s v="ORD-1535"/>
        <s v="ORD-1986"/>
        <s v="ORD-1642"/>
        <s v="ORD-2351"/>
        <s v="ORD-1960"/>
        <s v="ORD-1250"/>
        <s v="ORD-2621"/>
        <s v="ORD-1660"/>
        <s v="ORD-1883"/>
        <s v="ORD-1162"/>
        <s v="ORD-1156"/>
        <s v="ORD-2721"/>
        <s v="ORD-1755"/>
        <s v="ORD-2553"/>
        <s v="ORD-1514"/>
        <s v="ORD-2121"/>
        <s v="ORD-2662"/>
        <s v="ORD-2769"/>
        <s v="ORD-2243"/>
        <s v="ORD-1220"/>
        <s v="ORD-2092"/>
        <s v="ORD-1049"/>
        <s v="ORD-1594"/>
        <s v="ORD-2916"/>
        <s v="ORD-1431"/>
        <s v="ORD-1170"/>
        <s v="ORD-2778"/>
        <s v="ORD-1397"/>
        <s v="ORD-2087"/>
        <s v="ORD-1116"/>
        <s v="ORD-2371"/>
        <s v="ORD-1734"/>
        <s v="ORD-2577"/>
        <s v="ORD-1981"/>
        <s v="ORD-2527"/>
        <s v="ORD-2764"/>
        <s v="ORD-2770"/>
        <s v="ORD-2870"/>
        <s v="ORD-2208"/>
        <s v="ORD-1592"/>
        <s v="ORD-1914"/>
        <s v="ORD-1698"/>
        <s v="ORD-1370"/>
        <s v="ORD-2522"/>
        <s v="ORD-2491"/>
        <s v="ORD-1336"/>
        <s v="ORD-1152"/>
        <s v="ORD-1301"/>
        <s v="ORD-1168"/>
        <s v="ORD-2642"/>
        <s v="ORD-2072"/>
        <s v="ORD-2692"/>
        <s v="ORD-2544"/>
        <s v="ORD-2645"/>
        <s v="ORD-1333"/>
        <s v="ORD-1016"/>
        <s v="ORD-2871"/>
        <s v="ORD-1157"/>
        <s v="ORD-2477"/>
        <s v="ORD-2556"/>
        <s v="ORD-1619"/>
        <s v="ORD-2053"/>
        <s v="ORD-2308"/>
        <s v="ORD-2054"/>
        <s v="ORD-1588"/>
        <s v="ORD-1838"/>
        <s v="ORD-2664"/>
        <s v="ORD-2593"/>
        <s v="ORD-2244"/>
        <s v="ORD-1950"/>
        <s v="ORD-1436"/>
        <s v="ORD-2101"/>
        <s v="ORD-1679"/>
        <s v="ORD-1641"/>
        <s v="ORD-1579"/>
        <s v="ORD-1964"/>
        <s v="ORD-1284"/>
        <s v="ORD-2629"/>
        <s v="ORD-1175"/>
        <s v="ORD-2305"/>
        <s v="ORD-1472"/>
        <s v="ORD-1765"/>
        <s v="ORD-2286"/>
        <s v="ORD-1689"/>
        <s v="ORD-1320"/>
        <s v="ORD-2236"/>
        <s v="ORD-2903"/>
        <s v="ORD-1121"/>
        <s v="ORD-2093"/>
        <s v="ORD-2249"/>
        <s v="ORD-2184"/>
        <s v="ORD-2601"/>
        <s v="ORD-1160"/>
        <s v="ORD-2417"/>
        <s v="ORD-1342"/>
        <s v="ORD-2710"/>
        <s v="ORD-2619"/>
        <s v="ORD-2785"/>
        <s v="ORD-1368"/>
        <s v="ORD-2702"/>
        <s v="ORD-2854"/>
        <s v="ORD-1896"/>
        <s v="ORD-1735"/>
        <s v="ORD-1848"/>
        <s v="ORD-1849"/>
        <s v="ORD-2799"/>
        <s v="ORD-1778"/>
        <s v="ORD-2625"/>
        <s v="ORD-2697"/>
        <s v="ORD-2557"/>
        <s v="ORD-2630"/>
        <s v="ORD-1349"/>
        <s v="ORD-2283"/>
        <s v="ORD-1271"/>
        <s v="ORD-1812"/>
        <s v="ORD-2005"/>
        <s v="ORD-1764"/>
        <s v="ORD-1934"/>
        <s v="ORD-2476"/>
        <s v="ORD-2256"/>
        <s v="ORD-1399"/>
        <s v="ORD-2887"/>
        <s v="ORD-1080"/>
        <s v="ORD-1995"/>
        <s v="ORD-1910"/>
        <s v="ORD-1559"/>
        <s v="ORD-1354"/>
        <s v="ORD-1937"/>
        <s v="ORD-1219"/>
        <s v="ORD-1859"/>
        <s v="ORD-1836"/>
        <s v="ORD-1661"/>
        <s v="ORD-1947"/>
        <s v="ORD-1692"/>
        <s v="ORD-1983"/>
        <s v="ORD-2944"/>
        <s v="ORD-2414"/>
        <s v="ORD-2850"/>
        <s v="ORD-1887"/>
        <s v="ORD-2433"/>
        <s v="ORD-1613"/>
        <s v="ORD-1621"/>
        <s v="ORD-2931"/>
        <s v="ORD-1844"/>
        <s v="ORD-1800"/>
        <s v="ORD-2867"/>
        <s v="ORD-2654"/>
        <s v="ORD-2866"/>
        <s v="ORD-1347"/>
        <s v="ORD-2153"/>
        <s v="ORD-1449"/>
        <s v="ORD-2457"/>
        <s v="ORD-1181"/>
        <s v="ORD-2388"/>
        <s v="ORD-1335"/>
        <s v="ORD-1624"/>
        <s v="ORD-1994"/>
        <s v="ORD-1985"/>
        <s v="ORD-2840"/>
        <s v="ORD-1846"/>
        <s v="ORD-2181"/>
        <s v="ORD-1300"/>
        <s v="ORD-1635"/>
        <s v="ORD-1607"/>
        <s v="ORD-1668"/>
        <s v="ORD-1810"/>
        <s v="ORD-1364"/>
        <s v="ORD-2466"/>
        <s v="ORD-2879"/>
        <s v="ORD-1423"/>
        <s v="ORD-2917"/>
        <s v="ORD-2114"/>
        <s v="ORD-1081"/>
        <s v="ORD-1111"/>
        <s v="ORD-1500"/>
        <s v="ORD-2222"/>
        <s v="ORD-2144"/>
        <s v="ORD-1082"/>
        <s v="ORD-1125"/>
        <s v="ORD-1885"/>
        <s v="ORD-1099"/>
        <s v="ORD-1381"/>
        <s v="ORD-1454"/>
        <s v="ORD-2937"/>
        <s v="ORD-1238"/>
        <s v="ORD-1239"/>
        <s v="ORD-2104"/>
        <s v="ORD-2425"/>
        <s v="ORD-1234"/>
        <s v="ORD-2969"/>
        <s v="ORD-1990"/>
        <s v="ORD-2004"/>
        <s v="ORD-2634"/>
        <s v="ORD-1654"/>
        <s v="ORD-1298"/>
        <s v="ORD-2197"/>
        <s v="ORD-2703"/>
        <s v="ORD-2505"/>
        <s v="ORD-2064"/>
        <s v="ORD-2117"/>
        <s v="ORD-2358"/>
        <s v="ORD-1862"/>
        <s v="ORD-2266"/>
        <s v="ORD-2641"/>
        <s v="ORD-2869"/>
        <s v="ORD-1199"/>
        <s v="ORD-1459"/>
        <s v="ORD-1400"/>
        <s v="ORD-1797"/>
        <s v="ORD-2183"/>
        <s v="ORD-1712"/>
        <s v="ORD-1722"/>
        <s v="ORD-2729"/>
        <s v="ORD-2413"/>
        <s v="ORD-1839"/>
        <s v="ORD-2932"/>
        <s v="ORD-2540"/>
        <s v="ORD-1015"/>
        <s v="ORD-1640"/>
        <s v="ORD-2384"/>
        <s v="ORD-1252"/>
        <s v="ORD-2789"/>
        <s v="ORD-1214"/>
        <s v="ORD-1051"/>
        <s v="ORD-1057"/>
        <s v="ORD-2434"/>
        <s v="ORD-1022"/>
        <s v="ORD-2196"/>
        <s v="ORD-1686"/>
        <s v="ORD-1555"/>
        <s v="ORD-2258"/>
        <s v="ORD-1433"/>
        <s v="ORD-1186"/>
        <s v="ORD-2233"/>
        <s v="ORD-2290"/>
        <s v="ORD-2242"/>
        <s v="ORD-2278"/>
        <s v="ORD-1913"/>
        <s v="ORD-1312"/>
        <s v="ORD-2719"/>
        <s v="ORD-1629"/>
        <s v="ORD-1448"/>
        <s v="ORD-2378"/>
        <s v="ORD-2135"/>
        <s v="ORD-2714"/>
        <s v="ORD-1260"/>
        <s v="ORD-1434"/>
        <s v="ORD-2715"/>
        <s v="ORD-1578"/>
        <s v="ORD-1090"/>
        <s v="ORD-2675"/>
        <s v="ORD-1510"/>
        <s v="ORD-2809"/>
        <s v="ORD-1852"/>
        <s v="ORD-1541"/>
        <s v="ORD-1480"/>
        <s v="ORD-2465"/>
        <s v="ORD-2292"/>
        <s v="ORD-2223"/>
        <s v="ORD-1106"/>
        <s v="ORD-1870"/>
        <s v="ORD-1615"/>
        <s v="ORD-1337"/>
        <s v="ORD-1609"/>
        <s v="ORD-2149"/>
        <s v="ORD-2013"/>
        <s v="ORD-2382"/>
        <s v="ORD-1497"/>
        <s v="ORD-2520"/>
        <s v="ORD-2658"/>
        <s v="ORD-2287"/>
        <s v="ORD-1009"/>
        <s v="ORD-2151"/>
        <s v="ORD-2011"/>
        <s v="ORD-1787"/>
        <s v="ORD-1079"/>
        <s v="ORD-2450"/>
        <s v="ORD-1711"/>
        <s v="ORD-2399"/>
        <s v="ORD-2814"/>
        <s v="ORD-1474"/>
        <s v="ORD-2271"/>
        <s v="ORD-2029"/>
        <s v="ORD-2375"/>
        <s v="ORD-1155"/>
        <s v="ORD-2082"/>
        <s v="ORD-2241"/>
        <s v="ORD-1648"/>
        <s v="ORD-1224"/>
        <s v="ORD-2177"/>
        <s v="ORD-2282"/>
        <s v="ORD-2948"/>
        <s v="ORD-1058"/>
        <s v="ORD-1919"/>
        <s v="ORD-2781"/>
        <s v="ORD-2536"/>
        <s v="ORD-2161"/>
        <s v="ORD-2643"/>
        <s v="ORD-1285"/>
        <s v="ORD-1089"/>
        <s v="ORD-2006"/>
        <s v="ORD-2010"/>
        <s v="ORD-2563"/>
        <s v="ORD-1343"/>
        <s v="ORD-1094"/>
        <s v="ORD-2015"/>
        <s v="ORD-1036"/>
        <s v="ORD-1898"/>
        <s v="ORD-1119"/>
        <s v="ORD-2274"/>
        <s v="ORD-2846"/>
        <s v="ORD-2984"/>
        <s v="ORD-1807"/>
        <s v="ORD-1506"/>
        <s v="ORD-1894"/>
        <s v="ORD-2284"/>
        <s v="ORD-1332"/>
        <s v="ORD-2367"/>
        <s v="ORD-2555"/>
        <s v="ORD-1317"/>
        <s v="ORD-1632"/>
        <s v="ORD-1602"/>
        <s v="ORD-2429"/>
        <s v="ORD-2853"/>
        <s v="ORD-1216"/>
        <s v="ORD-2014"/>
        <s v="ORD-2356"/>
        <s v="ORD-2393"/>
        <s v="ORD-1524"/>
        <s v="ORD-1824"/>
        <s v="ORD-2548"/>
        <s v="ORD-1702"/>
        <s v="ORD-2942"/>
        <s v="ORD-1460"/>
        <s v="ORD-2856"/>
        <s v="ORD-2139"/>
        <s v="ORD-1040"/>
        <s v="ORD-1818"/>
        <s v="ORD-2262"/>
        <s v="ORD-1269"/>
        <s v="ORD-2967"/>
        <s v="ORD-1424"/>
        <s v="ORD-2074"/>
        <s v="ORD-1441"/>
        <s v="ORD-1384"/>
        <s v="ORD-1246"/>
        <s v="ORD-1378"/>
        <s v="ORD-1575"/>
        <s v="ORD-2105"/>
        <s v="ORD-1979"/>
        <s v="ORD-1296"/>
        <s v="ORD-1932"/>
        <s v="ORD-1062"/>
        <s v="ORD-2957"/>
        <s v="ORD-2823"/>
        <s v="ORD-1174"/>
        <s v="ORD-2448"/>
        <s v="ORD-2708"/>
        <s v="ORD-2166"/>
        <s v="ORD-2830"/>
        <s v="ORD-2495"/>
        <s v="ORD-1039"/>
        <s v="ORD-2716"/>
        <s v="ORD-1976"/>
        <s v="ORD-2833"/>
        <s v="ORD-2129"/>
        <s v="ORD-2342"/>
        <s v="ORD-2267"/>
        <s v="ORD-2525"/>
        <s v="ORD-2255"/>
        <s v="ORD-2235"/>
        <s v="ORD-2051"/>
        <s v="ORD-1968"/>
        <s v="ORD-1534"/>
        <s v="ORD-2676"/>
        <s v="ORD-2374"/>
        <s v="ORD-1675"/>
        <s v="ORD-2359"/>
        <s v="ORD-1361"/>
        <s v="ORD-2659"/>
        <s v="ORD-1209"/>
        <s v="ORD-2138"/>
        <s v="ORD-1213"/>
        <s v="ORD-2962"/>
        <s v="ORD-1002"/>
        <s v="ORD-1847"/>
        <s v="ORD-2086"/>
        <s v="ORD-1907"/>
        <s v="ORD-2594"/>
        <s v="ORD-1591"/>
        <s v="ORD-1872"/>
        <s v="ORD-1823"/>
        <s v="ORD-2259"/>
        <s v="ORD-2482"/>
        <s v="ORD-1184"/>
        <s v="ORD-1806"/>
        <s v="ORD-3000"/>
        <s v="ORD-2608"/>
        <s v="ORD-2848"/>
        <s v="ORD-2827"/>
        <s v="ORD-2724"/>
        <s v="ORD-2627"/>
        <s v="ORD-2383"/>
        <s v="ORD-1419"/>
        <s v="ORD-2596"/>
        <s v="ORD-2507"/>
        <s v="ORD-1793"/>
        <s v="ORD-1697"/>
        <s v="ORD-2516"/>
        <s v="ORD-2904"/>
        <s v="ORD-2652"/>
        <s v="ORD-1153"/>
        <s v="ORD-2882"/>
        <s v="ORD-1235"/>
        <s v="ORD-1283"/>
        <s v="ORD-2847"/>
        <s v="ORD-2206"/>
        <s v="ORD-2431"/>
        <s v="ORD-1877"/>
        <s v="ORD-2075"/>
        <s v="ORD-1190"/>
        <s v="ORD-1738"/>
        <s v="ORD-2811"/>
        <s v="ORD-1375"/>
        <s v="ORD-2499"/>
        <s v="ORD-2041"/>
        <s v="ORD-2678"/>
        <s v="ORD-1122"/>
        <s v="ORD-1942"/>
        <s v="ORD-1860"/>
        <s v="ORD-2186"/>
        <s v="ORD-1563"/>
        <s v="ORD-1453"/>
        <s v="ORD-2150"/>
        <s v="ORD-1206"/>
        <s v="ORD-1109"/>
        <s v="ORD-2042"/>
        <s v="ORD-2531"/>
        <s v="ORD-2046"/>
        <s v="ORD-2763"/>
        <s v="ORD-2219"/>
        <s v="ORD-2261"/>
        <s v="ORD-2508"/>
        <s v="ORD-1308"/>
        <s v="ORD-2685"/>
        <s v="ORD-1356"/>
        <s v="ORD-2303"/>
        <s v="ORD-2886"/>
        <s v="ORD-1149"/>
        <s v="ORD-1107"/>
        <s v="ORD-2765"/>
        <s v="ORD-1525"/>
        <s v="ORD-2751"/>
        <s v="ORD-2754"/>
        <s v="ORD-2252"/>
        <s v="ORD-2063"/>
        <s v="ORD-2387"/>
        <s v="ORD-1518"/>
        <s v="ORD-2977"/>
        <s v="ORD-2908"/>
        <s v="ORD-2385"/>
        <s v="ORD-2923"/>
        <s v="ORD-1228"/>
        <s v="ORD-2862"/>
        <s v="ORD-1344"/>
        <s v="ORD-1888"/>
        <s v="ORD-1464"/>
        <s v="ORD-1309"/>
        <s v="ORD-2717"/>
        <s v="ORD-1104"/>
        <s v="ORD-2873"/>
        <s v="ORD-2050"/>
        <s v="ORD-1796"/>
        <s v="ORD-2559"/>
        <s v="ORD-1178"/>
        <s v="ORD-1971"/>
        <s v="ORD-1437"/>
        <s v="ORD-2079"/>
        <s v="ORD-1222"/>
        <s v="ORD-2597"/>
        <s v="ORD-2938"/>
        <s v="ORD-2945"/>
        <s v="ORD-2331"/>
        <s v="ORD-2701"/>
        <s v="ORD-2343"/>
        <s v="ORD-2728"/>
        <s v="ORD-2947"/>
        <s v="ORD-1850"/>
        <s v="ORD-2812"/>
        <s v="ORD-1026"/>
        <s v="ORD-1241"/>
        <s v="ORD-1886"/>
        <s v="ORD-1013"/>
        <s v="ORD-1021"/>
        <s v="ORD-2008"/>
        <s v="ORD-1568"/>
        <s v="ORD-1566"/>
        <s v="ORD-1637"/>
        <s v="ORD-2600"/>
        <s v="ORD-2481"/>
        <s v="ORD-2272"/>
        <s v="ORD-2564"/>
        <s v="ORD-1105"/>
        <s v="ORD-1551"/>
        <s v="ORD-2929"/>
        <s v="ORD-1425"/>
        <s v="ORD-1072"/>
        <s v="ORD-2398"/>
        <s v="ORD-1321"/>
        <s v="ORD-2192"/>
        <s v="ORD-1803"/>
        <s v="ORD-2826"/>
        <s v="ORD-1100"/>
        <s v="ORD-1699"/>
        <s v="ORD-1410"/>
        <s v="ORD-1782"/>
        <s v="ORD-2122"/>
        <s v="ORD-2598"/>
        <s v="ORD-2996"/>
        <s v="ORD-2587"/>
        <s v="ORD-2829"/>
        <s v="ORD-1655"/>
        <s v="ORD-1169"/>
        <s v="ORD-1802"/>
        <s v="ORD-2818"/>
        <s v="ORD-2779"/>
        <s v="ORD-2857"/>
        <s v="ORD-1365"/>
        <s v="ORD-2485"/>
        <s v="ORD-2599"/>
        <s v="ORD-2302"/>
        <s v="ORD-2419"/>
        <s v="ORD-2726"/>
        <s v="ORD-2607"/>
        <s v="ORD-2034"/>
        <s v="ORD-2740"/>
        <s v="ORD-1548"/>
        <s v="ORD-1842"/>
        <s v="ORD-2673"/>
        <s v="ORD-2319"/>
        <s v="ORD-2346"/>
        <s v="ORD-2354"/>
        <s v="ORD-1652"/>
        <s v="ORD-2849"/>
        <s v="ORD-2112"/>
        <s v="ORD-1558"/>
        <s v="ORD-2410"/>
        <s v="ORD-2022"/>
        <s v="ORD-2712"/>
        <s v="ORD-2672"/>
        <s v="ORD-2027"/>
        <s v="ORD-1861"/>
        <s v="ORD-2067"/>
        <s v="ORD-1077"/>
        <s v="ORD-2933"/>
        <s v="ORD-1217"/>
        <s v="ORD-1489"/>
        <s v="ORD-2653"/>
        <s v="ORD-2772"/>
        <s v="ORD-2254"/>
        <s v="ORD-1054"/>
        <s v="ORD-2928"/>
        <s v="ORD-2193"/>
        <s v="ORD-1205"/>
        <s v="ORD-2180"/>
        <s v="ORD-1936"/>
        <s v="ORD-2681"/>
        <s v="ORD-2216"/>
        <s v="ORD-1601"/>
        <s v="ORD-2462"/>
        <s v="ORD-1651"/>
        <s v="ORD-2334"/>
        <s v="ORD-1501"/>
        <s v="ORD-2959"/>
        <s v="ORD-2810"/>
        <s v="ORD-2300"/>
        <s v="ORD-2604"/>
        <s v="ORD-2585"/>
        <s v="ORD-1455"/>
        <s v="ORD-1890"/>
        <s v="ORD-1564"/>
        <s v="ORD-1536"/>
        <s v="ORD-1256"/>
        <s v="ORD-2864"/>
        <s v="ORD-2790"/>
        <s v="ORD-1477"/>
        <s v="ORD-2975"/>
        <s v="ORD-1098"/>
        <s v="ORD-2480"/>
        <s v="ORD-1295"/>
        <s v="ORD-1650"/>
        <s v="ORD-1623"/>
        <s v="ORD-2836"/>
        <s v="ORD-1075"/>
        <s v="ORD-2579"/>
        <s v="ORD-1182"/>
        <s v="ORD-2336"/>
        <s v="ORD-2766"/>
        <s v="ORD-1819"/>
        <s v="ORD-1194"/>
        <s v="ORD-1941"/>
        <s v="ORD-1969"/>
        <s v="ORD-2099"/>
        <s v="ORD-1743"/>
        <s v="ORD-1498"/>
        <s v="ORD-2970"/>
        <s v="ORD-2024"/>
        <s v="ORD-2511"/>
        <s v="ORD-1805"/>
        <s v="ORD-1027"/>
        <s v="ORD-1398"/>
        <s v="ORD-1577"/>
        <s v="ORD-2324"/>
        <s v="ORD-1724"/>
        <s v="ORD-1348"/>
        <s v="ORD-2275"/>
        <s v="ORD-1034"/>
        <s v="ORD-1154"/>
        <s v="ORD-2747"/>
        <s v="ORD-2612"/>
        <s v="ORD-1756"/>
        <s v="ORD-2705"/>
        <s v="ORD-2154"/>
        <s v="ORD-2447"/>
        <s v="ORD-2040"/>
        <s v="ORD-2533"/>
        <s v="ORD-1189"/>
        <s v="ORD-1729"/>
        <s v="ORD-2362"/>
        <s v="ORD-2955"/>
        <s v="ORD-1645"/>
        <s v="ORD-2855"/>
        <s v="ORD-2874"/>
        <s v="ORD-2084"/>
        <s v="ORD-2519"/>
        <s v="ORD-2762"/>
        <s v="ORD-2512"/>
        <s v="ORD-2220"/>
        <s v="ORD-2273"/>
        <s v="ORD-1989"/>
        <s v="ORD-1289"/>
        <s v="ORD-1610"/>
        <s v="ORD-1921"/>
        <s v="ORD-1732"/>
        <s v="ORD-2922"/>
        <s v="ORD-1720"/>
        <s v="ORD-1703"/>
        <s v="ORD-1452"/>
        <s v="ORD-1495"/>
        <s v="ORD-1132"/>
        <s v="ORD-2473"/>
        <s v="ORD-2895"/>
        <s v="ORD-2115"/>
        <s v="ORD-2663"/>
        <s v="ORD-2497"/>
        <s v="ORD-2913"/>
        <s v="ORD-1961"/>
        <s v="ORD-1318"/>
        <s v="ORD-2296"/>
        <s v="ORD-2218"/>
        <s v="ORD-1946"/>
        <s v="ORD-2646"/>
        <s v="ORD-1110"/>
        <s v="ORD-1716"/>
        <s v="ORD-2573"/>
        <s v="ORD-1353"/>
        <s v="ORD-1881"/>
        <s v="ORD-1996"/>
        <s v="ORD-1841"/>
        <s v="ORD-1639"/>
        <s v="ORD-2578"/>
        <s v="ORD-2488"/>
        <s v="ORD-1435"/>
        <s v="ORD-2586"/>
        <s v="ORD-1129"/>
        <s v="ORD-2298"/>
        <s v="ORD-1638"/>
        <s v="ORD-1633"/>
        <s v="ORD-2591"/>
        <s v="ORD-2648"/>
        <s v="ORD-2633"/>
        <s v="ORD-1776"/>
        <s v="ORD-1172"/>
        <s v="ORD-2725"/>
        <s v="ORD-2665"/>
        <s v="ORD-2952"/>
        <s v="ORD-2894"/>
        <s v="ORD-1943"/>
        <s v="ORD-1404"/>
        <s v="ORD-1294"/>
        <s v="ORD-2020"/>
        <s v="ORD-1691"/>
        <s v="ORD-2951"/>
        <s v="ORD-1922"/>
        <s v="ORD-2693"/>
        <s v="ORD-1491"/>
        <s v="ORD-1658"/>
        <s v="ORD-1959"/>
        <s v="ORD-1923"/>
        <s v="ORD-2341"/>
        <s v="ORD-2453"/>
        <s v="ORD-2868"/>
        <s v="ORD-1911"/>
        <s v="ORD-1096"/>
        <s v="ORD-2407"/>
        <s v="ORD-1135"/>
        <s v="ORD-1447"/>
        <s v="ORD-1713"/>
        <s v="ORD-2467"/>
        <s v="ORD-2819"/>
        <s v="ORD-1185"/>
        <s v="ORD-1915"/>
        <s v="ORD-2458"/>
        <s v="ORD-1158"/>
        <s v="ORD-2344"/>
        <s v="ORD-1029"/>
        <s v="ORD-2312"/>
        <s v="ORD-2841"/>
        <s v="ORD-2059"/>
        <s v="ORD-1416"/>
        <s v="ORD-2943"/>
        <s v="ORD-1430"/>
        <s v="ORD-1569"/>
        <s v="ORD-1445"/>
        <s v="ORD-2012"/>
        <s v="ORD-2190"/>
        <s v="ORD-2204"/>
        <s v="ORD-1372"/>
        <s v="ORD-1499"/>
        <s v="ORD-2669"/>
        <s v="ORD-2162"/>
        <s v="ORD-1571"/>
        <s v="ORD-2118"/>
        <s v="ORD-2047"/>
        <s v="ORD-2915"/>
        <s v="ORD-2460"/>
        <s v="ORD-2595"/>
        <s v="ORD-2898"/>
        <s v="ORD-1411"/>
        <s v="ORD-2095"/>
        <s v="ORD-1777"/>
        <s v="ORD-1461"/>
        <s v="ORD-2120"/>
        <s v="ORD-2440"/>
        <s v="ORD-1146"/>
        <s v="ORD-2340"/>
        <s v="ORD-2804"/>
        <s v="ORD-2492"/>
        <s v="ORD-2528"/>
        <s v="ORD-2392"/>
        <s v="ORD-2194"/>
        <s v="ORD-1048"/>
        <s v="ORD-1739"/>
        <s v="ORD-1131"/>
        <s v="ORD-1261"/>
        <s v="ORD-1512"/>
        <s v="ORD-2978"/>
        <s v="ORD-2009"/>
        <s v="ORD-2626"/>
        <s v="ORD-2897"/>
        <s v="ORD-1752"/>
        <s v="ORD-2443"/>
        <s v="ORD-2442"/>
        <s v="ORD-2624"/>
        <s v="ORD-2372"/>
        <s v="ORD-1912"/>
        <s v="ORD-1530"/>
        <s v="ORD-1508"/>
        <s v="ORD-2822"/>
        <s v="ORD-2320"/>
        <s v="ORD-2205"/>
        <s v="ORD-1864"/>
        <s v="ORD-1889"/>
        <s v="ORD-2432"/>
        <s v="ORD-1927"/>
        <s v="ORD-2565"/>
        <s v="ORD-1249"/>
        <s v="ORD-1509"/>
        <s v="ORD-1258"/>
        <s v="ORD-1705"/>
        <s v="ORD-2616"/>
        <s v="ORD-1809"/>
        <s v="ORD-2248"/>
        <s v="ORD-1245"/>
        <s v="ORD-1076"/>
        <s v="ORD-1127"/>
        <s v="ORD-2733"/>
        <s v="ORD-2963"/>
        <s v="ORD-2489"/>
        <s v="ORD-2159"/>
        <s v="ORD-1278"/>
        <s v="ORD-2839"/>
        <s v="ORD-2094"/>
        <s v="ORD-2225"/>
        <s v="ORD-2441"/>
        <s v="ORD-2103"/>
        <s v="ORD-1600"/>
        <s v="ORD-2582"/>
        <s v="ORD-2954"/>
        <s v="ORD-2517"/>
        <s v="ORD-2875"/>
        <s v="ORD-1949"/>
        <s v="ORD-2361"/>
        <s v="ORD-2884"/>
        <s v="ORD-1687"/>
        <s v="ORD-1045"/>
        <s v="ORD-2924"/>
        <s v="ORD-1529"/>
        <s v="ORD-1165"/>
        <s v="ORD-1329"/>
        <s v="ORD-1754"/>
        <s v="ORD-2137"/>
        <s v="ORD-1330"/>
        <s v="ORD-2155"/>
        <s v="ORD-2756"/>
        <s v="ORD-1788"/>
        <s v="ORD-1580"/>
        <s v="ORD-2964"/>
        <s v="ORD-1933"/>
        <s v="ORD-1251"/>
        <s v="ORD-2920"/>
        <s v="ORD-2178"/>
        <s v="ORD-2677"/>
        <s v="ORD-1786"/>
        <s v="ORD-2979"/>
        <s v="ORD-1542"/>
        <s v="ORD-1753"/>
        <s v="ORD-2408"/>
        <s v="ORD-1403"/>
        <s v="ORD-1067"/>
        <s v="ORD-1865"/>
        <s v="ORD-1816"/>
        <s v="ORD-1519"/>
        <s v="ORD-1192"/>
        <s v="ORD-1929"/>
        <s v="ORD-2794"/>
        <s v="ORD-2276"/>
        <s v="ORD-1253"/>
        <s v="ORD-1451"/>
        <s v="ORD-1319"/>
        <s v="ORD-1118"/>
        <s v="ORD-1918"/>
        <s v="ORD-2743"/>
        <s v="ORD-2680"/>
        <s v="ORD-2734"/>
        <s v="ORD-2170"/>
        <s v="ORD-1102"/>
        <s v="ORD-2226"/>
        <s v="ORD-1458"/>
        <s v="ORD-2655"/>
        <s v="ORD-2033"/>
        <s v="ORD-2264"/>
        <s v="ORD-2987"/>
        <s v="ORD-1814"/>
        <s v="ORD-2231"/>
        <s v="ORD-2452"/>
        <s v="ORD-2950"/>
        <s v="ORD-2019"/>
        <s v="ORD-1552"/>
        <s v="ORD-1759"/>
        <s v="ORD-1367"/>
        <s v="ORD-2686"/>
        <s v="ORD-1290"/>
        <s v="ORD-2463"/>
        <s v="ORD-1369"/>
        <s v="ORD-2735"/>
        <s v="ORD-2636"/>
        <s v="ORD-1904"/>
        <s v="ORD-1471"/>
        <s v="ORD-1050"/>
        <s v="ORD-2825"/>
        <s v="ORD-2037"/>
        <s v="ORD-1019"/>
        <s v="ORD-1389"/>
        <s v="ORD-2737"/>
        <s v="ORD-2746"/>
        <s v="ORD-2017"/>
        <s v="ORD-2317"/>
        <s v="ORD-2323"/>
        <s v="ORD-1977"/>
        <s v="ORD-2307"/>
        <s v="ORD-2674"/>
        <s v="ORD-2815"/>
        <s v="ORD-2695"/>
        <s v="ORD-1180"/>
        <s v="ORD-1972"/>
        <s v="ORD-1207"/>
        <s v="ORD-1522"/>
        <s v="ORD-2326"/>
        <s v="ORD-1599"/>
        <s v="ORD-1746"/>
        <s v="ORD-2926"/>
        <s v="ORD-1502"/>
        <s v="ORD-2631"/>
        <s v="ORD-1603"/>
        <s v="ORD-1042"/>
        <s v="ORD-2172"/>
        <s v="ORD-1714"/>
        <s v="ORD-1272"/>
        <s v="ORD-1572"/>
        <s v="ORD-2472"/>
        <s v="ORD-1223"/>
        <s v="ORD-1728"/>
        <s v="ORD-2610"/>
        <s v="ORD-1863"/>
        <s v="ORD-2146"/>
        <s v="ORD-2363"/>
        <s v="ORD-2424"/>
        <s v="ORD-2165"/>
        <s v="ORD-1758"/>
        <s v="ORD-1511"/>
        <s v="ORD-1700"/>
        <s v="ORD-1521"/>
        <s v="ORD-2364"/>
        <s v="ORD-1597"/>
        <s v="ORD-2831"/>
        <s v="ORD-1163"/>
        <s v="ORD-2668"/>
        <s v="ORD-2191"/>
        <s v="ORD-1620"/>
        <s v="ORD-1341"/>
        <s v="ORD-2844"/>
        <s v="ORD-1304"/>
        <s v="ORD-2632"/>
        <s v="ORD-1944"/>
        <s v="ORD-2125"/>
        <s v="ORD-2164"/>
        <s v="ORD-2816"/>
        <s v="ORD-1061"/>
        <s v="ORD-2133"/>
        <s v="ORD-2035"/>
        <s v="ORD-1148"/>
        <s v="ORD-2760"/>
        <s v="ORD-1032"/>
        <s v="ORD-2003"/>
        <s v="ORD-2859"/>
        <s v="ORD-1297"/>
        <s v="ORD-2562"/>
        <s v="ORD-2580"/>
        <s v="ORD-1595"/>
        <s v="ORD-2376"/>
        <s v="ORD-2309"/>
        <s v="ORD-2339"/>
        <s v="ORD-1991"/>
        <s v="ORD-1827"/>
        <s v="ORD-2605"/>
        <s v="ORD-1715"/>
        <s v="ORD-1626"/>
        <s v="ORD-1383"/>
        <s v="ORD-1583"/>
        <s v="ORD-1993"/>
        <s v="ORD-2661"/>
        <s v="ORD-2941"/>
        <s v="ORD-2980"/>
        <s v="ORD-2900"/>
        <s v="ORD-2111"/>
        <s v="ORD-1701"/>
        <s v="ORD-1274"/>
        <s v="ORD-2784"/>
        <s v="ORD-1967"/>
        <s v="ORD-2207"/>
        <s v="ORD-1771"/>
        <s v="ORD-1302"/>
        <s v="ORD-1581"/>
        <s v="ORD-1935"/>
        <s v="ORD-1006"/>
        <s v="ORD-1254"/>
        <s v="ORD-1305"/>
        <s v="ORD-2749"/>
        <s v="ORD-1785"/>
        <s v="ORD-1143"/>
        <s v="ORD-1903"/>
        <s v="ORD-2560"/>
        <s v="ORD-1326"/>
        <s v="ORD-1095"/>
        <s v="ORD-2808"/>
        <s v="ORD-1895"/>
        <s v="ORD-1200"/>
        <s v="ORD-1444"/>
        <s v="ORD-1417"/>
        <s v="ORD-2538"/>
        <s v="ORD-1270"/>
        <s v="ORD-2537"/>
        <s v="ORD-1316"/>
        <s v="ORD-1476"/>
        <s v="ORD-1868"/>
        <s v="ORD-1585"/>
        <s v="ORD-1183"/>
        <s v="ORD-2666"/>
        <s v="ORD-2613"/>
        <s v="ORD-2551"/>
        <s v="ORD-1704"/>
        <s v="ORD-2541"/>
        <s v="ORD-1537"/>
        <s v="ORD-2435"/>
        <s v="ORD-1008"/>
        <s v="ORD-2076"/>
        <s v="ORD-1608"/>
        <s v="ORD-1737"/>
        <s v="ORD-1893"/>
        <s v="ORD-2456"/>
        <s v="ORD-1504"/>
        <s v="ORD-1351"/>
        <s v="ORD-1554"/>
        <s v="ORD-1401"/>
        <s v="ORD-2152"/>
        <s v="ORD-2215"/>
        <s v="ORD-1741"/>
        <s v="ORD-2263"/>
        <s v="ORD-1025"/>
        <s v="ORD-2474"/>
        <s v="ORD-1293"/>
        <s v="ORD-2606"/>
        <s v="ORD-2057"/>
        <s v="ORD-2313"/>
        <s v="ORD-2199"/>
        <s v="ORD-2513"/>
        <s v="ORD-2141"/>
        <s v="ORD-2260"/>
        <s v="ORD-1047"/>
        <s v="ORD-2890"/>
        <s v="ORD-1323"/>
        <s v="ORD-2402"/>
        <s v="ORD-1065"/>
        <s v="ORD-1733"/>
        <s v="ORD-2056"/>
        <s v="ORD-2783"/>
        <s v="ORD-1798"/>
        <s v="ORD-1616"/>
        <s v="ORD-1277"/>
        <s v="ORD-1299"/>
        <s v="ORD-1957"/>
        <s v="ORD-2060"/>
        <s v="ORD-2976"/>
        <s v="ORD-2842"/>
        <s v="ORD-2279"/>
        <s v="ORD-2176"/>
        <s v="ORD-1545"/>
        <s v="ORD-2021"/>
        <s v="ORD-2311"/>
        <s v="ORD-2157"/>
        <s v="ORD-2965"/>
        <s v="ORD-1352"/>
        <s v="ORD-1653"/>
        <s v="ORD-1478"/>
        <s v="ORD-2569"/>
        <s v="ORD-2732"/>
        <s v="ORD-1622"/>
        <s v="ORD-2860"/>
        <s v="ORD-2333"/>
        <s v="ORD-1813"/>
        <s v="ORD-2469"/>
        <s v="ORD-1227"/>
        <s v="ORD-1128"/>
        <s v="ORD-1097"/>
        <s v="ORD-2090"/>
        <s v="ORD-2727"/>
        <s v="ORD-2479"/>
        <s v="ORD-2949"/>
        <s v="ORD-1590"/>
        <s v="ORD-1593"/>
        <s v="ORD-1669"/>
        <s v="ORD-1876"/>
        <s v="ORD-1663"/>
        <s v="ORD-2038"/>
        <s v="ORD-2776"/>
        <s v="ORD-1815"/>
        <s v="ORD-1386"/>
        <s v="ORD-1485"/>
        <s v="ORD-1992"/>
        <s v="ORD-2088"/>
        <s v="ORD-2546"/>
        <s v="ORD-2401"/>
        <s v="ORD-1266"/>
        <s v="ORD-2691"/>
        <s v="ORD-1690"/>
        <s v="ORD-2140"/>
        <s v="ORD-1666"/>
        <s v="ORD-2330"/>
        <s v="ORD-2981"/>
        <s v="ORD-1212"/>
        <s v="ORD-2835"/>
        <s v="ORD-2096"/>
        <s v="ORD-1748"/>
        <s v="ORD-2775"/>
        <s v="ORD-1120"/>
        <s v="ORD-1134"/>
        <s v="ORD-2068"/>
        <s v="ORD-2412"/>
        <s v="ORD-2198"/>
        <s v="ORD-1956"/>
        <s v="ORD-2780"/>
        <s v="ORD-2145"/>
        <s v="ORD-2667"/>
        <s v="ORD-1426"/>
        <s v="ORD-2350"/>
        <s v="ORD-1176"/>
        <s v="ORD-2214"/>
        <s v="ORD-2572"/>
        <s v="ORD-2711"/>
        <s v="ORD-2571"/>
        <s v="ORD-1928"/>
        <s v="ORD-2228"/>
        <s v="ORD-1513"/>
        <s v="ORD-1740"/>
        <s v="ORD-2921"/>
        <s v="ORD-1069"/>
        <s v="ORD-2718"/>
        <s v="ORD-2689"/>
        <s v="ORD-2771"/>
        <s v="ORD-1479"/>
        <s v="ORD-1159"/>
        <s v="ORD-1867"/>
        <s v="ORD-1628"/>
        <s v="ORD-1142"/>
        <s v="ORD-1567"/>
        <s v="ORD-1012"/>
        <s v="ORD-2739"/>
        <s v="ORD-2640"/>
        <s v="ORD-1605"/>
        <s v="ORD-1492"/>
        <s v="ORD-1439"/>
        <s v="ORD-1694"/>
        <s v="ORD-2109"/>
        <s v="ORD-2070"/>
        <s v="ORD-1963"/>
        <s v="ORD-2647"/>
        <s v="ORD-2475"/>
        <s v="ORD-2995"/>
        <s v="ORD-1071"/>
        <s v="ORD-1030"/>
        <s v="ORD-1630"/>
        <s v="ORD-1745"/>
        <s v="ORD-1068"/>
        <s v="ORD-1565"/>
        <s v="ORD-2777"/>
        <s v="ORD-2614"/>
        <s v="ORD-2061"/>
        <s v="ORD-2971"/>
        <s v="ORD-1084"/>
        <s v="ORD-1088"/>
        <s v="ORD-2201"/>
        <s v="ORD-1053"/>
        <s v="ORD-1952"/>
        <s v="ORD-1020"/>
        <s v="ORD-1202"/>
        <s v="ORD-1636"/>
        <s v="ORD-2188"/>
        <s v="ORD-1059"/>
        <s v="ORD-1322"/>
        <s v="ORD-1681"/>
        <s v="ORD-2786"/>
        <s v="ORD-1388"/>
        <s v="ORD-1901"/>
        <s v="ORD-1070"/>
        <s v="ORD-2792"/>
        <s v="ORD-2635"/>
        <s v="ORD-2428"/>
        <s v="ORD-2998"/>
        <s v="ORD-2438"/>
        <s v="ORD-1167"/>
        <s v="ORD-1751"/>
        <s v="ORD-2590"/>
        <s v="ORD-2617"/>
        <s v="ORD-1649"/>
        <s v="ORD-2327"/>
        <s v="ORD-1656"/>
        <s v="ORD-1236"/>
        <s v="ORD-2203"/>
        <s v="ORD-2368"/>
        <s v="ORD-1727"/>
        <s v="ORD-1856"/>
        <s v="ORD-2379"/>
        <s v="ORD-2449"/>
        <s v="ORD-1484"/>
        <s v="ORD-1869"/>
        <s v="ORD-1905"/>
        <s v="ORD-1726"/>
        <s v="ORD-1281"/>
        <s v="ORD-1133"/>
        <s v="ORD-1288"/>
        <s v="ORD-1820"/>
        <s v="ORD-1273"/>
        <s v="ORD-2574"/>
        <s v="ORD-1091"/>
        <s v="ORD-2049"/>
        <s v="ORD-1857"/>
        <s v="ORD-1017"/>
        <s v="ORD-1007"/>
        <s v="ORD-1412"/>
        <s v="ORD-1046"/>
        <s v="ORD-1018"/>
        <s v="ORD-2791"/>
        <s v="ORD-1763"/>
        <s v="ORD-1188"/>
        <s v="ORD-2972"/>
        <s v="ORD-1749"/>
        <s v="ORD-2863"/>
        <s v="ORD-1060"/>
        <s v="ORD-1717"/>
        <s v="ORD-1539"/>
        <s v="ORD-1526"/>
        <s v="ORD-1625"/>
        <s v="ORD-2885"/>
        <s v="ORD-2347"/>
        <s v="ORD-1429"/>
        <s v="ORD-1773"/>
        <s v="ORD-2534"/>
        <s v="ORD-1456"/>
        <s v="ORD-1695"/>
        <s v="ORD-1866"/>
        <s v="ORD-2380"/>
        <s v="ORD-1291"/>
        <s v="ORD-1871"/>
        <s v="ORD-2173"/>
        <s v="ORD-1834"/>
        <s v="ORD-1427"/>
        <s v="ORD-1682"/>
        <s v="ORD-2179"/>
        <s v="ORD-2909"/>
        <s v="ORD-2148"/>
        <s v="ORD-1280"/>
        <s v="ORD-2757"/>
        <s v="ORD-1955"/>
        <s v="ORD-1334"/>
        <s v="ORD-1562"/>
        <s v="ORD-2543"/>
        <s v="ORD-1873"/>
        <s v="ORD-1382"/>
        <s v="ORD-1908"/>
        <s v="ORD-2210"/>
        <s v="ORD-2554"/>
        <s v="ORD-1440"/>
        <s v="ORD-2736"/>
        <s v="ORD-2365"/>
        <s v="ORD-1037"/>
        <s v="ORD-1673"/>
        <s v="ORD-2535"/>
        <s v="ORD-2679"/>
        <s v="ORD-2321"/>
        <s v="ORD-1906"/>
        <s v="ORD-2071"/>
        <s v="ORD-1101"/>
        <s v="ORD-2820"/>
        <s v="ORD-2696"/>
        <s v="ORD-2446"/>
        <s v="ORD-1557"/>
        <s v="ORD-2985"/>
        <s v="ORD-1409"/>
        <s v="ORD-2997"/>
        <s v="ORD-2709"/>
        <s v="ORD-1811"/>
        <s v="ORD-1780"/>
        <s v="ORD-1242"/>
        <s v="ORD-2083"/>
        <s v="ORD-1414"/>
        <s v="ORD-2406"/>
        <s v="ORD-1402"/>
        <s v="ORD-2426"/>
        <s v="ORD-2570"/>
        <s v="ORD-1970"/>
        <s v="ORD-1115"/>
        <s v="ORD-1408"/>
        <s v="ORD-2914"/>
        <s v="ORD-2767"/>
        <s v="ORD-1855"/>
        <s v="ORD-1678"/>
        <s v="ORD-1707"/>
        <s v="ORD-1829"/>
        <s v="ORD-2896"/>
        <s v="ORD-1723"/>
        <s v="ORD-1314"/>
        <s v="ORD-2391"/>
        <s v="ORD-1130"/>
        <s v="ORD-2567"/>
        <s v="ORD-2328"/>
        <s v="ORD-1831"/>
        <s v="ORD-2212"/>
        <s v="ORD-1775"/>
        <s v="ORD-2753"/>
        <s v="ORD-2637"/>
        <s v="ORD-2169"/>
        <s v="ORD-1331"/>
        <s v="ORD-2906"/>
        <s v="ORD-2007"/>
        <s v="ORD-1643"/>
        <s v="ORD-1783"/>
        <s v="ORD-2530"/>
        <s v="ORD-2683"/>
        <s v="ORD-2798"/>
        <s v="ORD-1325"/>
        <s v="ORD-1395"/>
        <s v="ORD-2602"/>
        <s v="ORD-1596"/>
        <s v="ORD-2956"/>
        <s v="ORD-1958"/>
        <s v="ORD-2498"/>
        <s v="ORD-1843"/>
        <s v="ORD-1693"/>
        <s v="ORD-1003"/>
        <s v="ORD-2058"/>
        <s v="ORD-2348"/>
        <s v="ORD-2905"/>
        <s v="ORD-2907"/>
        <s v="ORD-2108"/>
        <s v="ORD-2687"/>
        <s v="ORD-2910"/>
        <s v="ORD-2357"/>
        <s v="ORD-2353"/>
        <s v="ORD-2748"/>
        <s v="ORD-2265"/>
        <s v="ORD-1543"/>
        <s v="ORD-1680"/>
        <s v="ORD-2483"/>
        <s v="ORD-2232"/>
        <s v="ORD-2078"/>
        <s v="ORD-2745"/>
        <s v="ORD-2106"/>
        <s v="ORD-1187"/>
        <s v="ORD-1515"/>
        <s v="ORD-2558"/>
        <s v="ORD-2185"/>
        <s v="ORD-1978"/>
        <s v="ORD-2501"/>
        <s v="ORD-2805"/>
        <s v="ORD-1784"/>
        <s v="ORD-1287"/>
        <s v="ORD-2888"/>
        <s v="ORD-1708"/>
        <s v="ORD-2704"/>
        <s v="ORD-2031"/>
        <s v="ORD-1556"/>
        <s v="ORD-2062"/>
        <s v="ORD-2999"/>
        <s v="ORD-1490"/>
        <s v="ORD-1394"/>
        <s v="ORD-1407"/>
        <s v="ORD-1240"/>
        <s v="ORD-1582"/>
        <s v="ORD-1112"/>
        <s v="ORD-2549"/>
        <s v="ORD-1774"/>
        <s v="ORD-2299"/>
        <s v="ORD-2174"/>
        <s v="ORD-1379"/>
        <s v="ORD-2182"/>
        <s v="ORD-2039"/>
        <s v="ORD-2550"/>
        <s v="ORD-1010"/>
        <s v="ORD-2990"/>
        <s v="ORD-2227"/>
        <s v="ORD-2992"/>
        <s v="ORD-1858"/>
        <s v="ORD-2423"/>
        <s v="ORD-1074"/>
        <s v="ORD-2755"/>
        <s v="ORD-2237"/>
        <s v="ORD-2994"/>
        <s v="ORD-2025"/>
        <s v="ORD-2991"/>
        <s v="ORD-2293"/>
        <s v="ORD-1757"/>
        <s v="ORD-1345"/>
        <s v="ORD-2788"/>
        <s v="ORD-1248"/>
        <s v="ORD-2524"/>
        <s v="ORD-1586"/>
        <s v="ORD-2793"/>
        <s v="ORD-2852"/>
        <s v="ORD-1221"/>
        <s v="ORD-2464"/>
        <s v="ORD-2919"/>
        <s v="ORD-1880"/>
        <s v="ORD-2032"/>
        <s v="ORD-2699"/>
        <s v="ORD-2813"/>
        <s v="ORD-1951"/>
        <s v="ORD-2373"/>
        <s v="ORD-1138"/>
        <s v="ORD-1924"/>
        <s v="ORD-1902"/>
        <s v="ORD-2796"/>
        <s v="ORD-1962"/>
        <s v="ORD-1614"/>
        <s v="ORD-1696"/>
        <s v="ORD-2167"/>
        <s v="ORD-2238"/>
        <s v="ORD-1481"/>
        <s v="ORD-1264"/>
        <s v="ORD-1376"/>
        <s v="ORD-1531"/>
        <s v="ORD-1837"/>
        <s v="ORD-1988"/>
        <s v="ORD-1357"/>
        <s v="ORD-1117"/>
        <s v="ORD-1196"/>
        <s v="ORD-2113"/>
        <s v="ORD-2239"/>
        <s v="ORD-2698"/>
        <s v="ORD-1853"/>
        <s v="ORD-2018"/>
        <s v="ORD-2329"/>
        <s v="ORD-2310"/>
        <s v="ORD-1897"/>
        <s v="ORD-2671"/>
        <s v="ORD-2085"/>
        <s v="ORD-2843"/>
        <s v="ORD-2081"/>
        <s v="ORD-1028"/>
        <s v="ORD-1611"/>
        <s v="ORD-2494"/>
        <s v="ORD-1710"/>
        <s v="ORD-2451"/>
        <s v="ORD-2065"/>
        <s v="ORD-2510"/>
        <s v="ORD-2404"/>
        <s v="ORD-1292"/>
        <s v="ORD-2454"/>
        <s v="ORD-2934"/>
        <s v="ORD-1066"/>
        <s v="ORD-2229"/>
        <s v="ORD-1503"/>
        <s v="ORD-2325"/>
        <s v="ORD-2253"/>
        <s v="ORD-2195"/>
        <s v="ORD-2461"/>
        <s v="ORD-2877"/>
        <s v="ORD-1056"/>
        <s v="ORD-1553"/>
        <s v="ORD-1882"/>
        <s v="ORD-2782"/>
        <s v="ORD-1794"/>
        <s v="ORD-2470"/>
        <s v="ORD-2349"/>
        <s v="ORD-2797"/>
        <s v="ORD-2750"/>
        <s v="ORD-2314"/>
        <s v="ORD-2960"/>
        <s v="ORD-2644"/>
        <s v="ORD-1486"/>
        <s v="ORD-1340"/>
        <s v="ORD-2881"/>
        <s v="ORD-2126"/>
        <s v="ORD-1011"/>
        <s v="ORD-2622"/>
        <s v="ORD-1350"/>
        <s v="ORD-2436"/>
        <s v="ORD-2026"/>
        <s v="ORD-1086"/>
        <s v="ORD-2163"/>
        <s v="ORD-2411"/>
        <s v="ORD-1055"/>
        <s v="ORD-1879"/>
        <s v="ORD-1954"/>
        <s v="ORD-2016"/>
        <s v="ORD-1244"/>
        <s v="ORD-1584"/>
        <s v="ORD-1618"/>
        <s v="ORD-2651"/>
        <s v="ORD-1108"/>
        <s v="ORD-2581"/>
        <s v="ORD-2134"/>
        <s v="ORD-2234"/>
        <s v="ORD-2589"/>
        <s v="ORD-2002"/>
        <s v="ORD-1078"/>
        <s v="ORD-1083"/>
        <s v="ORD-1418"/>
        <s v="ORD-2395"/>
        <s v="ORD-2213"/>
        <s v="ORD-2415"/>
        <s v="ORD-1505"/>
        <s v="ORD-1177"/>
        <s v="ORD-2246"/>
        <s v="ORD-2911"/>
        <s v="ORD-1442"/>
        <s v="ORD-2370"/>
        <s v="ORD-2345"/>
        <s v="ORD-2650"/>
        <s v="ORD-2445"/>
        <s v="ORD-2707"/>
        <s v="ORD-1276"/>
        <s v="ORD-1767"/>
        <s v="ORD-2316"/>
        <s v="ORD-1380"/>
        <s v="ORD-1945"/>
        <s v="ORD-1540"/>
        <s v="ORD-1466"/>
        <s v="ORD-2416"/>
        <s v="ORD-2688"/>
        <s v="ORD-2761"/>
        <s v="ORD-1014"/>
        <s v="ORD-2918"/>
        <s v="ORD-1193"/>
        <s v="ORD-2758"/>
        <s v="ORD-1136"/>
        <s v="ORD-1413"/>
        <s v="ORD-1229"/>
        <s v="ORD-2369"/>
        <s v="ORD-2588"/>
        <s v="ORD-1808"/>
        <s v="ORD-1482"/>
        <s v="ORD-1230"/>
        <s v="ORD-2209"/>
        <s v="ORD-2706"/>
        <s v="ORD-2036"/>
        <s v="ORD-1948"/>
        <s v="ORD-2077"/>
        <s v="ORD-1475"/>
        <s v="ORD-1265"/>
        <s v="ORD-1830"/>
        <s v="ORD-1840"/>
        <s v="ORD-1396"/>
        <s v="ORD-1804"/>
        <s v="ORD-2202"/>
        <s v="ORD-2055"/>
        <s v="ORD-2136"/>
        <s v="ORD-2738"/>
        <s v="ORD-2506"/>
        <s v="ORD-1405"/>
        <s v="ORD-1528"/>
        <s v="ORD-2332"/>
        <s v="ORD-2615"/>
        <s v="ORD-1137"/>
        <s v="ORD-2294"/>
        <s v="ORD-1761"/>
        <s v="ORD-1151"/>
        <s v="ORD-2097"/>
        <s v="ORD-2821"/>
        <s v="ORD-2694"/>
        <s v="ORD-2250"/>
        <s v="ORD-1371"/>
        <s v="ORD-1533"/>
        <s v="ORD-1303"/>
        <s v="ORD-2091"/>
        <s v="ORD-1035"/>
        <s v="ORD-1268"/>
        <s v="ORD-1909"/>
        <s v="ORD-1197"/>
        <s v="ORD-1709"/>
        <s v="ORD-2000"/>
        <s v="ORD-1041"/>
        <s v="ORD-2389"/>
        <s v="ORD-2889"/>
        <s v="ORD-1670"/>
        <s v="ORD-2171"/>
        <s v="ORD-2973"/>
        <s v="ORD-2611"/>
        <s v="ORD-2801"/>
        <s v="ORD-2768"/>
        <s v="ORD-1544"/>
        <s v="ORD-2500"/>
        <s v="ORD-1150"/>
        <s v="ORD-1024"/>
        <s v="ORD-2030"/>
        <s v="ORD-2891"/>
        <s v="ORD-1363"/>
        <s v="ORD-1725"/>
        <s v="ORD-1987"/>
        <s v="ORD-1646"/>
        <s v="ORD-2700"/>
        <s v="ORD-2289"/>
        <s v="ORD-1684"/>
        <s v="ORD-1422"/>
        <s v="ORD-1817"/>
        <s v="ORD-2418"/>
        <s v="ORD-1085"/>
        <s v="ORD-2240"/>
        <s v="ORD-2484"/>
        <s v="ORD-1092"/>
        <s v="ORD-2221"/>
        <s v="ORD-1736"/>
        <s v="ORD-2883"/>
        <s v="ORD-1373"/>
        <s v="ORD-2620"/>
        <s v="ORD-1799"/>
        <s v="ORD-1166"/>
        <s v="ORD-2459"/>
        <s v="ORD-2592"/>
        <s v="ORD-2993"/>
        <s v="ORD-1789"/>
        <s v="ORD-1974"/>
        <s v="ORD-1145"/>
        <s v="ORD-1275"/>
        <s v="ORD-1617"/>
        <s v="ORD-2526"/>
        <s v="ORD-1953"/>
        <s v="ORD-1975"/>
        <s v="ORD-2682"/>
        <s v="ORD-2773"/>
        <s v="ORD-2001"/>
        <s v="ORD-1179"/>
        <s v="ORD-2722"/>
        <s v="ORD-1997"/>
        <s v="ORD-2803"/>
        <s v="ORD-2044"/>
        <s v="ORD-1939"/>
        <s v="ORD-1450"/>
        <s v="ORD-1164"/>
        <s v="ORD-1549"/>
        <s v="ORD-1385"/>
        <s v="ORD-1468"/>
        <s v="ORD-1064"/>
        <s v="ORD-1730"/>
        <s v="ORD-2939"/>
        <s v="ORD-2552"/>
        <s v="ORD-1457"/>
        <s v="ORD-1760"/>
        <s v="ORD-1527"/>
        <s v="ORD-2123"/>
        <s v="ORD-1998"/>
        <s v="ORD-1966"/>
        <s v="ORD-1360"/>
        <s v="ORD-1263"/>
        <s v="ORD-1550"/>
        <s v="ORD-1570"/>
        <s v="ORD-2542"/>
        <s v="ORD-1204"/>
        <s v="ORD-1355"/>
        <s v="ORD-1473"/>
        <s v="ORD-2832"/>
        <s v="ORD-2285"/>
        <s v="ORD-2878"/>
        <s v="ORD-2147"/>
        <s v="ORD-1033"/>
        <s v="ORD-2515"/>
        <s v="ORD-2257"/>
        <s v="ORD-1391"/>
        <s v="ORD-1795"/>
        <s v="ORD-1393"/>
        <s v="ORD-1801"/>
        <s v="ORD-2158"/>
        <s v="ORD-2132"/>
        <s v="ORD-1792"/>
        <s v="ORD-1113"/>
        <s v="ORD-2102"/>
        <s v="ORD-1875"/>
        <s v="ORD-1470"/>
        <s v="ORD-2486"/>
        <s v="ORD-1377"/>
        <s v="ORD-2130"/>
        <s v="ORD-1001"/>
        <s v="ORD-2098"/>
        <s v="ORD-1140"/>
        <s v="ORD-1103"/>
        <s v="ORD-1718"/>
        <s v="ORD-1779"/>
        <s v="ORD-1161"/>
        <s v="ORD-1428"/>
        <s v="ORD-1546"/>
        <s v="ORD-2649"/>
        <s v="ORD-2609"/>
        <s v="ORD-2277"/>
        <s v="ORD-1374"/>
        <s v="ORD-2089"/>
        <s v="ORD-1674"/>
        <s v="ORD-2444"/>
        <s v="ORD-2865"/>
        <s v="ORD-2720"/>
        <s v="ORD-2281"/>
        <s v="ORD-2335"/>
        <s v="ORD-2381"/>
        <s v="ORD-2953"/>
        <s v="ORD-1421"/>
        <s v="ORD-1469"/>
        <s v="ORD-1589"/>
        <s v="ORD-1982"/>
        <s v="ORD-2230"/>
        <s v="ORD-2946"/>
        <s v="ORD-2318"/>
        <s v="ORD-2352"/>
        <s v="ORD-2288"/>
        <s v="ORD-1688"/>
        <s v="ORD-2684"/>
        <s v="ORD-2502"/>
        <s v="ORD-2397"/>
        <s v="ORD-1965"/>
        <s v="ORD-1432"/>
        <s v="ORD-1604"/>
        <s v="ORD-1750"/>
        <s v="ORD-1940"/>
        <s v="ORD-1931"/>
        <s v="ORD-1770"/>
        <s v="ORD-2824"/>
        <s v="ORD-2575"/>
        <s v="ORD-1874"/>
        <s v="ORD-2744"/>
        <s v="ORD-1243"/>
        <s v="ORD-1900"/>
        <s v="ORD-2028"/>
        <s v="ORD-1925"/>
        <s v="ORD-2048"/>
        <s v="ORD-2427"/>
        <s v="ORD-1210"/>
        <s v="ORD-1052"/>
        <s v="ORD-2925"/>
      </sharedItems>
    </cacheField>
    <cacheField name="Date" numFmtId="0">
      <sharedItems containsMixedTypes="1" containsNumber="1" containsInteger="1" minValue="46023" maxValue="46368" count="363">
        <s v="9/30/2026"/>
        <s v="9/29/2026"/>
        <s v="9/28/2026"/>
        <s v="9/27/2026"/>
        <s v="9/26/2026"/>
        <s v="9/25/2026"/>
        <s v="9/24/2026"/>
        <s v="9/23/2026"/>
        <s v="9/22/2026"/>
        <s v="9/21/2026"/>
        <s v="9/20/2026"/>
        <s v="9/19/2026"/>
        <s v="9/18/2026"/>
        <s v="9/17/2026"/>
        <s v="9/16/2026"/>
        <s v="9/15/2026"/>
        <s v="9/14/2026"/>
        <s v="9/13/2026"/>
        <s v="8/31/2026"/>
        <s v="8/30/2026"/>
        <s v="8/29/2026"/>
        <s v="8/28/2026"/>
        <s v="8/27/2026"/>
        <s v="8/26/2026"/>
        <s v="8/25/2026"/>
        <s v="8/24/2026"/>
        <s v="8/23/2026"/>
        <s v="8/22/2026"/>
        <s v="8/21/2026"/>
        <s v="8/20/2026"/>
        <s v="8/19/2026"/>
        <s v="8/18/2026"/>
        <s v="8/17/2026"/>
        <s v="8/16/2026"/>
        <s v="8/15/2026"/>
        <s v="8/14/2026"/>
        <s v="8/13/2026"/>
        <s v="7/31/2026"/>
        <s v="7/30/2026"/>
        <s v="7/29/2026"/>
        <s v="7/28/2026"/>
        <s v="7/27/2026"/>
        <s v="7/26/2026"/>
        <s v="7/25/2026"/>
        <s v="7/24/2026"/>
        <s v="7/23/2026"/>
        <s v="7/22/2026"/>
        <s v="7/21/2026"/>
        <s v="7/20/2026"/>
        <s v="7/19/2026"/>
        <s v="7/18/2026"/>
        <s v="7/17/2026"/>
        <s v="7/16/2026"/>
        <s v="7/15/2026"/>
        <s v="7/14/2026"/>
        <s v="7/13/2026"/>
        <s v="6/30/2026"/>
        <s v="6/29/2026"/>
        <s v="6/28/2026"/>
        <s v="6/27/2026"/>
        <s v="6/26/2026"/>
        <s v="6/25/2026"/>
        <s v="6/24/2026"/>
        <s v="6/23/2026"/>
        <s v="6/22/2026"/>
        <s v="6/21/2026"/>
        <s v="6/20/2026"/>
        <s v="6/19/2026"/>
        <s v="6/18/2026"/>
        <s v="6/17/2026"/>
        <s v="6/16/2026"/>
        <s v="6/15/2026"/>
        <s v="6/14/2026"/>
        <s v="6/13/2026"/>
        <s v="5/31/2026"/>
        <s v="5/30/2026"/>
        <s v="5/29/2026"/>
        <s v="5/28/2026"/>
        <s v="5/27/2026"/>
        <s v="5/26/2026"/>
        <s v="5/25/2026"/>
        <s v="5/24/2026"/>
        <s v="5/23/2026"/>
        <s v="5/22/2026"/>
        <s v="5/21/2026"/>
        <s v="5/20/2026"/>
        <s v="5/19/2026"/>
        <s v="5/18/2026"/>
        <s v="5/17/2026"/>
        <s v="5/16/2026"/>
        <s v="5/15/2026"/>
        <s v="5/14/2026"/>
        <s v="5/13/2026"/>
        <s v="4/30/2026"/>
        <s v="4/29/2026"/>
        <s v="4/28/2026"/>
        <s v="4/27/2026"/>
        <s v="4/26/2026"/>
        <s v="4/25/2026"/>
        <s v="4/24/2026"/>
        <s v="4/23/2026"/>
        <s v="4/22/2026"/>
        <s v="4/21/2026"/>
        <s v="4/20/2026"/>
        <s v="4/19/2026"/>
        <s v="4/18/2026"/>
        <s v="4/17/2026"/>
        <s v="4/16/2026"/>
        <s v="4/15/2026"/>
        <s v="4/14/2026"/>
        <s v="4/13/2026"/>
        <s v="3/31/2026"/>
        <s v="3/30/2026"/>
        <s v="3/29/2026"/>
        <s v="3/28/2026"/>
        <s v="3/27/2026"/>
        <s v="3/26/2026"/>
        <s v="3/25/2026"/>
        <s v="3/24/2026"/>
        <s v="3/23/2026"/>
        <s v="3/22/2026"/>
        <s v="3/21/2026"/>
        <s v="3/20/2026"/>
        <s v="3/19/2026"/>
        <s v="3/18/2026"/>
        <s v="3/17/2026"/>
        <s v="3/16/2026"/>
        <s v="3/15/2026"/>
        <s v="3/14/2026"/>
        <s v="3/13/2026"/>
        <s v="2/28/2026"/>
        <s v="2/27/2026"/>
        <s v="2/26/2026"/>
        <s v="2/25/2026"/>
        <s v="2/24/2026"/>
        <s v="2/23/2026"/>
        <s v="2/22/2026"/>
        <s v="2/21/2026"/>
        <s v="2/20/2026"/>
        <s v="2/19/2026"/>
        <s v="2/18/2026"/>
        <s v="2/17/2026"/>
        <s v="2/16/2026"/>
        <s v="2/15/2026"/>
        <s v="2/14/2026"/>
        <s v="2/13/2026"/>
        <s v="12/31/2026"/>
        <s v="12/30/2026"/>
        <s v="12/29/2026"/>
        <s v="12/28/2026"/>
        <s v="12/27/2026"/>
        <s v="12/26/2026"/>
        <s v="12/25/2026"/>
        <s v="12/24/2026"/>
        <s v="12/23/2026"/>
        <s v="12/22/2026"/>
        <s v="12/21/2026"/>
        <s v="12/20/2026"/>
        <s v="12/19/2026"/>
        <s v="12/18/2026"/>
        <s v="12/17/2026"/>
        <s v="12/16/2026"/>
        <s v="12/15/2026"/>
        <s v="12/14/2026"/>
        <s v="12/13/2026"/>
        <s v="11/30/2026"/>
        <s v="11/29/2026"/>
        <s v="11/28/2026"/>
        <s v="11/27/2026"/>
        <s v="11/26/2026"/>
        <s v="11/25/2026"/>
        <s v="11/24/2026"/>
        <s v="11/23/2026"/>
        <s v="11/22/2026"/>
        <s v="11/21/2026"/>
        <s v="11/20/2026"/>
        <s v="11/19/2026"/>
        <s v="11/18/2026"/>
        <s v="11/17/2026"/>
        <s v="11/16/2026"/>
        <s v="11/15/2026"/>
        <s v="11/14/2026"/>
        <s v="11/13/2026"/>
        <s v="10/31/2026"/>
        <s v="10/30/2026"/>
        <s v="10/29/2026"/>
        <s v="10/28/2026"/>
        <s v="10/27/2026"/>
        <s v="10/26/2026"/>
        <s v="10/25/2026"/>
        <s v="10/24/2026"/>
        <s v="10/23/2026"/>
        <s v="10/22/2026"/>
        <s v="10/21/2026"/>
        <s v="10/20/2026"/>
        <s v="10/19/2026"/>
        <s v="10/18/2026"/>
        <s v="10/17/2026"/>
        <s v="10/16/2026"/>
        <s v="10/15/2026"/>
        <s v="10/14/2026"/>
        <s v="10/13/2026"/>
        <s v="1/31/2026"/>
        <s v="1/30/2026"/>
        <s v="1/28/2026"/>
        <s v="1/27/2026"/>
        <s v="1/26/2026"/>
        <s v="1/25/2026"/>
        <s v="1/24/2026"/>
        <s v="1/23/2026"/>
        <s v="1/22/2026"/>
        <s v="1/21/2026"/>
        <s v="1/20/2026"/>
        <s v="1/19/2026"/>
        <s v="1/18/2026"/>
        <s v="1/17/2026"/>
        <s v="1/16/2026"/>
        <s v="1/15/2026"/>
        <s v="1/14/2026"/>
        <s v="1/13/2026"/>
        <n v="46368"/>
        <n v="46367"/>
        <n v="46366"/>
        <n v="46365"/>
        <n v="46364"/>
        <n v="46363"/>
        <n v="46362"/>
        <n v="46361"/>
        <n v="46360"/>
        <n v="46359"/>
        <n v="46358"/>
        <n v="46357"/>
        <n v="46338"/>
        <n v="46337"/>
        <n v="46336"/>
        <n v="46335"/>
        <n v="46334"/>
        <n v="46333"/>
        <n v="46332"/>
        <n v="46331"/>
        <n v="46330"/>
        <n v="46329"/>
        <n v="46328"/>
        <n v="46327"/>
        <n v="46307"/>
        <n v="46306"/>
        <n v="46305"/>
        <n v="46304"/>
        <n v="46303"/>
        <n v="46302"/>
        <n v="46301"/>
        <n v="46300"/>
        <n v="46299"/>
        <n v="46298"/>
        <n v="46297"/>
        <n v="46296"/>
        <n v="46277"/>
        <n v="46276"/>
        <n v="46274"/>
        <n v="46273"/>
        <n v="46272"/>
        <n v="46271"/>
        <n v="46270"/>
        <n v="46269"/>
        <n v="46268"/>
        <n v="46267"/>
        <n v="46266"/>
        <n v="46246"/>
        <n v="46245"/>
        <n v="46244"/>
        <n v="46243"/>
        <n v="46242"/>
        <n v="46241"/>
        <n v="46240"/>
        <n v="46239"/>
        <n v="46238"/>
        <n v="46237"/>
        <n v="46236"/>
        <n v="46235"/>
        <n v="46215"/>
        <n v="46214"/>
        <n v="46213"/>
        <n v="46212"/>
        <n v="46211"/>
        <n v="46210"/>
        <n v="46209"/>
        <n v="46208"/>
        <n v="46207"/>
        <n v="46206"/>
        <n v="46205"/>
        <n v="46204"/>
        <n v="46185"/>
        <n v="46184"/>
        <n v="46183"/>
        <n v="46182"/>
        <n v="46181"/>
        <n v="46180"/>
        <n v="46179"/>
        <n v="46178"/>
        <n v="46177"/>
        <n v="46176"/>
        <n v="46175"/>
        <n v="46174"/>
        <n v="46154"/>
        <n v="46153"/>
        <n v="46152"/>
        <n v="46151"/>
        <n v="46150"/>
        <n v="46149"/>
        <n v="46148"/>
        <n v="46147"/>
        <n v="46146"/>
        <n v="46145"/>
        <n v="46144"/>
        <n v="46143"/>
        <n v="46124"/>
        <n v="46123"/>
        <n v="46122"/>
        <n v="46121"/>
        <n v="46120"/>
        <n v="46119"/>
        <n v="46118"/>
        <n v="46117"/>
        <n v="46116"/>
        <n v="46115"/>
        <n v="46114"/>
        <n v="46113"/>
        <n v="46093"/>
        <n v="46092"/>
        <n v="46091"/>
        <n v="46090"/>
        <n v="46089"/>
        <n v="46088"/>
        <n v="46087"/>
        <n v="46086"/>
        <n v="46085"/>
        <n v="46084"/>
        <n v="46083"/>
        <n v="46082"/>
        <n v="46065"/>
        <n v="46064"/>
        <n v="46063"/>
        <n v="46062"/>
        <n v="46061"/>
        <n v="46060"/>
        <n v="46059"/>
        <n v="46058"/>
        <n v="46057"/>
        <n v="46056"/>
        <n v="46055"/>
        <n v="46054"/>
        <n v="46034"/>
        <n v="46033"/>
        <n v="46032"/>
        <n v="46031"/>
        <n v="46030"/>
        <n v="46029"/>
        <n v="46028"/>
        <n v="46027"/>
        <n v="46026"/>
        <n v="46025"/>
        <n v="46024"/>
        <n v="46023"/>
      </sharedItems>
    </cacheField>
    <cacheField name="Region" numFmtId="0">
      <sharedItems count="5">
        <s v="East"/>
        <s v="South"/>
        <s v="West"/>
        <s v="North"/>
        <s v="Central"/>
      </sharedItems>
    </cacheField>
    <cacheField name="Sales Channel" numFmtId="0">
      <sharedItems count="4">
        <s v="Online"/>
        <s v="Marketplace"/>
        <s v="Retail Store"/>
        <s v="Corporate Sales"/>
      </sharedItems>
    </cacheField>
    <cacheField name="Customer Type" numFmtId="0">
      <sharedItems count="2">
        <s v="Returning"/>
        <s v="New"/>
      </sharedItems>
    </cacheField>
    <cacheField name="Product Category" numFmtId="0">
      <sharedItems count="6">
        <s v="Storage"/>
        <s v="Office Supplies"/>
        <s v="Accessories"/>
        <s v="Monitors"/>
        <s v="Networking"/>
        <s v="Computers"/>
      </sharedItems>
    </cacheField>
    <cacheField name="Product" numFmtId="0">
      <sharedItems count="28">
        <s v="Memory Card 256GB"/>
        <s v="Notebook Set"/>
        <s v="USB-C Hub"/>
        <s v="Mouse Pad"/>
        <s v="27-inch Monitor"/>
        <s v="Webcam"/>
        <s v="Network Switch"/>
        <s v="Ethernet Cable"/>
        <s v="Wireless Mouse"/>
        <s v="Laptop Stand"/>
        <s v="USB Drive 128GB"/>
        <s v="Mesh Wi-Fi Set"/>
        <s v="Wi-Fi Router"/>
        <s v="24-inch Monitor"/>
        <s v="Ultrawide Monitor"/>
        <s v="Gaming Laptop"/>
        <s v="Desktop Mini"/>
        <s v="Keyboard"/>
        <s v="All-in-One PC"/>
        <s v="External SSD 1TB"/>
        <s v="Pen Pack"/>
        <s v="Laptop Air 13"/>
        <s v="Sticky Notes"/>
        <s v="Portable Monitor"/>
        <s v="Printer Paper"/>
        <s v="Laptop Pro 14"/>
        <s v="Desk Organizer"/>
        <s v="External HDD 2TB"/>
      </sharedItems>
    </cacheField>
    <cacheField name="Salesperson" numFmtId="0">
      <sharedItems count="15">
        <s v="Grace Ng"/>
        <s v="Jason Lee"/>
        <s v="Nora Chen"/>
        <s v="Amir Hassan"/>
        <s v="Raj Kumar"/>
        <s v="Priya Shah"/>
        <s v="Daniel Wong"/>
        <s v="Sofia Tan"/>
        <s v="Kevin Yap"/>
        <s v="Mei Tan"/>
        <s v="Hafiz Rahman"/>
        <s v="Ben Ho"/>
        <s v="Aisha Lim"/>
        <s v="Farah Ali"/>
        <s v="Chloe Lim"/>
      </sharedItems>
    </cacheField>
    <cacheField name="Quantity" numFmtId="0">
      <sharedItems containsSemiMixedTypes="0" containsString="0" containsNumber="1" containsInteger="1" minValue="2" maxValue="16" count="15">
        <n v="3"/>
        <n v="6"/>
        <n v="4"/>
        <n v="2"/>
        <n v="7"/>
        <n v="5"/>
        <n v="8"/>
        <n v="12"/>
        <n v="11"/>
        <n v="16"/>
        <n v="9"/>
        <n v="13"/>
        <n v="10"/>
        <n v="14"/>
        <n v="15"/>
      </sharedItems>
    </cacheField>
    <cacheField name="Unit Price" numFmtId="0">
      <sharedItems containsSemiMixedTypes="0" containsString="0" containsNumber="1" minValue="6.84" maxValue="4006.8" count="168">
        <n v="81"/>
        <n v="23.85"/>
        <n v="49.5"/>
        <n v="12.83"/>
        <n v="810.9"/>
        <n v="74.88"/>
        <n v="162"/>
        <n v="13.77"/>
        <n v="17.46"/>
        <n v="41.31"/>
        <n v="34.200000000000003"/>
        <n v="33.17"/>
        <n v="51.3"/>
        <n v="675"/>
        <n v="257.04000000000002"/>
        <n v="553.32000000000005"/>
        <n v="21.83"/>
        <n v="54"/>
        <n v="1404"/>
        <n v="50.49"/>
        <n v="3780"/>
        <n v="1684.8"/>
        <n v="56.75"/>
        <n v="34.880000000000003"/>
        <n v="58.5"/>
        <n v="3591"/>
        <n v="85.86"/>
        <n v="2700"/>
        <n v="405"/>
        <n v="68.400000000000006"/>
        <n v="82.62"/>
        <n v="10.8"/>
        <n v="715.5"/>
        <n v="72"/>
        <n v="18"/>
        <n v="2250"/>
        <n v="6.98"/>
        <n v="598.5"/>
        <n v="244.44"/>
        <n v="239.4"/>
        <n v="2340"/>
        <n v="765"/>
        <n v="3931.2"/>
        <n v="38.479999999999997"/>
        <n v="165.24"/>
        <n v="40.5"/>
        <n v="153.9"/>
        <n v="7.2"/>
        <n v="780.3"/>
        <n v="16.52"/>
        <n v="84.24"/>
        <n v="3052.8"/>
        <n v="384.75"/>
        <n v="506.34"/>
        <n v="16.2"/>
        <n v="56.16"/>
        <n v="42.93"/>
        <n v="542.88"/>
        <n v="22.95"/>
        <n v="11.02"/>
        <n v="1717.2"/>
        <n v="522"/>
        <n v="726.75"/>
        <n v="16.850000000000001"/>
        <n v="7.49"/>
        <n v="31.5"/>
        <n v="73.44"/>
        <n v="1620"/>
        <n v="795.6"/>
        <n v="288"/>
        <n v="3666.6"/>
        <n v="429.3"/>
        <n v="252"/>
        <n v="2182.5"/>
        <n v="2808"/>
        <n v="2565"/>
        <n v="1309.5"/>
        <n v="57.24"/>
        <n v="2793.6"/>
        <n v="15.71"/>
        <n v="305.27999999999997"/>
        <n v="742.05"/>
        <n v="392.85"/>
        <n v="688.5"/>
        <n v="532.44000000000005"/>
        <n v="279.36"/>
        <n v="35.57"/>
        <n v="59.67"/>
        <n v="55.08"/>
        <n v="55.58"/>
        <n v="630"/>
        <n v="1571.4"/>
        <n v="14.31"/>
        <n v="62.01"/>
        <n v="13.5"/>
        <n v="654.75"/>
        <n v="3855.6"/>
        <n v="2995.2"/>
        <n v="642.6"/>
        <n v="39.29"/>
        <n v="52.47"/>
        <n v="2880"/>
        <n v="32.49"/>
        <n v="18.36"/>
        <n v="171.72"/>
        <n v="2736"/>
        <n v="17.100000000000001"/>
        <n v="78.569999999999993"/>
        <n v="2385"/>
        <n v="52.38"/>
        <n v="168.48"/>
        <n v="1652.4"/>
        <n v="47.03"/>
        <n v="702"/>
        <n v="11.45"/>
        <n v="76.95"/>
        <n v="18.72"/>
        <n v="157.13999999999999"/>
        <n v="33.39"/>
        <n v="32.130000000000003"/>
        <n v="51.48"/>
        <n v="267.12"/>
        <n v="36.25"/>
        <n v="14.04"/>
        <n v="1282.5"/>
        <n v="2862"/>
        <n v="6.84"/>
        <n v="22.5"/>
        <n v="299.52"/>
        <n v="1350"/>
        <n v="641.25"/>
        <n v="667.8"/>
        <n v="13.1"/>
        <n v="76.319999999999993"/>
        <n v="42.12"/>
        <n v="29.93"/>
        <n v="19.079999999999998"/>
        <n v="293.76"/>
        <n v="32.76"/>
        <n v="2754"/>
        <n v="262.08"/>
        <n v="2137.5"/>
        <n v="611.1"/>
        <n v="11.23"/>
        <n v="1377"/>
        <n v="655.20000000000005"/>
        <n v="30.56"/>
        <n v="69.84"/>
        <n v="7.63"/>
        <n v="273.60000000000002"/>
        <n v="1539"/>
        <n v="1431"/>
        <n v="15.39"/>
        <n v="2619"/>
        <n v="23.4"/>
        <n v="413.1"/>
        <n v="7.34"/>
        <n v="48.02"/>
        <n v="10.26"/>
        <n v="17.170000000000002"/>
        <n v="10.48"/>
        <n v="421.2"/>
        <n v="495.9"/>
        <n v="2295"/>
        <n v="4006.8"/>
        <n v="2937.6"/>
        <n v="21.38"/>
        <n v="60.84"/>
      </sharedItems>
    </cacheField>
    <cacheField name="Discount" numFmtId="0">
      <sharedItems containsSemiMixedTypes="0" containsString="0" containsNumber="1" minValue="0" maxValue="0.2" count="7">
        <n v="0.1"/>
        <n v="0.05"/>
        <n v="0.15"/>
        <n v="0.2"/>
        <n v="0.03"/>
        <n v="0.08"/>
        <n v="0"/>
      </sharedItems>
    </cacheField>
    <cacheField name="Revenue" numFmtId="0">
      <sharedItems containsSemiMixedTypes="0" containsString="0" containsNumber="1" minValue="11.17" maxValue="18083.52" count="1302">
        <n v="218.7"/>
        <n v="67.97"/>
        <n v="282.14999999999998"/>
        <n v="43.61"/>
        <n v="1946.16"/>
        <n v="142.27000000000001"/>
        <n v="1099.98"/>
        <n v="39.24"/>
        <n v="80.319999999999993"/>
        <n v="82.62"/>
        <n v="218.88"/>
        <n v="1540.71"/>
        <n v="199.04"/>
        <n v="287.27999999999997"/>
        <n v="3928.5"/>
        <n v="873.94"/>
        <n v="2545.27"/>
        <n v="34.92"/>
        <n v="248.4"/>
        <n v="2667.6"/>
        <n v="287.79000000000002"/>
        <n v="6426"/>
        <n v="3201.12"/>
        <n v="107.82"/>
        <n v="128.37"/>
        <n v="277.88"/>
        <n v="6463.8"/>
        <n v="244.7"/>
        <n v="24.79"/>
        <n v="5238"/>
        <n v="4374"/>
        <n v="125.86"/>
        <n v="165.24"/>
        <n v="49.68"/>
        <n v="5008.5"/>
        <n v="324"/>
        <n v="52.38"/>
        <n v="99.36"/>
        <n v="248.63"/>
        <n v="785.7"/>
        <n v="9000"/>
        <n v="41.55"/>
        <n v="92.9"/>
        <n v="1161.0899999999999"/>
        <n v="306.42"/>
        <n v="1124.42"/>
        <n v="1137.1500000000001"/>
        <n v="4305.6000000000004"/>
        <n v="1407.6"/>
        <n v="16707.599999999999"/>
        <n v="176.99"/>
        <n v="627.91"/>
        <n v="269.33"/>
        <n v="198"/>
        <n v="277.02"/>
        <n v="20.52"/>
        <n v="2340.9"/>
        <n v="188.1"/>
        <n v="1527.16"/>
        <n v="581.07000000000005"/>
        <n v="78.489999999999995"/>
        <n v="510.87"/>
        <n v="2311.0700000000002"/>
        <n v="297.43"/>
        <n v="115.92"/>
        <n v="240.08"/>
        <n v="4884.4799999999996"/>
        <n v="1096.54"/>
        <n v="1473.45"/>
        <n v="92.34"/>
        <n v="320.11"/>
        <n v="745.2"/>
        <n v="193.19"/>
        <n v="732.56"/>
        <n v="97.47"/>
        <n v="98.11"/>
        <n v="94.05"/>
        <n v="2171.52"/>
        <n v="68.849999999999994"/>
        <n v="1166.4000000000001"/>
        <n v="39.659999999999997"/>
        <n v="144.05000000000001"/>
        <n v="3262.68"/>
        <n v="887.4"/>
        <n v="61.56"/>
        <n v="2674.44"/>
        <n v="77.5"/>
        <n v="35.57"/>
        <n v="259.2"/>
        <n v="100.8"/>
        <n v="144.9"/>
        <n v="213.71"/>
        <n v="2688.84"/>
        <n v="4714.2"/>
        <n v="160.06"/>
        <n v="5800.32"/>
        <n v="3023.28"/>
        <n v="576"/>
        <n v="255.35"/>
        <n v="5866.56"/>
        <n v="2704.59"/>
        <n v="6319.3"/>
        <n v="333.45"/>
        <n v="1159.2"/>
        <n v="246.24"/>
        <n v="163.13"/>
        <n v="10999.8"/>
        <n v="4142.4799999999996"/>
        <n v="284.54000000000002"/>
        <n v="8031.6"/>
        <n v="185.9"/>
        <n v="2325.6"/>
        <n v="8002.8"/>
        <n v="4617"/>
        <n v="7621.29"/>
        <n v="85.05"/>
        <n v="794.88"/>
        <n v="217.51"/>
        <n v="1465.78"/>
        <n v="3206.25"/>
        <n v="5130"/>
        <n v="5307.84"/>
        <n v="40.07"/>
        <n v="518.98"/>
        <n v="1484.1"/>
        <n v="10800"/>
        <n v="236.97"/>
        <n v="1060.7"/>
        <n v="4131"/>
        <n v="1357.72"/>
        <n v="1285.06"/>
        <n v="294.5"/>
        <n v="20.27"/>
        <n v="175.5"/>
        <n v="1436.4"/>
        <n v="119.34"/>
        <n v="102.6"/>
        <n v="330.48"/>
        <n v="4500"/>
        <n v="6822.9"/>
        <n v="102.26"/>
        <n v="1795.5"/>
        <n v="2891.38"/>
        <n v="155"/>
        <n v="57.24"/>
        <n v="114.1"/>
        <n v="65.48"/>
        <n v="810"/>
        <n v="4354.09"/>
        <n v="7325.64"/>
        <n v="5810.69"/>
        <n v="349.2"/>
        <n v="769.5"/>
        <n v="89.1"/>
        <n v="269.57"/>
        <n v="169.19"/>
        <n v="97.2"/>
        <n v="1676.16"/>
        <n v="10773"/>
        <n v="81"/>
        <n v="1220.94"/>
        <n v="68.400000000000006"/>
        <n v="3633.75"/>
        <n v="410.4"/>
        <n v="5587.2"/>
        <n v="212.14"/>
        <n v="1410.97"/>
        <n v="960.48"/>
        <n v="206.55"/>
        <n v="141.08000000000001"/>
        <n v="41.31"/>
        <n v="60.81"/>
        <n v="94.45"/>
        <n v="192.38"/>
        <n v="7076.16"/>
        <n v="5400"/>
        <n v="4488.75"/>
        <n v="5299.2"/>
        <n v="57.38"/>
        <n v="1579.78"/>
        <n v="2239.25"/>
        <n v="2992.5"/>
        <n v="1463.9"/>
        <n v="129.96"/>
        <n v="10895.04"/>
        <n v="214.81"/>
        <n v="323.45"/>
        <n v="165.6"/>
        <n v="309.10000000000002"/>
        <n v="104.65"/>
        <n v="4976.1000000000004"/>
        <n v="463.68"/>
        <n v="61.97"/>
        <n v="8468.1"/>
        <n v="4924.8"/>
        <n v="62.93"/>
        <n v="1615.95"/>
        <n v="223.92"/>
        <n v="307.8"/>
        <n v="25.34"/>
        <n v="8586"/>
        <n v="220.61"/>
        <n v="261.89999999999998"/>
        <n v="157.13999999999999"/>
        <n v="1409.4"/>
        <n v="979.69"/>
        <n v="1078.27"/>
        <n v="2430"/>
        <n v="2479.5"/>
        <n v="1735.02"/>
        <n v="1517.45"/>
        <n v="6547.5"/>
        <n v="5189.76"/>
        <n v="22.95"/>
        <n v="1443.07"/>
        <n v="279.36"/>
        <n v="49.57"/>
        <n v="6412.5"/>
        <n v="547.20000000000005"/>
        <n v="6411.31"/>
        <n v="572.83000000000004"/>
        <n v="746.42"/>
        <n v="144.57"/>
        <n v="268.04000000000002"/>
        <n v="1790.1"/>
        <n v="5511.17"/>
        <n v="2349"/>
        <n v="111.78"/>
        <n v="3240"/>
        <n v="18083.52"/>
        <n v="22.9"/>
        <n v="1197"/>
        <n v="1492.83"/>
        <n v="4749.12"/>
        <n v="1409.9"/>
        <n v="369.57"/>
        <n v="87.21"/>
        <n v="196.22"/>
        <n v="108.95"/>
        <n v="58.52"/>
        <n v="314.27999999999997"/>
        <n v="153.9"/>
        <n v="34.630000000000003"/>
        <n v="353.97"/>
        <n v="558.72"/>
        <n v="120.2"/>
        <n v="7560"/>
        <n v="4365"/>
        <n v="108"/>
        <n v="2160"/>
        <n v="61.05"/>
        <n v="446.15"/>
        <n v="45.79"/>
        <n v="102.96"/>
        <n v="187.43"/>
        <n v="136.80000000000001"/>
        <n v="48.6"/>
        <n v="1362.31"/>
        <n v="61.63"/>
        <n v="453.6"/>
        <n v="381.06"/>
        <n v="93.37"/>
        <n v="4531.5"/>
        <n v="2565"/>
        <n v="1240.01"/>
        <n v="2730.74"/>
        <n v="2497.25"/>
        <n v="57.96"/>
        <n v="4865.3999999999996"/>
        <n v="11.63"/>
        <n v="39.29"/>
        <n v="3645"/>
        <n v="1539"/>
        <n v="2916"/>
        <n v="265.39"/>
        <n v="10850.11"/>
        <n v="376.74"/>
        <n v="65.45"/>
        <n v="122.4"/>
        <n v="4140"/>
        <n v="1373.76"/>
        <n v="2980.8"/>
        <n v="207"/>
        <n v="309.83"/>
        <n v="220.25"/>
        <n v="10234.35"/>
        <n v="46.17"/>
        <n v="2395.98"/>
        <n v="37.26"/>
        <n v="194.4"/>
        <n v="162"/>
        <n v="57.83"/>
        <n v="157.94999999999999"/>
        <n v="498.66"/>
        <n v="6966.54"/>
        <n v="30.91"/>
        <n v="479.23"/>
        <n v="3442.5"/>
        <n v="4234.05"/>
        <n v="3270.38"/>
        <n v="1218.3800000000001"/>
        <n v="38.479999999999997"/>
        <n v="1018.11"/>
        <n v="6955.2"/>
        <n v="2540.4299999999998"/>
        <n v="6075"/>
        <n v="1228.75"/>
        <n v="128.04"/>
        <n v="37.32"/>
        <n v="2449.2199999999998"/>
        <n v="1117.44"/>
        <n v="1134"/>
        <n v="461.7"/>
        <n v="104.76"/>
        <n v="958.39"/>
        <n v="153.38999999999999"/>
        <n v="1602.72"/>
        <n v="145.96"/>
        <n v="4492.8"/>
        <n v="137.38"/>
        <n v="2749.95"/>
        <n v="4320"/>
        <n v="101.09"/>
        <n v="140.4"/>
        <n v="119.7"/>
        <n v="212.31"/>
        <n v="103.28"/>
        <n v="12916.8"/>
        <n v="54.38"/>
        <n v="288"/>
        <n v="691.2"/>
        <n v="1272.96"/>
        <n v="99.14"/>
        <n v="1395.36"/>
        <n v="165.87"/>
        <n v="55.69"/>
        <n v="3790.8"/>
        <n v="2444.4"/>
        <n v="2409.48"/>
        <n v="67.58"/>
        <n v="74.64"/>
        <n v="5232.6000000000004"/>
        <n v="55.08"/>
        <n v="396.81"/>
        <n v="200.07"/>
        <n v="3078"/>
        <n v="4377.6000000000004"/>
        <n v="835.2"/>
        <n v="8380.7999999999993"/>
        <n v="97.88"/>
        <n v="1499.4"/>
        <n v="5616"/>
        <n v="668.3"/>
        <n v="210.6"/>
        <n v="78.569999999999993"/>
        <n v="32.4"/>
        <n v="120.04"/>
        <n v="505.99"/>
        <n v="64.98"/>
        <n v="1621.8"/>
        <n v="488.88"/>
        <n v="6220.13"/>
        <n v="618.19000000000005"/>
        <n v="1335.69"/>
        <n v="190.94"/>
        <n v="418.61"/>
        <n v="6804"/>
        <n v="353.43"/>
        <n v="202.69"/>
        <n v="620.01"/>
        <n v="1425.6"/>
        <n v="2608.1999999999998"/>
        <n v="1017.45"/>
        <n v="1068.48"/>
        <n v="19.09"/>
        <n v="3800.52"/>
        <n v="435.02"/>
        <n v="5184"/>
        <n v="274.75"/>
        <n v="1184.49"/>
        <n v="1453.5"/>
        <n v="1468.21"/>
        <n v="121.5"/>
        <n v="2114.84"/>
        <n v="94.5"/>
        <n v="47.14"/>
        <n v="851.9"/>
        <n v="2754"/>
        <n v="2048.06"/>
        <n v="105.49"/>
        <n v="539.14"/>
        <n v="1702.89"/>
        <n v="2498.5300000000002"/>
        <n v="13"/>
        <n v="2488.0500000000002"/>
        <n v="340.47"/>
        <n v="1906.63"/>
        <n v="4896"/>
        <n v="3139.56"/>
        <n v="478.8"/>
        <n v="1215"/>
        <n v="2436.75"/>
        <n v="1061.57"/>
        <n v="1282.5"/>
        <n v="4680"/>
        <n v="270.26"/>
        <n v="230.85"/>
        <n v="1309.5"/>
        <n v="81.709999999999994"/>
        <n v="1728"/>
        <n v="3369.6"/>
        <n v="35.11"/>
        <n v="711.32"/>
        <n v="119.43"/>
        <n v="51.3"/>
        <n v="33.39"/>
        <n v="484.38"/>
        <n v="20.22"/>
        <n v="55.4"/>
        <n v="10449.81"/>
        <n v="405.72"/>
        <n v="2368.9699999999998"/>
        <n v="118.55"/>
        <n v="149.18"/>
        <n v="35.619999999999997"/>
        <n v="6609.6"/>
        <n v="28.45"/>
        <n v="331.74"/>
        <n v="14.81"/>
        <n v="120.56"/>
        <n v="41.64"/>
        <n v="36"/>
        <n v="447.12"/>
        <n v="166.73"/>
        <n v="76.319999999999993"/>
        <n v="160.28"/>
        <n v="777.6"/>
        <n v="1857.74"/>
        <n v="4578.53"/>
        <n v="141.59"/>
        <n v="145.01"/>
        <n v="40.159999999999997"/>
        <n v="5472"/>
        <n v="227.7"/>
        <n v="1524.26"/>
        <n v="27"/>
        <n v="2831.76"/>
        <n v="205.2"/>
        <n v="895.7"/>
        <n v="2718.9"/>
        <n v="92.76"/>
        <n v="4808.4799999999996"/>
        <n v="4452.3"/>
        <n v="56.86"/>
        <n v="150.69999999999999"/>
        <n v="826.2"/>
        <n v="41.04"/>
        <n v="13.95"/>
        <n v="3825"/>
        <n v="38.75"/>
        <n v="684"/>
        <n v="6105.6"/>
        <n v="85.29"/>
        <n v="86.43"/>
        <n v="6351.08"/>
        <n v="69.400000000000006"/>
        <n v="174.16"/>
        <n v="495.72"/>
        <n v="342"/>
        <n v="2441.88"/>
        <n v="695.52"/>
        <n v="430.92"/>
        <n v="4007.07"/>
        <n v="3434.4"/>
        <n v="148.5"/>
        <n v="6940.08"/>
        <n v="362.52"/>
        <n v="1178.55"/>
        <n v="138.51"/>
        <n v="156.97999999999999"/>
        <n v="4078.35"/>
        <n v="1044"/>
        <n v="17955"/>
        <n v="5342.76"/>
        <n v="911.41"/>
        <n v="1123.43"/>
        <n v="2235.6"/>
        <n v="33.700000000000003"/>
        <n v="21.75"/>
        <n v="1431"/>
        <n v="247.5"/>
        <n v="1084.27"/>
        <n v="1377"/>
        <n v="754.27"/>
        <n v="62.86"/>
        <n v="84.24"/>
        <n v="1053.4100000000001"/>
        <n v="1222.2"/>
        <n v="26.33"/>
        <n v="28.8"/>
        <n v="3343.05"/>
        <n v="99.52"/>
        <n v="123.93"/>
        <n v="149.28"/>
        <n v="123.12"/>
        <n v="8883.65"/>
        <n v="6599.88"/>
        <n v="771.03"/>
        <n v="2065.5"/>
        <n v="92.54"/>
        <n v="298.57"/>
        <n v="32.630000000000003"/>
        <n v="59.85"/>
        <n v="729.81"/>
        <n v="19.28"/>
        <n v="5437.8"/>
        <n v="115.43"/>
        <n v="190.03"/>
        <n v="37.909999999999997"/>
        <n v="267.14"/>
        <n v="2879.15"/>
        <n v="88.92"/>
        <n v="316.02"/>
        <n v="5391.36"/>
        <n v="434.07"/>
        <n v="40.5"/>
        <n v="30.78"/>
        <n v="113.72"/>
        <n v="2619"/>
        <n v="13.74"/>
        <n v="122.57"/>
        <n v="17057.25"/>
        <n v="4247.6400000000003"/>
        <n v="7650"/>
        <n v="7333.2"/>
        <n v="2594.88"/>
        <n v="2268"/>
        <n v="4360.5"/>
        <n v="151.63"/>
        <n v="228.64"/>
        <n v="392.85"/>
        <n v="389.88"/>
        <n v="1296"/>
        <n v="529.91999999999996"/>
        <n v="1619.35"/>
        <n v="1239.3"/>
        <n v="1487.7"/>
        <n v="94.39"/>
        <n v="1257.1199999999999"/>
        <n v="14226.41"/>
        <n v="4212"/>
        <n v="1268.82"/>
        <n v="1665.68"/>
        <n v="256.5"/>
        <n v="152.02000000000001"/>
        <n v="853.63"/>
        <n v="90.42"/>
        <n v="1900.26"/>
        <n v="220.5"/>
        <n v="731.03"/>
        <n v="97.95"/>
        <n v="2700"/>
        <n v="113.49"/>
        <n v="33.119999999999997"/>
        <n v="2308.5"/>
        <n v="228.07"/>
        <n v="167.9"/>
        <n v="305.27999999999997"/>
        <n v="235.71"/>
        <n v="122.22"/>
        <n v="1023.44"/>
        <n v="2671.38"/>
        <n v="3492"/>
        <n v="2088"/>
        <n v="6607.44"/>
        <n v="90"/>
        <n v="378"/>
        <n v="146.93"/>
        <n v="364.5"/>
        <n v="109.79"/>
        <n v="223.07"/>
        <n v="3086.93"/>
        <n v="53.35"/>
        <n v="1659.96"/>
        <n v="398.09"/>
        <n v="353.57"/>
        <n v="70.33"/>
        <n v="1152"/>
        <n v="1010.88"/>
        <n v="396.58"/>
        <n v="71.14"/>
        <n v="412.13"/>
        <n v="45.9"/>
        <n v="3304.8"/>
        <n v="1377.79"/>
        <n v="39.74"/>
        <n v="6669"/>
        <n v="117.86"/>
        <n v="1244.8800000000001"/>
        <n v="3316.28"/>
        <n v="110.09"/>
        <n v="499.39"/>
        <n v="191.17"/>
        <n v="486"/>
        <n v="223.56"/>
        <n v="1080"/>
        <n v="397.44"/>
        <n v="1989.77"/>
        <n v="6797.25"/>
        <n v="176.7"/>
        <n v="4001.4"/>
        <n v="3331.37"/>
        <n v="66.349999999999994"/>
        <n v="261.63"/>
        <n v="1085.76"/>
        <n v="3580.2"/>
        <n v="17.28"/>
        <n v="241.36"/>
        <n v="264.95999999999998"/>
        <n v="20.95"/>
        <n v="1147.5"/>
        <n v="2695.68"/>
        <n v="2583.36"/>
        <n v="146.21"/>
        <n v="74.52"/>
        <n v="163.86"/>
        <n v="87"/>
        <n v="100.06"/>
        <n v="977.76"/>
        <n v="123.26"/>
        <n v="143.21"/>
        <n v="1498.35"/>
        <n v="2462.4"/>
        <n v="6678.45"/>
        <n v="2111.4"/>
        <n v="263.25"/>
        <n v="1422.64"/>
        <n v="756"/>
        <n v="145.13999999999999"/>
        <n v="1458"/>
        <n v="5447.52"/>
        <n v="1061.9100000000001"/>
        <n v="1884.42"/>
        <n v="56.7"/>
        <n v="549.99"/>
        <n v="91.8"/>
        <n v="384.12"/>
        <n v="172.13"/>
        <n v="336.96"/>
        <n v="31.6"/>
        <n v="134.02000000000001"/>
        <n v="2180.25"/>
        <n v="59.71"/>
        <n v="6540.75"/>
        <n v="111.96"/>
        <n v="21.6"/>
        <n v="5852.25"/>
        <n v="3771.36"/>
        <n v="69.55"/>
        <n v="206.06"/>
        <n v="2489.94"/>
        <n v="214.2"/>
        <n v="1073.44"/>
        <n v="1547.21"/>
        <n v="172.8"/>
        <n v="654.08000000000004"/>
        <n v="3561.84"/>
        <n v="7113.2"/>
        <n v="269.10000000000002"/>
        <n v="810.14"/>
        <n v="3933"/>
        <n v="204.06"/>
        <n v="139"/>
        <n v="64.8"/>
        <n v="36.549999999999997"/>
        <n v="7022.7"/>
        <n v="688.5"/>
        <n v="421.2"/>
        <n v="137.69999999999999"/>
        <n v="35.25"/>
        <n v="4050"/>
        <n v="796.18"/>
        <n v="646.38"/>
        <n v="1092.42"/>
        <n v="998.9"/>
        <n v="11174.4"/>
        <n v="1462.05"/>
        <n v="86.11"/>
        <n v="3779.1"/>
        <n v="1891.81"/>
        <n v="100.18"/>
        <n v="20.32"/>
        <n v="1266.8399999999999"/>
        <n v="43.58"/>
        <n v="1120.3900000000001"/>
        <n v="2409.75"/>
        <n v="3142.8"/>
        <n v="209.52"/>
        <n v="1326.51"/>
        <n v="31"/>
        <n v="1738.8"/>
        <n v="53.87"/>
        <n v="43.79"/>
        <n v="61.11"/>
        <n v="822.53"/>
        <n v="17.63"/>
        <n v="1071"/>
        <n v="374.78"/>
        <n v="103.33"/>
        <n v="3539.7"/>
        <n v="922.9"/>
        <n v="468"/>
        <n v="157.97999999999999"/>
        <n v="653.70000000000005"/>
        <n v="4275"/>
        <n v="25.76"/>
        <n v="5745.6"/>
        <n v="198.29"/>
        <n v="319.77"/>
        <n v="1964.6"/>
        <n v="313.95999999999998"/>
        <n v="87.77"/>
        <n v="75.56"/>
        <n v="939.6"/>
        <n v="53.55"/>
        <n v="491.5"/>
        <n v="209.24"/>
        <n v="141.43"/>
        <n v="2601"/>
        <n v="8087.04"/>
        <n v="322.22000000000003"/>
        <n v="1011.98"/>
        <n v="610.47"/>
        <n v="1487.16"/>
        <n v="7155"/>
        <n v="279.05"/>
        <n v="76.95"/>
        <n v="280.8"/>
        <n v="61.44"/>
        <n v="118.49"/>
        <n v="126"/>
        <n v="2359.8000000000002"/>
        <n v="7857"/>
        <n v="132.47999999999999"/>
        <n v="176.26"/>
        <n v="243"/>
        <n v="126.23"/>
        <n v="3167.1"/>
        <n v="309.22000000000003"/>
        <n v="99.45"/>
        <n v="6048"/>
        <n v="45"/>
        <n v="522.49"/>
        <n v="4146.75"/>
        <n v="5760"/>
        <n v="93.6"/>
        <n v="1530"/>
        <n v="134.78"/>
        <n v="518.4"/>
        <n v="11520"/>
        <n v="957.6"/>
        <n v="13880.7"/>
        <n v="497.95"/>
        <n v="1543.46"/>
        <n v="628.55999999999995"/>
        <n v="69"/>
        <n v="2473.73"/>
        <n v="10260"/>
        <n v="1885.68"/>
        <n v="5054.3999999999996"/>
        <n v="1202.04"/>
        <n v="4668.3"/>
        <n v="1261.49"/>
        <n v="304.04000000000002"/>
        <n v="44.61"/>
        <n v="68.040000000000006"/>
        <n v="998.78"/>
        <n v="4650.05"/>
        <n v="4608"/>
        <n v="5166.72"/>
        <n v="28.91"/>
        <n v="1833.3"/>
        <n v="1156.68"/>
        <n v="429.62"/>
        <n v="6458.4"/>
        <n v="6746.54"/>
        <n v="7290"/>
        <n v="977.18"/>
        <n v="341.17"/>
        <n v="2005.83"/>
        <n v="2189.4299999999998"/>
        <n v="437.4"/>
        <n v="254.59"/>
        <n v="76.209999999999994"/>
        <n v="1923.75"/>
        <n v="276.47000000000003"/>
        <n v="122.35"/>
        <n v="72.900000000000006"/>
        <n v="88.13"/>
        <n v="193.32"/>
        <n v="2213.2800000000002"/>
        <n v="7612.92"/>
        <n v="7776"/>
        <n v="158.13"/>
        <n v="48.74"/>
        <n v="298.08"/>
        <n v="63.34"/>
        <n v="257.39999999999998"/>
        <n v="31.43"/>
        <n v="1216.17"/>
        <n v="580.03"/>
        <n v="5581.44"/>
        <n v="2529.09"/>
        <n v="2522.9699999999998"/>
        <n v="180.84"/>
        <n v="1051.31"/>
        <n v="82.94"/>
        <n v="83.28"/>
        <n v="191.86"/>
        <n v="264.38"/>
        <n v="1920.96"/>
        <n v="63"/>
        <n v="5552.28"/>
        <n v="5724"/>
        <n v="118.73"/>
        <n v="154.55000000000001"/>
        <n v="135.49"/>
        <n v="314.82"/>
        <n v="2095.1999999999998"/>
        <n v="241.08"/>
        <n v="2432.6999999999998"/>
        <n v="707.62"/>
        <n v="11397.89"/>
        <n v="139.54"/>
        <n v="991.8"/>
        <n v="729"/>
        <n v="404.35"/>
        <n v="3598.94"/>
        <n v="3847.5"/>
        <n v="15225.84"/>
        <n v="4155.3"/>
        <n v="1302.9100000000001"/>
        <n v="2493.29"/>
        <n v="1205.57"/>
        <n v="109.35"/>
        <n v="41.21"/>
        <n v="995.98"/>
        <n v="1064.8800000000001"/>
        <n v="592.24"/>
        <n v="18.32"/>
        <n v="149.04"/>
        <n v="565.70000000000005"/>
        <n v="5771.25"/>
        <n v="239.83"/>
        <n v="2862"/>
        <n v="1059.8399999999999"/>
        <n v="4583.25"/>
        <n v="331.2"/>
        <n v="961.63"/>
        <n v="3672"/>
        <n v="14.4"/>
        <n v="40.61"/>
        <n v="36.72"/>
        <n v="200.35"/>
        <n v="58.32"/>
        <n v="1723.68"/>
        <n v="4843.8"/>
        <n v="25.65"/>
        <n v="2808"/>
        <n v="3110.06"/>
        <n v="214.58"/>
        <n v="1439.58"/>
        <n v="89.05"/>
        <n v="66.069999999999993"/>
        <n v="209.48"/>
        <n v="75.599999999999994"/>
        <n v="252"/>
        <n v="34.340000000000003"/>
        <n v="109.47"/>
        <n v="25.4"/>
        <n v="42.13"/>
        <n v="61.82"/>
        <n v="3011.85"/>
        <n v="5151.6000000000004"/>
        <n v="8985.6"/>
        <n v="2653.02"/>
        <n v="2968.2"/>
        <n v="858.6"/>
        <n v="5335.2"/>
        <n v="124.93"/>
        <n v="2643.84"/>
        <n v="3375"/>
        <n v="433.71"/>
        <n v="82.08"/>
        <n v="2489.7600000000002"/>
        <n v="2828.52"/>
        <n v="1224"/>
        <n v="2864.16"/>
        <n v="928.87"/>
        <n v="178.2"/>
        <n v="188.57"/>
        <n v="207.77"/>
        <n v="3655.13"/>
        <n v="58.48"/>
        <n v="238.46"/>
        <n v="2835"/>
        <n v="194.94"/>
        <n v="155.83000000000001"/>
        <n v="64.13"/>
        <n v="329.38"/>
        <n v="1701"/>
        <n v="1382.4"/>
        <n v="3924.45"/>
        <n v="3717.9"/>
        <n v="49.03"/>
        <n v="198.72"/>
        <n v="293.44"/>
        <n v="489.6"/>
        <n v="156.62"/>
        <n v="76.010000000000005"/>
        <n v="2357.1"/>
        <n v="345.6"/>
        <n v="1591.2"/>
        <n v="127.3"/>
        <n v="3710.25"/>
        <n v="2034.9"/>
        <n v="222.75"/>
        <n v="8536.32"/>
        <n v="182.46"/>
        <n v="58.38"/>
        <n v="141.66999999999999"/>
        <n v="2761.65"/>
        <n v="253"/>
        <n v="5067.3599999999997"/>
        <n v="363.53"/>
        <n v="7469.28"/>
        <n v="10327.5"/>
        <n v="1652.4"/>
        <n v="63.55"/>
        <n v="14.53"/>
        <n v="554.04"/>
        <n v="942.21"/>
        <n v="2082.11"/>
        <n v="1378.53"/>
        <n v="54"/>
        <n v="108.5"/>
        <n v="6168.96"/>
        <n v="5565.38"/>
        <n v="58"/>
        <n v="132.69999999999999"/>
        <n v="194.33"/>
        <n v="1927.8"/>
        <n v="4061.25"/>
        <n v="3875.04"/>
        <n v="838.08"/>
        <n v="106.88"/>
        <n v="61.04"/>
        <n v="514.02"/>
        <n v="1519.02"/>
        <n v="280.91000000000003"/>
        <n v="1260"/>
        <n v="1012.68"/>
        <n v="31.46"/>
        <n v="2036.22"/>
        <n v="84.15"/>
        <n v="868.61"/>
        <n v="196.56"/>
        <n v="117.94"/>
        <n v="1094.4000000000001"/>
        <n v="2811.06"/>
        <n v="923.4"/>
        <n v="45.73"/>
        <n v="37.71"/>
        <n v="1106.6400000000001"/>
        <n v="11600.64"/>
        <n v="217.9"/>
        <n v="463.64"/>
        <n v="962.05"/>
        <n v="6439.5"/>
        <n v="7233.41"/>
        <n v="1242"/>
        <n v="583.85"/>
        <n v="583.20000000000005"/>
        <n v="83.54"/>
        <n v="154.33000000000001"/>
        <n v="304.32"/>
        <n v="874.8"/>
        <n v="318.77999999999997"/>
        <n v="1380.83"/>
        <n v="1064.1500000000001"/>
        <n v="2025.36"/>
        <n v="746.93"/>
        <n v="10476"/>
        <n v="222.3"/>
        <n v="34.200000000000003"/>
        <n v="67.47"/>
        <n v="59.28"/>
        <n v="49.76"/>
        <n v="351"/>
        <n v="6811.56"/>
        <n v="64.400000000000006"/>
        <n v="1965.6"/>
        <n v="4968"/>
        <n v="97.16"/>
        <n v="176.73"/>
        <n v="3732.08"/>
        <n v="20.67"/>
        <n v="64.02"/>
        <n v="6210"/>
        <n v="40.44"/>
        <n v="347.76"/>
        <n v="24.3"/>
        <n v="4293"/>
        <n v="1244.03"/>
        <n v="56.64"/>
        <n v="58.93"/>
        <n v="10206"/>
        <n v="885.31"/>
        <n v="1351.3"/>
        <n v="1159.1099999999999"/>
        <n v="7931.52"/>
        <n v="969.57"/>
        <n v="201.96"/>
        <n v="2329.16"/>
        <n v="161.46"/>
        <n v="1036.8"/>
        <n v="1571.4"/>
        <n v="1264.0899999999999"/>
        <n v="259.27999999999997"/>
        <n v="205.92"/>
        <n v="11.17"/>
        <n v="1520.21"/>
        <n v="42.93"/>
        <n v="5737.5"/>
        <n v="1709.68"/>
        <n v="128.79"/>
        <n v="115.76"/>
        <n v="7228.44"/>
        <n v="36.94"/>
        <n v="327.04000000000002"/>
        <n v="232.56"/>
        <n v="114.02"/>
        <n v="2153.63"/>
        <n v="54.51"/>
        <n v="1198.08"/>
        <n v="18.36"/>
        <n v="3205.66"/>
        <n v="1799.08"/>
        <n v="9639"/>
        <n v="26.16"/>
        <n v="279.86"/>
        <n v="139.35"/>
        <n v="860.78"/>
        <n v="79.56"/>
        <n v="1179.3599999999999"/>
        <n v="41.4"/>
        <n v="101.25"/>
        <n v="116.11"/>
        <n v="29.81"/>
        <n v="352.51"/>
        <n v="102.14"/>
        <n v="94.55"/>
        <n v="87.72"/>
        <n v="1248.48"/>
        <n v="1162.51"/>
        <n v="121.68"/>
        <n v="275.39999999999998"/>
        <n v="837.22"/>
        <n v="1384.34"/>
        <n v="7695"/>
        <n v="1365.37"/>
        <n v="27.54"/>
        <n v="64.260000000000005"/>
        <n v="2339.2800000000002"/>
        <n v="1600.56"/>
        <n v="79.2"/>
        <n v="142.08000000000001"/>
        <n v="3855.6"/>
        <n v="12.24"/>
        <n v="3027.56"/>
        <n v="191.52"/>
        <n v="6196.5"/>
        <n v="93.5"/>
        <n v="204.52"/>
        <n v="1997.8"/>
        <n v="454.1"/>
        <n v="320.57"/>
        <n v="1867.32"/>
        <n v="129.6"/>
        <n v="464.44"/>
        <n v="74.209999999999994"/>
        <n v="2809.08"/>
        <n v="680.4"/>
        <n v="2776.14"/>
        <n v="273.60000000000002"/>
        <n v="1038.8699999999999"/>
        <n v="1566"/>
        <n v="3535.65"/>
        <n v="832.84"/>
        <n v="2115.0700000000002"/>
        <n v="211.19"/>
        <n v="842.4"/>
        <n v="4347"/>
        <n v="70.209999999999994"/>
        <n v="4386.1499999999996"/>
        <n v="1258.56"/>
        <n v="4915.8900000000003"/>
        <n v="117"/>
        <n v="4681.8"/>
        <n v="2533.6799999999998"/>
        <n v="2318.4"/>
        <n v="48.96"/>
        <n v="119.81"/>
        <n v="1474.5"/>
        <n v="473.95"/>
        <n v="142.13999999999999"/>
        <n v="1028.04"/>
        <n v="864"/>
        <n v="8425.73"/>
        <n v="175.82"/>
        <n v="569.89"/>
        <n v="9637.92"/>
        <n v="7182"/>
        <n v="135.13"/>
        <n v="84.86"/>
        <n v="167.62"/>
        <n v="6868.8"/>
        <n v="171"/>
        <n v="42.43"/>
        <n v="273.77999999999997"/>
        <n v="275.52"/>
        <n v="165.19"/>
        <n v="6289.92"/>
        <n v="255.15"/>
        <n v="84.68"/>
        <n v="96.38"/>
        <n v="8550"/>
        <n v="7899.12"/>
        <n v="30.53"/>
        <n v="1743.21"/>
        <n v="91.67"/>
        <n v="17010"/>
        <n v="59"/>
        <n v="12960"/>
        <n v="1015.06"/>
        <n v="87.08"/>
        <n v="265.04000000000002"/>
        <n v="166.96"/>
        <n v="615.6"/>
        <n v="870.05"/>
        <n v="18.47"/>
        <n v="108.76"/>
        <n v="216"/>
        <n v="10368"/>
        <n v="519.84"/>
        <n v="244.44"/>
        <n v="3100.03"/>
        <n v="59.62"/>
        <n v="34.44"/>
        <n v="164.69"/>
        <n v="66.78"/>
        <n v="181.8"/>
        <n v="44.93"/>
        <n v="463.32"/>
        <n v="48.84"/>
        <n v="697.68"/>
        <n v="3726"/>
        <n v="1983.6"/>
        <n v="10912.5"/>
        <n v="71.13"/>
        <n v="231.19"/>
        <n v="73.33"/>
        <n v="5080.8599999999997"/>
        <n v="599.04"/>
        <n v="908.21"/>
        <n v="3420"/>
        <n v="1915.2"/>
        <n v="155.13999999999999"/>
        <n v="2527.1999999999998"/>
        <n v="2845.44"/>
        <n v="275"/>
        <n v="1310.4000000000001"/>
        <n v="48.65"/>
        <n v="124.02"/>
        <n v="1154.25"/>
        <n v="86.53"/>
        <n v="47.88"/>
        <n v="185.33"/>
        <n v="2025"/>
        <n v="3810.65"/>
        <n v="854.78"/>
        <n v="80.78"/>
        <n v="2003.4"/>
        <n v="304.85000000000002"/>
        <n v="660.74"/>
        <n v="1117.8"/>
        <n v="81.93"/>
        <n v="2545.92"/>
        <n v="116.28"/>
        <n v="7862.4"/>
        <n v="348.84"/>
        <n v="292.41000000000003"/>
        <n v="89.86"/>
        <n v="170.06"/>
        <n v="73.099999999999994"/>
        <n v="228.96"/>
        <n v="1628.64"/>
        <n v="136.84"/>
        <n v="45.36"/>
        <n v="157.58000000000001"/>
        <n v="1836"/>
        <n v="51.67"/>
        <n v="60.47"/>
        <n v="75.239999999999995"/>
        <n v="380.65"/>
        <n v="2274.3000000000002"/>
        <n v="65.83"/>
        <n v="1651.86"/>
        <n v="4388.3999999999996"/>
        <n v="22.46"/>
        <n v="8730"/>
        <n v="353.39"/>
        <n v="426.82"/>
        <n v="1053.19"/>
        <n v="13.68"/>
        <n v="67.5"/>
        <n v="173.88"/>
        <n v="1437.59"/>
        <n v="176.9"/>
        <n v="530.78"/>
        <n v="682.29"/>
        <n v="931.67"/>
        <n v="32.01"/>
        <n v="11016"/>
        <n v="14.04"/>
        <n v="510.3"/>
        <n v="940.03"/>
        <n v="1008"/>
        <n v="1814.4"/>
        <n v="39.81"/>
        <n v="4860"/>
        <n v="1337.22"/>
        <n v="5617.15"/>
        <n v="216.06"/>
        <n v="104.5"/>
        <n v="139.68"/>
        <n v="165.13"/>
        <n v="41.9"/>
        <n v="166.57"/>
        <n v="291.60000000000002"/>
        <n v="413.1"/>
        <n v="63.19"/>
        <n v="856.8"/>
        <n v="210.38"/>
        <n v="377.14"/>
        <n v="2616.3000000000002"/>
        <n v="921.6"/>
        <n v="140.66"/>
        <n v="252.45"/>
        <n v="215.03"/>
        <n v="8445.6"/>
        <n v="80.8"/>
        <n v="1819.44"/>
        <n v="91.08"/>
        <n v="1440.72"/>
        <n v="1955.52"/>
        <n v="50.34"/>
        <n v="125.58"/>
        <n v="189.54"/>
        <n v="25.83"/>
        <n v="1767.83"/>
        <n v="111.15"/>
        <n v="4905.5600000000004"/>
        <n v="26.44"/>
        <n v="1513.78"/>
        <n v="90.7"/>
        <n v="1213.06"/>
        <n v="894.24"/>
        <n v="7372.51"/>
        <n v="30.49"/>
        <n v="6683.04"/>
        <n v="122.08"/>
        <n v="65.41"/>
        <n v="1808.35"/>
        <n v="4590"/>
        <n v="34.880000000000003"/>
        <n v="103.5"/>
        <n v="4085.64"/>
        <n v="5728.32"/>
        <n v="107.64"/>
        <n v="3071.88"/>
        <n v="4719.6000000000004"/>
        <n v="8208"/>
        <n v="232.22"/>
        <n v="1396.8"/>
        <n v="412.37"/>
        <n v="1102.23"/>
        <n v="162.44999999999999"/>
        <n v="507.53"/>
        <n v="775.01"/>
        <n v="235.64"/>
        <n v="171.72"/>
      </sharedItems>
    </cacheField>
    <cacheField name="Index Match" numFmtId="0">
      <sharedItems count="4">
        <s v="Online"/>
        <s v="Marketplace"/>
        <s v="Retail Store"/>
        <s v="Corporate Sales"/>
      </sharedItems>
    </cacheField>
    <cacheField name="Vlookup" numFmtId="0">
      <sharedItems containsSemiMixedTypes="0" containsString="0" containsNumber="1" minValue="17.46" maxValue="81" count="5">
        <n v="81"/>
        <n v="23.85"/>
        <n v="17.46"/>
        <n v="34.200000000000003"/>
        <n v="51.3"/>
      </sharedItems>
    </cacheField>
  </cacheFields>
  <extLst>
    <ext xmlns:x14="http://schemas.microsoft.com/office/spreadsheetml/2009/9/main" uri="{725AE2AE-9491-48be-B2B4-4EB974FC3084}">
      <x14:pivotCacheDefinition pivotCacheId="517405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x v="0"/>
    <x v="0"/>
    <x v="0"/>
  </r>
  <r>
    <x v="1"/>
    <x v="0"/>
    <x v="1"/>
    <x v="1"/>
    <x v="0"/>
    <x v="1"/>
    <x v="1"/>
    <x v="1"/>
    <x v="0"/>
    <x v="1"/>
    <x v="1"/>
    <x v="1"/>
    <x v="1"/>
    <x v="1"/>
  </r>
  <r>
    <x v="2"/>
    <x v="0"/>
    <x v="0"/>
    <x v="2"/>
    <x v="1"/>
    <x v="2"/>
    <x v="2"/>
    <x v="2"/>
    <x v="1"/>
    <x v="2"/>
    <x v="1"/>
    <x v="2"/>
    <x v="2"/>
    <x v="0"/>
  </r>
  <r>
    <x v="3"/>
    <x v="0"/>
    <x v="0"/>
    <x v="1"/>
    <x v="0"/>
    <x v="2"/>
    <x v="3"/>
    <x v="0"/>
    <x v="2"/>
    <x v="3"/>
    <x v="2"/>
    <x v="3"/>
    <x v="0"/>
    <x v="0"/>
  </r>
  <r>
    <x v="4"/>
    <x v="0"/>
    <x v="0"/>
    <x v="3"/>
    <x v="0"/>
    <x v="3"/>
    <x v="4"/>
    <x v="2"/>
    <x v="0"/>
    <x v="4"/>
    <x v="3"/>
    <x v="4"/>
    <x v="2"/>
    <x v="0"/>
  </r>
  <r>
    <x v="5"/>
    <x v="0"/>
    <x v="0"/>
    <x v="2"/>
    <x v="0"/>
    <x v="2"/>
    <x v="5"/>
    <x v="3"/>
    <x v="3"/>
    <x v="5"/>
    <x v="1"/>
    <x v="5"/>
    <x v="2"/>
    <x v="0"/>
  </r>
  <r>
    <x v="6"/>
    <x v="0"/>
    <x v="1"/>
    <x v="2"/>
    <x v="1"/>
    <x v="4"/>
    <x v="6"/>
    <x v="4"/>
    <x v="4"/>
    <x v="6"/>
    <x v="4"/>
    <x v="6"/>
    <x v="2"/>
    <x v="1"/>
  </r>
  <r>
    <x v="7"/>
    <x v="0"/>
    <x v="0"/>
    <x v="0"/>
    <x v="0"/>
    <x v="2"/>
    <x v="3"/>
    <x v="3"/>
    <x v="0"/>
    <x v="7"/>
    <x v="1"/>
    <x v="7"/>
    <x v="2"/>
    <x v="0"/>
  </r>
  <r>
    <x v="8"/>
    <x v="0"/>
    <x v="2"/>
    <x v="1"/>
    <x v="0"/>
    <x v="4"/>
    <x v="7"/>
    <x v="5"/>
    <x v="5"/>
    <x v="8"/>
    <x v="5"/>
    <x v="8"/>
    <x v="1"/>
    <x v="2"/>
  </r>
  <r>
    <x v="9"/>
    <x v="0"/>
    <x v="0"/>
    <x v="0"/>
    <x v="1"/>
    <x v="2"/>
    <x v="8"/>
    <x v="3"/>
    <x v="3"/>
    <x v="9"/>
    <x v="6"/>
    <x v="9"/>
    <x v="2"/>
    <x v="0"/>
  </r>
  <r>
    <x v="10"/>
    <x v="1"/>
    <x v="3"/>
    <x v="1"/>
    <x v="1"/>
    <x v="2"/>
    <x v="9"/>
    <x v="6"/>
    <x v="6"/>
    <x v="10"/>
    <x v="3"/>
    <x v="10"/>
    <x v="1"/>
    <x v="3"/>
  </r>
  <r>
    <x v="11"/>
    <x v="1"/>
    <x v="2"/>
    <x v="3"/>
    <x v="1"/>
    <x v="3"/>
    <x v="4"/>
    <x v="7"/>
    <x v="3"/>
    <x v="4"/>
    <x v="1"/>
    <x v="11"/>
    <x v="3"/>
    <x v="2"/>
  </r>
  <r>
    <x v="12"/>
    <x v="1"/>
    <x v="1"/>
    <x v="0"/>
    <x v="0"/>
    <x v="2"/>
    <x v="9"/>
    <x v="4"/>
    <x v="1"/>
    <x v="11"/>
    <x v="6"/>
    <x v="12"/>
    <x v="2"/>
    <x v="1"/>
  </r>
  <r>
    <x v="13"/>
    <x v="1"/>
    <x v="4"/>
    <x v="0"/>
    <x v="0"/>
    <x v="0"/>
    <x v="10"/>
    <x v="8"/>
    <x v="4"/>
    <x v="12"/>
    <x v="3"/>
    <x v="13"/>
    <x v="0"/>
    <x v="4"/>
  </r>
  <r>
    <x v="14"/>
    <x v="1"/>
    <x v="3"/>
    <x v="0"/>
    <x v="0"/>
    <x v="4"/>
    <x v="11"/>
    <x v="6"/>
    <x v="1"/>
    <x v="13"/>
    <x v="4"/>
    <x v="14"/>
    <x v="1"/>
    <x v="3"/>
  </r>
  <r>
    <x v="15"/>
    <x v="1"/>
    <x v="4"/>
    <x v="0"/>
    <x v="0"/>
    <x v="4"/>
    <x v="12"/>
    <x v="8"/>
    <x v="2"/>
    <x v="14"/>
    <x v="2"/>
    <x v="15"/>
    <x v="0"/>
    <x v="4"/>
  </r>
  <r>
    <x v="16"/>
    <x v="2"/>
    <x v="3"/>
    <x v="2"/>
    <x v="0"/>
    <x v="3"/>
    <x v="13"/>
    <x v="9"/>
    <x v="5"/>
    <x v="15"/>
    <x v="5"/>
    <x v="16"/>
    <x v="2"/>
    <x v="3"/>
  </r>
  <r>
    <x v="17"/>
    <x v="2"/>
    <x v="4"/>
    <x v="2"/>
    <x v="0"/>
    <x v="1"/>
    <x v="1"/>
    <x v="10"/>
    <x v="3"/>
    <x v="16"/>
    <x v="3"/>
    <x v="17"/>
    <x v="2"/>
    <x v="4"/>
  </r>
  <r>
    <x v="18"/>
    <x v="2"/>
    <x v="3"/>
    <x v="0"/>
    <x v="0"/>
    <x v="0"/>
    <x v="10"/>
    <x v="9"/>
    <x v="5"/>
    <x v="17"/>
    <x v="5"/>
    <x v="18"/>
    <x v="2"/>
    <x v="3"/>
  </r>
  <r>
    <x v="19"/>
    <x v="3"/>
    <x v="2"/>
    <x v="1"/>
    <x v="0"/>
    <x v="3"/>
    <x v="14"/>
    <x v="11"/>
    <x v="3"/>
    <x v="18"/>
    <x v="1"/>
    <x v="19"/>
    <x v="1"/>
    <x v="2"/>
  </r>
  <r>
    <x v="20"/>
    <x v="3"/>
    <x v="3"/>
    <x v="0"/>
    <x v="0"/>
    <x v="2"/>
    <x v="2"/>
    <x v="12"/>
    <x v="1"/>
    <x v="19"/>
    <x v="1"/>
    <x v="20"/>
    <x v="0"/>
    <x v="3"/>
  </r>
  <r>
    <x v="21"/>
    <x v="3"/>
    <x v="3"/>
    <x v="0"/>
    <x v="1"/>
    <x v="5"/>
    <x v="15"/>
    <x v="9"/>
    <x v="3"/>
    <x v="20"/>
    <x v="2"/>
    <x v="21"/>
    <x v="2"/>
    <x v="3"/>
  </r>
  <r>
    <x v="22"/>
    <x v="3"/>
    <x v="1"/>
    <x v="0"/>
    <x v="0"/>
    <x v="5"/>
    <x v="16"/>
    <x v="13"/>
    <x v="3"/>
    <x v="21"/>
    <x v="1"/>
    <x v="22"/>
    <x v="0"/>
    <x v="1"/>
  </r>
  <r>
    <x v="23"/>
    <x v="3"/>
    <x v="2"/>
    <x v="0"/>
    <x v="1"/>
    <x v="2"/>
    <x v="17"/>
    <x v="5"/>
    <x v="3"/>
    <x v="22"/>
    <x v="1"/>
    <x v="23"/>
    <x v="1"/>
    <x v="2"/>
  </r>
  <r>
    <x v="24"/>
    <x v="3"/>
    <x v="3"/>
    <x v="2"/>
    <x v="0"/>
    <x v="2"/>
    <x v="9"/>
    <x v="9"/>
    <x v="2"/>
    <x v="23"/>
    <x v="5"/>
    <x v="24"/>
    <x v="2"/>
    <x v="3"/>
  </r>
  <r>
    <x v="25"/>
    <x v="3"/>
    <x v="0"/>
    <x v="0"/>
    <x v="1"/>
    <x v="2"/>
    <x v="17"/>
    <x v="0"/>
    <x v="5"/>
    <x v="24"/>
    <x v="1"/>
    <x v="25"/>
    <x v="0"/>
    <x v="0"/>
  </r>
  <r>
    <x v="26"/>
    <x v="4"/>
    <x v="1"/>
    <x v="0"/>
    <x v="0"/>
    <x v="5"/>
    <x v="15"/>
    <x v="4"/>
    <x v="3"/>
    <x v="25"/>
    <x v="0"/>
    <x v="26"/>
    <x v="2"/>
    <x v="1"/>
  </r>
  <r>
    <x v="27"/>
    <x v="4"/>
    <x v="0"/>
    <x v="0"/>
    <x v="0"/>
    <x v="0"/>
    <x v="0"/>
    <x v="3"/>
    <x v="0"/>
    <x v="26"/>
    <x v="1"/>
    <x v="27"/>
    <x v="2"/>
    <x v="0"/>
  </r>
  <r>
    <x v="28"/>
    <x v="4"/>
    <x v="0"/>
    <x v="0"/>
    <x v="0"/>
    <x v="2"/>
    <x v="3"/>
    <x v="3"/>
    <x v="3"/>
    <x v="7"/>
    <x v="0"/>
    <x v="28"/>
    <x v="2"/>
    <x v="0"/>
  </r>
  <r>
    <x v="29"/>
    <x v="4"/>
    <x v="3"/>
    <x v="3"/>
    <x v="0"/>
    <x v="5"/>
    <x v="18"/>
    <x v="9"/>
    <x v="3"/>
    <x v="27"/>
    <x v="4"/>
    <x v="29"/>
    <x v="2"/>
    <x v="3"/>
  </r>
  <r>
    <x v="30"/>
    <x v="4"/>
    <x v="2"/>
    <x v="3"/>
    <x v="1"/>
    <x v="0"/>
    <x v="19"/>
    <x v="7"/>
    <x v="7"/>
    <x v="28"/>
    <x v="0"/>
    <x v="30"/>
    <x v="3"/>
    <x v="2"/>
  </r>
  <r>
    <x v="31"/>
    <x v="4"/>
    <x v="3"/>
    <x v="0"/>
    <x v="1"/>
    <x v="2"/>
    <x v="5"/>
    <x v="9"/>
    <x v="3"/>
    <x v="29"/>
    <x v="5"/>
    <x v="31"/>
    <x v="2"/>
    <x v="3"/>
  </r>
  <r>
    <x v="32"/>
    <x v="5"/>
    <x v="0"/>
    <x v="1"/>
    <x v="0"/>
    <x v="0"/>
    <x v="0"/>
    <x v="2"/>
    <x v="3"/>
    <x v="30"/>
    <x v="6"/>
    <x v="32"/>
    <x v="2"/>
    <x v="0"/>
  </r>
  <r>
    <x v="33"/>
    <x v="5"/>
    <x v="1"/>
    <x v="0"/>
    <x v="1"/>
    <x v="1"/>
    <x v="20"/>
    <x v="13"/>
    <x v="5"/>
    <x v="31"/>
    <x v="5"/>
    <x v="33"/>
    <x v="0"/>
    <x v="1"/>
  </r>
  <r>
    <x v="34"/>
    <x v="5"/>
    <x v="0"/>
    <x v="2"/>
    <x v="1"/>
    <x v="4"/>
    <x v="11"/>
    <x v="3"/>
    <x v="4"/>
    <x v="32"/>
    <x v="6"/>
    <x v="34"/>
    <x v="2"/>
    <x v="0"/>
  </r>
  <r>
    <x v="35"/>
    <x v="5"/>
    <x v="1"/>
    <x v="0"/>
    <x v="0"/>
    <x v="2"/>
    <x v="5"/>
    <x v="13"/>
    <x v="5"/>
    <x v="33"/>
    <x v="0"/>
    <x v="35"/>
    <x v="0"/>
    <x v="1"/>
  </r>
  <r>
    <x v="36"/>
    <x v="6"/>
    <x v="4"/>
    <x v="0"/>
    <x v="0"/>
    <x v="4"/>
    <x v="7"/>
    <x v="10"/>
    <x v="0"/>
    <x v="34"/>
    <x v="4"/>
    <x v="36"/>
    <x v="2"/>
    <x v="4"/>
  </r>
  <r>
    <x v="37"/>
    <x v="6"/>
    <x v="1"/>
    <x v="0"/>
    <x v="1"/>
    <x v="0"/>
    <x v="10"/>
    <x v="4"/>
    <x v="3"/>
    <x v="17"/>
    <x v="5"/>
    <x v="37"/>
    <x v="2"/>
    <x v="1"/>
  </r>
  <r>
    <x v="38"/>
    <x v="6"/>
    <x v="0"/>
    <x v="1"/>
    <x v="1"/>
    <x v="2"/>
    <x v="17"/>
    <x v="0"/>
    <x v="5"/>
    <x v="24"/>
    <x v="2"/>
    <x v="38"/>
    <x v="0"/>
    <x v="0"/>
  </r>
  <r>
    <x v="39"/>
    <x v="7"/>
    <x v="4"/>
    <x v="2"/>
    <x v="0"/>
    <x v="0"/>
    <x v="19"/>
    <x v="14"/>
    <x v="3"/>
    <x v="28"/>
    <x v="4"/>
    <x v="39"/>
    <x v="2"/>
    <x v="4"/>
  </r>
  <r>
    <x v="40"/>
    <x v="7"/>
    <x v="1"/>
    <x v="0"/>
    <x v="0"/>
    <x v="5"/>
    <x v="21"/>
    <x v="4"/>
    <x v="5"/>
    <x v="35"/>
    <x v="3"/>
    <x v="40"/>
    <x v="2"/>
    <x v="1"/>
  </r>
  <r>
    <x v="41"/>
    <x v="7"/>
    <x v="3"/>
    <x v="2"/>
    <x v="0"/>
    <x v="1"/>
    <x v="22"/>
    <x v="9"/>
    <x v="4"/>
    <x v="36"/>
    <x v="2"/>
    <x v="41"/>
    <x v="2"/>
    <x v="3"/>
  </r>
  <r>
    <x v="42"/>
    <x v="7"/>
    <x v="4"/>
    <x v="1"/>
    <x v="1"/>
    <x v="2"/>
    <x v="2"/>
    <x v="8"/>
    <x v="3"/>
    <x v="19"/>
    <x v="5"/>
    <x v="42"/>
    <x v="0"/>
    <x v="4"/>
  </r>
  <r>
    <x v="43"/>
    <x v="7"/>
    <x v="3"/>
    <x v="0"/>
    <x v="1"/>
    <x v="3"/>
    <x v="23"/>
    <x v="9"/>
    <x v="3"/>
    <x v="37"/>
    <x v="4"/>
    <x v="43"/>
    <x v="2"/>
    <x v="3"/>
  </r>
  <r>
    <x v="44"/>
    <x v="7"/>
    <x v="2"/>
    <x v="1"/>
    <x v="1"/>
    <x v="2"/>
    <x v="17"/>
    <x v="7"/>
    <x v="1"/>
    <x v="22"/>
    <x v="0"/>
    <x v="44"/>
    <x v="3"/>
    <x v="2"/>
  </r>
  <r>
    <x v="45"/>
    <x v="7"/>
    <x v="3"/>
    <x v="1"/>
    <x v="0"/>
    <x v="4"/>
    <x v="12"/>
    <x v="9"/>
    <x v="5"/>
    <x v="38"/>
    <x v="5"/>
    <x v="45"/>
    <x v="2"/>
    <x v="3"/>
  </r>
  <r>
    <x v="46"/>
    <x v="7"/>
    <x v="0"/>
    <x v="3"/>
    <x v="0"/>
    <x v="4"/>
    <x v="12"/>
    <x v="3"/>
    <x v="5"/>
    <x v="39"/>
    <x v="1"/>
    <x v="46"/>
    <x v="2"/>
    <x v="0"/>
  </r>
  <r>
    <x v="47"/>
    <x v="8"/>
    <x v="4"/>
    <x v="2"/>
    <x v="0"/>
    <x v="5"/>
    <x v="21"/>
    <x v="14"/>
    <x v="3"/>
    <x v="40"/>
    <x v="5"/>
    <x v="47"/>
    <x v="2"/>
    <x v="4"/>
  </r>
  <r>
    <x v="48"/>
    <x v="8"/>
    <x v="3"/>
    <x v="3"/>
    <x v="1"/>
    <x v="3"/>
    <x v="4"/>
    <x v="6"/>
    <x v="3"/>
    <x v="41"/>
    <x v="5"/>
    <x v="48"/>
    <x v="1"/>
    <x v="3"/>
  </r>
  <r>
    <x v="49"/>
    <x v="8"/>
    <x v="4"/>
    <x v="1"/>
    <x v="0"/>
    <x v="2"/>
    <x v="5"/>
    <x v="10"/>
    <x v="3"/>
    <x v="5"/>
    <x v="1"/>
    <x v="5"/>
    <x v="2"/>
    <x v="4"/>
  </r>
  <r>
    <x v="50"/>
    <x v="8"/>
    <x v="3"/>
    <x v="0"/>
    <x v="0"/>
    <x v="5"/>
    <x v="15"/>
    <x v="9"/>
    <x v="5"/>
    <x v="42"/>
    <x v="2"/>
    <x v="49"/>
    <x v="2"/>
    <x v="3"/>
  </r>
  <r>
    <x v="51"/>
    <x v="8"/>
    <x v="4"/>
    <x v="2"/>
    <x v="1"/>
    <x v="2"/>
    <x v="8"/>
    <x v="14"/>
    <x v="5"/>
    <x v="43"/>
    <x v="5"/>
    <x v="50"/>
    <x v="2"/>
    <x v="4"/>
  </r>
  <r>
    <x v="52"/>
    <x v="8"/>
    <x v="0"/>
    <x v="0"/>
    <x v="0"/>
    <x v="4"/>
    <x v="6"/>
    <x v="0"/>
    <x v="2"/>
    <x v="44"/>
    <x v="1"/>
    <x v="51"/>
    <x v="0"/>
    <x v="0"/>
  </r>
  <r>
    <x v="53"/>
    <x v="9"/>
    <x v="3"/>
    <x v="2"/>
    <x v="0"/>
    <x v="2"/>
    <x v="8"/>
    <x v="9"/>
    <x v="4"/>
    <x v="45"/>
    <x v="1"/>
    <x v="52"/>
    <x v="2"/>
    <x v="3"/>
  </r>
  <r>
    <x v="54"/>
    <x v="9"/>
    <x v="3"/>
    <x v="2"/>
    <x v="0"/>
    <x v="2"/>
    <x v="2"/>
    <x v="9"/>
    <x v="2"/>
    <x v="2"/>
    <x v="6"/>
    <x v="53"/>
    <x v="2"/>
    <x v="3"/>
  </r>
  <r>
    <x v="55"/>
    <x v="9"/>
    <x v="0"/>
    <x v="0"/>
    <x v="0"/>
    <x v="4"/>
    <x v="6"/>
    <x v="2"/>
    <x v="3"/>
    <x v="46"/>
    <x v="0"/>
    <x v="54"/>
    <x v="2"/>
    <x v="0"/>
  </r>
  <r>
    <x v="56"/>
    <x v="9"/>
    <x v="1"/>
    <x v="2"/>
    <x v="0"/>
    <x v="1"/>
    <x v="22"/>
    <x v="4"/>
    <x v="0"/>
    <x v="47"/>
    <x v="1"/>
    <x v="55"/>
    <x v="2"/>
    <x v="1"/>
  </r>
  <r>
    <x v="57"/>
    <x v="9"/>
    <x v="1"/>
    <x v="0"/>
    <x v="1"/>
    <x v="3"/>
    <x v="4"/>
    <x v="4"/>
    <x v="0"/>
    <x v="48"/>
    <x v="6"/>
    <x v="56"/>
    <x v="2"/>
    <x v="1"/>
  </r>
  <r>
    <x v="58"/>
    <x v="10"/>
    <x v="1"/>
    <x v="0"/>
    <x v="1"/>
    <x v="2"/>
    <x v="2"/>
    <x v="4"/>
    <x v="2"/>
    <x v="2"/>
    <x v="1"/>
    <x v="57"/>
    <x v="2"/>
    <x v="1"/>
  </r>
  <r>
    <x v="59"/>
    <x v="10"/>
    <x v="3"/>
    <x v="2"/>
    <x v="0"/>
    <x v="3"/>
    <x v="13"/>
    <x v="6"/>
    <x v="0"/>
    <x v="15"/>
    <x v="5"/>
    <x v="58"/>
    <x v="1"/>
    <x v="3"/>
  </r>
  <r>
    <x v="60"/>
    <x v="10"/>
    <x v="3"/>
    <x v="1"/>
    <x v="0"/>
    <x v="4"/>
    <x v="11"/>
    <x v="12"/>
    <x v="1"/>
    <x v="13"/>
    <x v="4"/>
    <x v="14"/>
    <x v="0"/>
    <x v="3"/>
  </r>
  <r>
    <x v="61"/>
    <x v="10"/>
    <x v="3"/>
    <x v="1"/>
    <x v="0"/>
    <x v="2"/>
    <x v="5"/>
    <x v="9"/>
    <x v="6"/>
    <x v="5"/>
    <x v="4"/>
    <x v="59"/>
    <x v="2"/>
    <x v="3"/>
  </r>
  <r>
    <x v="62"/>
    <x v="10"/>
    <x v="2"/>
    <x v="0"/>
    <x v="1"/>
    <x v="1"/>
    <x v="24"/>
    <x v="11"/>
    <x v="5"/>
    <x v="49"/>
    <x v="1"/>
    <x v="60"/>
    <x v="1"/>
    <x v="2"/>
  </r>
  <r>
    <x v="63"/>
    <x v="10"/>
    <x v="3"/>
    <x v="0"/>
    <x v="0"/>
    <x v="0"/>
    <x v="0"/>
    <x v="9"/>
    <x v="4"/>
    <x v="26"/>
    <x v="2"/>
    <x v="61"/>
    <x v="2"/>
    <x v="3"/>
  </r>
  <r>
    <x v="64"/>
    <x v="11"/>
    <x v="1"/>
    <x v="0"/>
    <x v="0"/>
    <x v="3"/>
    <x v="4"/>
    <x v="1"/>
    <x v="0"/>
    <x v="4"/>
    <x v="1"/>
    <x v="62"/>
    <x v="1"/>
    <x v="1"/>
  </r>
  <r>
    <x v="65"/>
    <x v="11"/>
    <x v="4"/>
    <x v="0"/>
    <x v="0"/>
    <x v="0"/>
    <x v="0"/>
    <x v="8"/>
    <x v="2"/>
    <x v="30"/>
    <x v="0"/>
    <x v="63"/>
    <x v="0"/>
    <x v="4"/>
  </r>
  <r>
    <x v="66"/>
    <x v="11"/>
    <x v="3"/>
    <x v="2"/>
    <x v="0"/>
    <x v="4"/>
    <x v="7"/>
    <x v="12"/>
    <x v="4"/>
    <x v="34"/>
    <x v="5"/>
    <x v="64"/>
    <x v="0"/>
    <x v="3"/>
  </r>
  <r>
    <x v="67"/>
    <x v="11"/>
    <x v="3"/>
    <x v="1"/>
    <x v="0"/>
    <x v="0"/>
    <x v="0"/>
    <x v="12"/>
    <x v="0"/>
    <x v="50"/>
    <x v="1"/>
    <x v="65"/>
    <x v="0"/>
    <x v="3"/>
  </r>
  <r>
    <x v="68"/>
    <x v="11"/>
    <x v="0"/>
    <x v="3"/>
    <x v="0"/>
    <x v="5"/>
    <x v="25"/>
    <x v="0"/>
    <x v="3"/>
    <x v="51"/>
    <x v="3"/>
    <x v="66"/>
    <x v="0"/>
    <x v="0"/>
  </r>
  <r>
    <x v="69"/>
    <x v="11"/>
    <x v="2"/>
    <x v="3"/>
    <x v="0"/>
    <x v="0"/>
    <x v="19"/>
    <x v="5"/>
    <x v="0"/>
    <x v="52"/>
    <x v="1"/>
    <x v="67"/>
    <x v="1"/>
    <x v="2"/>
  </r>
  <r>
    <x v="70"/>
    <x v="11"/>
    <x v="4"/>
    <x v="0"/>
    <x v="0"/>
    <x v="3"/>
    <x v="13"/>
    <x v="10"/>
    <x v="0"/>
    <x v="53"/>
    <x v="4"/>
    <x v="68"/>
    <x v="2"/>
    <x v="4"/>
  </r>
  <r>
    <x v="71"/>
    <x v="11"/>
    <x v="4"/>
    <x v="0"/>
    <x v="0"/>
    <x v="1"/>
    <x v="24"/>
    <x v="10"/>
    <x v="1"/>
    <x v="54"/>
    <x v="1"/>
    <x v="69"/>
    <x v="2"/>
    <x v="4"/>
  </r>
  <r>
    <x v="72"/>
    <x v="12"/>
    <x v="3"/>
    <x v="1"/>
    <x v="0"/>
    <x v="0"/>
    <x v="10"/>
    <x v="9"/>
    <x v="1"/>
    <x v="55"/>
    <x v="1"/>
    <x v="70"/>
    <x v="2"/>
    <x v="3"/>
  </r>
  <r>
    <x v="73"/>
    <x v="12"/>
    <x v="1"/>
    <x v="2"/>
    <x v="1"/>
    <x v="0"/>
    <x v="19"/>
    <x v="1"/>
    <x v="3"/>
    <x v="28"/>
    <x v="5"/>
    <x v="71"/>
    <x v="1"/>
    <x v="1"/>
  </r>
  <r>
    <x v="74"/>
    <x v="12"/>
    <x v="2"/>
    <x v="0"/>
    <x v="0"/>
    <x v="2"/>
    <x v="8"/>
    <x v="5"/>
    <x v="5"/>
    <x v="56"/>
    <x v="0"/>
    <x v="72"/>
    <x v="1"/>
    <x v="2"/>
  </r>
  <r>
    <x v="75"/>
    <x v="12"/>
    <x v="1"/>
    <x v="3"/>
    <x v="1"/>
    <x v="4"/>
    <x v="12"/>
    <x v="4"/>
    <x v="0"/>
    <x v="14"/>
    <x v="1"/>
    <x v="73"/>
    <x v="2"/>
    <x v="1"/>
  </r>
  <r>
    <x v="76"/>
    <x v="12"/>
    <x v="4"/>
    <x v="0"/>
    <x v="1"/>
    <x v="2"/>
    <x v="9"/>
    <x v="14"/>
    <x v="0"/>
    <x v="10"/>
    <x v="1"/>
    <x v="74"/>
    <x v="2"/>
    <x v="4"/>
  </r>
  <r>
    <x v="77"/>
    <x v="12"/>
    <x v="0"/>
    <x v="0"/>
    <x v="0"/>
    <x v="2"/>
    <x v="8"/>
    <x v="3"/>
    <x v="0"/>
    <x v="43"/>
    <x v="2"/>
    <x v="75"/>
    <x v="2"/>
    <x v="0"/>
  </r>
  <r>
    <x v="78"/>
    <x v="13"/>
    <x v="0"/>
    <x v="1"/>
    <x v="1"/>
    <x v="2"/>
    <x v="2"/>
    <x v="2"/>
    <x v="3"/>
    <x v="2"/>
    <x v="1"/>
    <x v="76"/>
    <x v="2"/>
    <x v="0"/>
  </r>
  <r>
    <x v="79"/>
    <x v="13"/>
    <x v="4"/>
    <x v="0"/>
    <x v="0"/>
    <x v="3"/>
    <x v="13"/>
    <x v="10"/>
    <x v="2"/>
    <x v="57"/>
    <x v="6"/>
    <x v="77"/>
    <x v="2"/>
    <x v="4"/>
  </r>
  <r>
    <x v="80"/>
    <x v="13"/>
    <x v="3"/>
    <x v="0"/>
    <x v="1"/>
    <x v="1"/>
    <x v="1"/>
    <x v="6"/>
    <x v="0"/>
    <x v="58"/>
    <x v="6"/>
    <x v="78"/>
    <x v="1"/>
    <x v="3"/>
  </r>
  <r>
    <x v="81"/>
    <x v="14"/>
    <x v="1"/>
    <x v="0"/>
    <x v="0"/>
    <x v="4"/>
    <x v="6"/>
    <x v="4"/>
    <x v="6"/>
    <x v="6"/>
    <x v="0"/>
    <x v="79"/>
    <x v="2"/>
    <x v="1"/>
  </r>
  <r>
    <x v="82"/>
    <x v="14"/>
    <x v="3"/>
    <x v="0"/>
    <x v="1"/>
    <x v="1"/>
    <x v="20"/>
    <x v="6"/>
    <x v="2"/>
    <x v="59"/>
    <x v="0"/>
    <x v="80"/>
    <x v="1"/>
    <x v="3"/>
  </r>
  <r>
    <x v="83"/>
    <x v="15"/>
    <x v="0"/>
    <x v="0"/>
    <x v="0"/>
    <x v="2"/>
    <x v="2"/>
    <x v="2"/>
    <x v="0"/>
    <x v="2"/>
    <x v="4"/>
    <x v="81"/>
    <x v="2"/>
    <x v="0"/>
  </r>
  <r>
    <x v="84"/>
    <x v="15"/>
    <x v="4"/>
    <x v="2"/>
    <x v="1"/>
    <x v="5"/>
    <x v="16"/>
    <x v="10"/>
    <x v="3"/>
    <x v="60"/>
    <x v="1"/>
    <x v="82"/>
    <x v="2"/>
    <x v="4"/>
  </r>
  <r>
    <x v="85"/>
    <x v="15"/>
    <x v="1"/>
    <x v="3"/>
    <x v="0"/>
    <x v="3"/>
    <x v="13"/>
    <x v="13"/>
    <x v="3"/>
    <x v="61"/>
    <x v="2"/>
    <x v="83"/>
    <x v="0"/>
    <x v="1"/>
  </r>
  <r>
    <x v="86"/>
    <x v="15"/>
    <x v="3"/>
    <x v="3"/>
    <x v="1"/>
    <x v="1"/>
    <x v="20"/>
    <x v="12"/>
    <x v="1"/>
    <x v="31"/>
    <x v="1"/>
    <x v="84"/>
    <x v="0"/>
    <x v="3"/>
  </r>
  <r>
    <x v="87"/>
    <x v="15"/>
    <x v="3"/>
    <x v="1"/>
    <x v="0"/>
    <x v="3"/>
    <x v="4"/>
    <x v="6"/>
    <x v="2"/>
    <x v="62"/>
    <x v="5"/>
    <x v="85"/>
    <x v="1"/>
    <x v="3"/>
  </r>
  <r>
    <x v="88"/>
    <x v="15"/>
    <x v="0"/>
    <x v="2"/>
    <x v="0"/>
    <x v="1"/>
    <x v="24"/>
    <x v="2"/>
    <x v="5"/>
    <x v="63"/>
    <x v="5"/>
    <x v="86"/>
    <x v="2"/>
    <x v="0"/>
  </r>
  <r>
    <x v="89"/>
    <x v="15"/>
    <x v="4"/>
    <x v="2"/>
    <x v="1"/>
    <x v="1"/>
    <x v="22"/>
    <x v="10"/>
    <x v="5"/>
    <x v="64"/>
    <x v="1"/>
    <x v="87"/>
    <x v="2"/>
    <x v="4"/>
  </r>
  <r>
    <x v="90"/>
    <x v="15"/>
    <x v="2"/>
    <x v="1"/>
    <x v="0"/>
    <x v="0"/>
    <x v="0"/>
    <x v="11"/>
    <x v="2"/>
    <x v="0"/>
    <x v="3"/>
    <x v="88"/>
    <x v="1"/>
    <x v="2"/>
  </r>
  <r>
    <x v="91"/>
    <x v="15"/>
    <x v="3"/>
    <x v="0"/>
    <x v="0"/>
    <x v="1"/>
    <x v="26"/>
    <x v="6"/>
    <x v="2"/>
    <x v="65"/>
    <x v="3"/>
    <x v="89"/>
    <x v="1"/>
    <x v="3"/>
  </r>
  <r>
    <x v="92"/>
    <x v="15"/>
    <x v="3"/>
    <x v="2"/>
    <x v="1"/>
    <x v="1"/>
    <x v="26"/>
    <x v="9"/>
    <x v="5"/>
    <x v="65"/>
    <x v="5"/>
    <x v="90"/>
    <x v="2"/>
    <x v="3"/>
  </r>
  <r>
    <x v="93"/>
    <x v="16"/>
    <x v="2"/>
    <x v="2"/>
    <x v="1"/>
    <x v="2"/>
    <x v="5"/>
    <x v="7"/>
    <x v="0"/>
    <x v="66"/>
    <x v="4"/>
    <x v="91"/>
    <x v="3"/>
    <x v="2"/>
  </r>
  <r>
    <x v="94"/>
    <x v="16"/>
    <x v="2"/>
    <x v="3"/>
    <x v="0"/>
    <x v="4"/>
    <x v="12"/>
    <x v="5"/>
    <x v="8"/>
    <x v="38"/>
    <x v="6"/>
    <x v="92"/>
    <x v="1"/>
    <x v="2"/>
  </r>
  <r>
    <x v="95"/>
    <x v="16"/>
    <x v="3"/>
    <x v="3"/>
    <x v="0"/>
    <x v="5"/>
    <x v="16"/>
    <x v="9"/>
    <x v="0"/>
    <x v="67"/>
    <x v="4"/>
    <x v="93"/>
    <x v="2"/>
    <x v="3"/>
  </r>
  <r>
    <x v="96"/>
    <x v="16"/>
    <x v="1"/>
    <x v="1"/>
    <x v="0"/>
    <x v="0"/>
    <x v="10"/>
    <x v="1"/>
    <x v="0"/>
    <x v="55"/>
    <x v="1"/>
    <x v="94"/>
    <x v="1"/>
    <x v="1"/>
  </r>
  <r>
    <x v="97"/>
    <x v="17"/>
    <x v="4"/>
    <x v="2"/>
    <x v="0"/>
    <x v="5"/>
    <x v="25"/>
    <x v="14"/>
    <x v="3"/>
    <x v="51"/>
    <x v="1"/>
    <x v="95"/>
    <x v="2"/>
    <x v="4"/>
  </r>
  <r>
    <x v="98"/>
    <x v="17"/>
    <x v="1"/>
    <x v="2"/>
    <x v="0"/>
    <x v="3"/>
    <x v="4"/>
    <x v="13"/>
    <x v="2"/>
    <x v="68"/>
    <x v="1"/>
    <x v="96"/>
    <x v="0"/>
    <x v="1"/>
  </r>
  <r>
    <x v="99"/>
    <x v="17"/>
    <x v="4"/>
    <x v="0"/>
    <x v="0"/>
    <x v="0"/>
    <x v="27"/>
    <x v="8"/>
    <x v="3"/>
    <x v="69"/>
    <x v="6"/>
    <x v="97"/>
    <x v="0"/>
    <x v="4"/>
  </r>
  <r>
    <x v="100"/>
    <x v="17"/>
    <x v="2"/>
    <x v="2"/>
    <x v="1"/>
    <x v="2"/>
    <x v="17"/>
    <x v="7"/>
    <x v="5"/>
    <x v="22"/>
    <x v="0"/>
    <x v="98"/>
    <x v="3"/>
    <x v="2"/>
  </r>
  <r>
    <x v="101"/>
    <x v="17"/>
    <x v="3"/>
    <x v="0"/>
    <x v="0"/>
    <x v="5"/>
    <x v="15"/>
    <x v="12"/>
    <x v="3"/>
    <x v="70"/>
    <x v="3"/>
    <x v="99"/>
    <x v="0"/>
    <x v="3"/>
  </r>
  <r>
    <x v="102"/>
    <x v="17"/>
    <x v="3"/>
    <x v="0"/>
    <x v="0"/>
    <x v="0"/>
    <x v="19"/>
    <x v="9"/>
    <x v="4"/>
    <x v="71"/>
    <x v="0"/>
    <x v="100"/>
    <x v="2"/>
    <x v="3"/>
  </r>
  <r>
    <x v="103"/>
    <x v="17"/>
    <x v="3"/>
    <x v="3"/>
    <x v="1"/>
    <x v="0"/>
    <x v="19"/>
    <x v="12"/>
    <x v="9"/>
    <x v="71"/>
    <x v="5"/>
    <x v="101"/>
    <x v="0"/>
    <x v="3"/>
  </r>
  <r>
    <x v="104"/>
    <x v="17"/>
    <x v="3"/>
    <x v="1"/>
    <x v="0"/>
    <x v="2"/>
    <x v="17"/>
    <x v="12"/>
    <x v="1"/>
    <x v="24"/>
    <x v="1"/>
    <x v="102"/>
    <x v="0"/>
    <x v="3"/>
  </r>
  <r>
    <x v="105"/>
    <x v="17"/>
    <x v="3"/>
    <x v="1"/>
    <x v="0"/>
    <x v="4"/>
    <x v="12"/>
    <x v="6"/>
    <x v="5"/>
    <x v="72"/>
    <x v="5"/>
    <x v="103"/>
    <x v="1"/>
    <x v="3"/>
  </r>
  <r>
    <x v="106"/>
    <x v="17"/>
    <x v="3"/>
    <x v="3"/>
    <x v="0"/>
    <x v="2"/>
    <x v="9"/>
    <x v="6"/>
    <x v="6"/>
    <x v="10"/>
    <x v="0"/>
    <x v="104"/>
    <x v="1"/>
    <x v="3"/>
  </r>
  <r>
    <x v="107"/>
    <x v="17"/>
    <x v="2"/>
    <x v="1"/>
    <x v="0"/>
    <x v="0"/>
    <x v="0"/>
    <x v="7"/>
    <x v="3"/>
    <x v="26"/>
    <x v="1"/>
    <x v="105"/>
    <x v="3"/>
    <x v="2"/>
  </r>
  <r>
    <x v="108"/>
    <x v="17"/>
    <x v="4"/>
    <x v="3"/>
    <x v="0"/>
    <x v="5"/>
    <x v="15"/>
    <x v="10"/>
    <x v="0"/>
    <x v="20"/>
    <x v="4"/>
    <x v="106"/>
    <x v="2"/>
    <x v="4"/>
  </r>
  <r>
    <x v="109"/>
    <x v="18"/>
    <x v="1"/>
    <x v="0"/>
    <x v="0"/>
    <x v="3"/>
    <x v="4"/>
    <x v="13"/>
    <x v="1"/>
    <x v="62"/>
    <x v="1"/>
    <x v="107"/>
    <x v="0"/>
    <x v="1"/>
  </r>
  <r>
    <x v="110"/>
    <x v="18"/>
    <x v="1"/>
    <x v="2"/>
    <x v="0"/>
    <x v="2"/>
    <x v="5"/>
    <x v="4"/>
    <x v="2"/>
    <x v="5"/>
    <x v="1"/>
    <x v="108"/>
    <x v="2"/>
    <x v="1"/>
  </r>
  <r>
    <x v="111"/>
    <x v="18"/>
    <x v="0"/>
    <x v="1"/>
    <x v="0"/>
    <x v="5"/>
    <x v="21"/>
    <x v="3"/>
    <x v="2"/>
    <x v="73"/>
    <x v="5"/>
    <x v="109"/>
    <x v="2"/>
    <x v="0"/>
  </r>
  <r>
    <x v="112"/>
    <x v="18"/>
    <x v="1"/>
    <x v="0"/>
    <x v="1"/>
    <x v="2"/>
    <x v="8"/>
    <x v="13"/>
    <x v="5"/>
    <x v="9"/>
    <x v="0"/>
    <x v="110"/>
    <x v="0"/>
    <x v="1"/>
  </r>
  <r>
    <x v="113"/>
    <x v="18"/>
    <x v="4"/>
    <x v="1"/>
    <x v="0"/>
    <x v="3"/>
    <x v="4"/>
    <x v="14"/>
    <x v="2"/>
    <x v="62"/>
    <x v="3"/>
    <x v="111"/>
    <x v="2"/>
    <x v="4"/>
  </r>
  <r>
    <x v="114"/>
    <x v="19"/>
    <x v="4"/>
    <x v="2"/>
    <x v="1"/>
    <x v="5"/>
    <x v="18"/>
    <x v="10"/>
    <x v="0"/>
    <x v="74"/>
    <x v="1"/>
    <x v="112"/>
    <x v="2"/>
    <x v="4"/>
  </r>
  <r>
    <x v="115"/>
    <x v="19"/>
    <x v="3"/>
    <x v="3"/>
    <x v="0"/>
    <x v="5"/>
    <x v="18"/>
    <x v="6"/>
    <x v="3"/>
    <x v="75"/>
    <x v="0"/>
    <x v="113"/>
    <x v="1"/>
    <x v="3"/>
  </r>
  <r>
    <x v="116"/>
    <x v="19"/>
    <x v="0"/>
    <x v="3"/>
    <x v="1"/>
    <x v="3"/>
    <x v="14"/>
    <x v="3"/>
    <x v="1"/>
    <x v="76"/>
    <x v="4"/>
    <x v="114"/>
    <x v="2"/>
    <x v="0"/>
  </r>
  <r>
    <x v="117"/>
    <x v="19"/>
    <x v="0"/>
    <x v="0"/>
    <x v="0"/>
    <x v="1"/>
    <x v="26"/>
    <x v="2"/>
    <x v="0"/>
    <x v="65"/>
    <x v="0"/>
    <x v="115"/>
    <x v="2"/>
    <x v="0"/>
  </r>
  <r>
    <x v="118"/>
    <x v="19"/>
    <x v="4"/>
    <x v="3"/>
    <x v="0"/>
    <x v="0"/>
    <x v="27"/>
    <x v="14"/>
    <x v="0"/>
    <x v="69"/>
    <x v="5"/>
    <x v="116"/>
    <x v="2"/>
    <x v="4"/>
  </r>
  <r>
    <x v="119"/>
    <x v="20"/>
    <x v="3"/>
    <x v="0"/>
    <x v="0"/>
    <x v="0"/>
    <x v="10"/>
    <x v="12"/>
    <x v="2"/>
    <x v="77"/>
    <x v="1"/>
    <x v="117"/>
    <x v="0"/>
    <x v="3"/>
  </r>
  <r>
    <x v="120"/>
    <x v="20"/>
    <x v="3"/>
    <x v="2"/>
    <x v="0"/>
    <x v="3"/>
    <x v="13"/>
    <x v="6"/>
    <x v="0"/>
    <x v="57"/>
    <x v="0"/>
    <x v="118"/>
    <x v="1"/>
    <x v="3"/>
  </r>
  <r>
    <x v="121"/>
    <x v="20"/>
    <x v="2"/>
    <x v="0"/>
    <x v="0"/>
    <x v="4"/>
    <x v="11"/>
    <x v="7"/>
    <x v="5"/>
    <x v="13"/>
    <x v="1"/>
    <x v="119"/>
    <x v="3"/>
    <x v="2"/>
  </r>
  <r>
    <x v="122"/>
    <x v="20"/>
    <x v="2"/>
    <x v="3"/>
    <x v="1"/>
    <x v="5"/>
    <x v="18"/>
    <x v="11"/>
    <x v="3"/>
    <x v="27"/>
    <x v="1"/>
    <x v="120"/>
    <x v="1"/>
    <x v="2"/>
  </r>
  <r>
    <x v="123"/>
    <x v="21"/>
    <x v="3"/>
    <x v="2"/>
    <x v="0"/>
    <x v="5"/>
    <x v="25"/>
    <x v="6"/>
    <x v="3"/>
    <x v="78"/>
    <x v="1"/>
    <x v="121"/>
    <x v="1"/>
    <x v="3"/>
  </r>
  <r>
    <x v="124"/>
    <x v="21"/>
    <x v="1"/>
    <x v="2"/>
    <x v="0"/>
    <x v="1"/>
    <x v="24"/>
    <x v="4"/>
    <x v="0"/>
    <x v="79"/>
    <x v="2"/>
    <x v="122"/>
    <x v="2"/>
    <x v="1"/>
  </r>
  <r>
    <x v="125"/>
    <x v="21"/>
    <x v="3"/>
    <x v="1"/>
    <x v="0"/>
    <x v="0"/>
    <x v="27"/>
    <x v="12"/>
    <x v="3"/>
    <x v="80"/>
    <x v="2"/>
    <x v="123"/>
    <x v="0"/>
    <x v="3"/>
  </r>
  <r>
    <x v="126"/>
    <x v="21"/>
    <x v="3"/>
    <x v="0"/>
    <x v="1"/>
    <x v="3"/>
    <x v="4"/>
    <x v="9"/>
    <x v="3"/>
    <x v="81"/>
    <x v="6"/>
    <x v="124"/>
    <x v="2"/>
    <x v="3"/>
  </r>
  <r>
    <x v="127"/>
    <x v="22"/>
    <x v="0"/>
    <x v="0"/>
    <x v="1"/>
    <x v="5"/>
    <x v="18"/>
    <x v="3"/>
    <x v="2"/>
    <x v="27"/>
    <x v="6"/>
    <x v="125"/>
    <x v="2"/>
    <x v="0"/>
  </r>
  <r>
    <x v="128"/>
    <x v="22"/>
    <x v="3"/>
    <x v="0"/>
    <x v="0"/>
    <x v="0"/>
    <x v="0"/>
    <x v="6"/>
    <x v="0"/>
    <x v="26"/>
    <x v="5"/>
    <x v="126"/>
    <x v="1"/>
    <x v="3"/>
  </r>
  <r>
    <x v="129"/>
    <x v="22"/>
    <x v="1"/>
    <x v="0"/>
    <x v="0"/>
    <x v="0"/>
    <x v="19"/>
    <x v="4"/>
    <x v="0"/>
    <x v="82"/>
    <x v="0"/>
    <x v="127"/>
    <x v="2"/>
    <x v="1"/>
  </r>
  <r>
    <x v="130"/>
    <x v="22"/>
    <x v="3"/>
    <x v="0"/>
    <x v="0"/>
    <x v="4"/>
    <x v="11"/>
    <x v="9"/>
    <x v="1"/>
    <x v="83"/>
    <x v="6"/>
    <x v="128"/>
    <x v="2"/>
    <x v="3"/>
  </r>
  <r>
    <x v="131"/>
    <x v="22"/>
    <x v="0"/>
    <x v="3"/>
    <x v="0"/>
    <x v="3"/>
    <x v="13"/>
    <x v="3"/>
    <x v="0"/>
    <x v="84"/>
    <x v="2"/>
    <x v="129"/>
    <x v="2"/>
    <x v="0"/>
  </r>
  <r>
    <x v="132"/>
    <x v="23"/>
    <x v="4"/>
    <x v="2"/>
    <x v="1"/>
    <x v="0"/>
    <x v="27"/>
    <x v="10"/>
    <x v="5"/>
    <x v="85"/>
    <x v="5"/>
    <x v="130"/>
    <x v="2"/>
    <x v="4"/>
  </r>
  <r>
    <x v="133"/>
    <x v="23"/>
    <x v="3"/>
    <x v="2"/>
    <x v="0"/>
    <x v="2"/>
    <x v="9"/>
    <x v="12"/>
    <x v="10"/>
    <x v="86"/>
    <x v="5"/>
    <x v="131"/>
    <x v="0"/>
    <x v="3"/>
  </r>
  <r>
    <x v="134"/>
    <x v="23"/>
    <x v="0"/>
    <x v="0"/>
    <x v="1"/>
    <x v="1"/>
    <x v="20"/>
    <x v="2"/>
    <x v="3"/>
    <x v="59"/>
    <x v="5"/>
    <x v="132"/>
    <x v="2"/>
    <x v="0"/>
  </r>
  <r>
    <x v="135"/>
    <x v="23"/>
    <x v="4"/>
    <x v="0"/>
    <x v="1"/>
    <x v="2"/>
    <x v="17"/>
    <x v="10"/>
    <x v="0"/>
    <x v="24"/>
    <x v="6"/>
    <x v="133"/>
    <x v="2"/>
    <x v="4"/>
  </r>
  <r>
    <x v="136"/>
    <x v="23"/>
    <x v="3"/>
    <x v="0"/>
    <x v="0"/>
    <x v="0"/>
    <x v="0"/>
    <x v="6"/>
    <x v="0"/>
    <x v="26"/>
    <x v="5"/>
    <x v="126"/>
    <x v="1"/>
    <x v="3"/>
  </r>
  <r>
    <x v="137"/>
    <x v="23"/>
    <x v="3"/>
    <x v="2"/>
    <x v="1"/>
    <x v="4"/>
    <x v="12"/>
    <x v="12"/>
    <x v="1"/>
    <x v="72"/>
    <x v="1"/>
    <x v="134"/>
    <x v="0"/>
    <x v="3"/>
  </r>
  <r>
    <x v="138"/>
    <x v="24"/>
    <x v="0"/>
    <x v="0"/>
    <x v="1"/>
    <x v="2"/>
    <x v="17"/>
    <x v="0"/>
    <x v="3"/>
    <x v="87"/>
    <x v="6"/>
    <x v="135"/>
    <x v="0"/>
    <x v="0"/>
  </r>
  <r>
    <x v="139"/>
    <x v="24"/>
    <x v="1"/>
    <x v="2"/>
    <x v="1"/>
    <x v="0"/>
    <x v="10"/>
    <x v="4"/>
    <x v="3"/>
    <x v="17"/>
    <x v="1"/>
    <x v="136"/>
    <x v="2"/>
    <x v="1"/>
  </r>
  <r>
    <x v="140"/>
    <x v="24"/>
    <x v="4"/>
    <x v="0"/>
    <x v="1"/>
    <x v="0"/>
    <x v="10"/>
    <x v="8"/>
    <x v="1"/>
    <x v="88"/>
    <x v="6"/>
    <x v="137"/>
    <x v="0"/>
    <x v="4"/>
  </r>
  <r>
    <x v="141"/>
    <x v="24"/>
    <x v="0"/>
    <x v="3"/>
    <x v="0"/>
    <x v="5"/>
    <x v="21"/>
    <x v="0"/>
    <x v="3"/>
    <x v="35"/>
    <x v="6"/>
    <x v="138"/>
    <x v="0"/>
    <x v="0"/>
  </r>
  <r>
    <x v="142"/>
    <x v="24"/>
    <x v="1"/>
    <x v="0"/>
    <x v="0"/>
    <x v="5"/>
    <x v="15"/>
    <x v="1"/>
    <x v="3"/>
    <x v="25"/>
    <x v="1"/>
    <x v="139"/>
    <x v="1"/>
    <x v="1"/>
  </r>
  <r>
    <x v="143"/>
    <x v="25"/>
    <x v="2"/>
    <x v="0"/>
    <x v="0"/>
    <x v="2"/>
    <x v="17"/>
    <x v="11"/>
    <x v="3"/>
    <x v="89"/>
    <x v="5"/>
    <x v="140"/>
    <x v="1"/>
    <x v="2"/>
  </r>
  <r>
    <x v="144"/>
    <x v="25"/>
    <x v="0"/>
    <x v="0"/>
    <x v="0"/>
    <x v="3"/>
    <x v="23"/>
    <x v="3"/>
    <x v="0"/>
    <x v="90"/>
    <x v="1"/>
    <x v="141"/>
    <x v="2"/>
    <x v="0"/>
  </r>
  <r>
    <x v="145"/>
    <x v="25"/>
    <x v="2"/>
    <x v="2"/>
    <x v="1"/>
    <x v="5"/>
    <x v="16"/>
    <x v="11"/>
    <x v="3"/>
    <x v="91"/>
    <x v="5"/>
    <x v="142"/>
    <x v="1"/>
    <x v="2"/>
  </r>
  <r>
    <x v="146"/>
    <x v="25"/>
    <x v="2"/>
    <x v="1"/>
    <x v="0"/>
    <x v="0"/>
    <x v="10"/>
    <x v="11"/>
    <x v="0"/>
    <x v="55"/>
    <x v="5"/>
    <x v="143"/>
    <x v="1"/>
    <x v="2"/>
  </r>
  <r>
    <x v="147"/>
    <x v="25"/>
    <x v="1"/>
    <x v="0"/>
    <x v="0"/>
    <x v="2"/>
    <x v="3"/>
    <x v="4"/>
    <x v="5"/>
    <x v="92"/>
    <x v="3"/>
    <x v="144"/>
    <x v="2"/>
    <x v="1"/>
  </r>
  <r>
    <x v="148"/>
    <x v="26"/>
    <x v="0"/>
    <x v="2"/>
    <x v="0"/>
    <x v="2"/>
    <x v="17"/>
    <x v="0"/>
    <x v="3"/>
    <x v="93"/>
    <x v="5"/>
    <x v="145"/>
    <x v="0"/>
    <x v="0"/>
  </r>
  <r>
    <x v="149"/>
    <x v="26"/>
    <x v="4"/>
    <x v="1"/>
    <x v="1"/>
    <x v="2"/>
    <x v="3"/>
    <x v="14"/>
    <x v="5"/>
    <x v="94"/>
    <x v="4"/>
    <x v="146"/>
    <x v="2"/>
    <x v="4"/>
  </r>
  <r>
    <x v="150"/>
    <x v="26"/>
    <x v="3"/>
    <x v="0"/>
    <x v="1"/>
    <x v="0"/>
    <x v="19"/>
    <x v="9"/>
    <x v="3"/>
    <x v="28"/>
    <x v="6"/>
    <x v="147"/>
    <x v="2"/>
    <x v="3"/>
  </r>
  <r>
    <x v="151"/>
    <x v="26"/>
    <x v="3"/>
    <x v="3"/>
    <x v="0"/>
    <x v="4"/>
    <x v="11"/>
    <x v="12"/>
    <x v="4"/>
    <x v="95"/>
    <x v="1"/>
    <x v="148"/>
    <x v="0"/>
    <x v="3"/>
  </r>
  <r>
    <x v="152"/>
    <x v="27"/>
    <x v="2"/>
    <x v="3"/>
    <x v="0"/>
    <x v="3"/>
    <x v="23"/>
    <x v="7"/>
    <x v="0"/>
    <x v="37"/>
    <x v="6"/>
    <x v="141"/>
    <x v="3"/>
    <x v="2"/>
  </r>
  <r>
    <x v="153"/>
    <x v="27"/>
    <x v="4"/>
    <x v="3"/>
    <x v="1"/>
    <x v="5"/>
    <x v="15"/>
    <x v="14"/>
    <x v="3"/>
    <x v="96"/>
    <x v="1"/>
    <x v="149"/>
    <x v="2"/>
    <x v="4"/>
  </r>
  <r>
    <x v="154"/>
    <x v="27"/>
    <x v="1"/>
    <x v="2"/>
    <x v="0"/>
    <x v="5"/>
    <x v="25"/>
    <x v="1"/>
    <x v="3"/>
    <x v="97"/>
    <x v="4"/>
    <x v="150"/>
    <x v="1"/>
    <x v="1"/>
  </r>
  <r>
    <x v="155"/>
    <x v="28"/>
    <x v="1"/>
    <x v="0"/>
    <x v="0"/>
    <x v="2"/>
    <x v="5"/>
    <x v="4"/>
    <x v="5"/>
    <x v="33"/>
    <x v="4"/>
    <x v="151"/>
    <x v="2"/>
    <x v="1"/>
  </r>
  <r>
    <x v="156"/>
    <x v="28"/>
    <x v="1"/>
    <x v="1"/>
    <x v="0"/>
    <x v="0"/>
    <x v="19"/>
    <x v="13"/>
    <x v="3"/>
    <x v="28"/>
    <x v="1"/>
    <x v="152"/>
    <x v="0"/>
    <x v="1"/>
  </r>
  <r>
    <x v="157"/>
    <x v="29"/>
    <x v="4"/>
    <x v="0"/>
    <x v="0"/>
    <x v="2"/>
    <x v="2"/>
    <x v="8"/>
    <x v="3"/>
    <x v="2"/>
    <x v="0"/>
    <x v="153"/>
    <x v="0"/>
    <x v="4"/>
  </r>
  <r>
    <x v="158"/>
    <x v="29"/>
    <x v="3"/>
    <x v="0"/>
    <x v="0"/>
    <x v="0"/>
    <x v="0"/>
    <x v="9"/>
    <x v="2"/>
    <x v="50"/>
    <x v="3"/>
    <x v="154"/>
    <x v="2"/>
    <x v="3"/>
  </r>
  <r>
    <x v="159"/>
    <x v="29"/>
    <x v="3"/>
    <x v="0"/>
    <x v="0"/>
    <x v="2"/>
    <x v="9"/>
    <x v="6"/>
    <x v="5"/>
    <x v="23"/>
    <x v="4"/>
    <x v="155"/>
    <x v="1"/>
    <x v="3"/>
  </r>
  <r>
    <x v="160"/>
    <x v="29"/>
    <x v="3"/>
    <x v="3"/>
    <x v="0"/>
    <x v="2"/>
    <x v="3"/>
    <x v="9"/>
    <x v="6"/>
    <x v="94"/>
    <x v="0"/>
    <x v="156"/>
    <x v="2"/>
    <x v="3"/>
  </r>
  <r>
    <x v="161"/>
    <x v="30"/>
    <x v="0"/>
    <x v="0"/>
    <x v="0"/>
    <x v="0"/>
    <x v="27"/>
    <x v="0"/>
    <x v="1"/>
    <x v="69"/>
    <x v="4"/>
    <x v="157"/>
    <x v="0"/>
    <x v="0"/>
  </r>
  <r>
    <x v="162"/>
    <x v="31"/>
    <x v="4"/>
    <x v="0"/>
    <x v="0"/>
    <x v="5"/>
    <x v="15"/>
    <x v="8"/>
    <x v="0"/>
    <x v="20"/>
    <x v="1"/>
    <x v="158"/>
    <x v="0"/>
    <x v="4"/>
  </r>
  <r>
    <x v="163"/>
    <x v="31"/>
    <x v="4"/>
    <x v="2"/>
    <x v="0"/>
    <x v="2"/>
    <x v="8"/>
    <x v="10"/>
    <x v="3"/>
    <x v="45"/>
    <x v="6"/>
    <x v="159"/>
    <x v="2"/>
    <x v="4"/>
  </r>
  <r>
    <x v="164"/>
    <x v="31"/>
    <x v="4"/>
    <x v="2"/>
    <x v="0"/>
    <x v="3"/>
    <x v="23"/>
    <x v="10"/>
    <x v="3"/>
    <x v="98"/>
    <x v="1"/>
    <x v="160"/>
    <x v="2"/>
    <x v="4"/>
  </r>
  <r>
    <x v="165"/>
    <x v="31"/>
    <x v="4"/>
    <x v="1"/>
    <x v="0"/>
    <x v="2"/>
    <x v="9"/>
    <x v="14"/>
    <x v="3"/>
    <x v="10"/>
    <x v="6"/>
    <x v="161"/>
    <x v="2"/>
    <x v="4"/>
  </r>
  <r>
    <x v="166"/>
    <x v="31"/>
    <x v="3"/>
    <x v="0"/>
    <x v="1"/>
    <x v="3"/>
    <x v="4"/>
    <x v="9"/>
    <x v="5"/>
    <x v="62"/>
    <x v="6"/>
    <x v="162"/>
    <x v="2"/>
    <x v="3"/>
  </r>
  <r>
    <x v="167"/>
    <x v="31"/>
    <x v="1"/>
    <x v="2"/>
    <x v="1"/>
    <x v="0"/>
    <x v="10"/>
    <x v="1"/>
    <x v="6"/>
    <x v="17"/>
    <x v="1"/>
    <x v="163"/>
    <x v="1"/>
    <x v="1"/>
  </r>
  <r>
    <x v="168"/>
    <x v="31"/>
    <x v="2"/>
    <x v="0"/>
    <x v="0"/>
    <x v="0"/>
    <x v="10"/>
    <x v="7"/>
    <x v="6"/>
    <x v="12"/>
    <x v="6"/>
    <x v="163"/>
    <x v="3"/>
    <x v="2"/>
  </r>
  <r>
    <x v="169"/>
    <x v="31"/>
    <x v="3"/>
    <x v="1"/>
    <x v="0"/>
    <x v="3"/>
    <x v="23"/>
    <x v="9"/>
    <x v="3"/>
    <x v="98"/>
    <x v="1"/>
    <x v="160"/>
    <x v="2"/>
    <x v="3"/>
  </r>
  <r>
    <x v="170"/>
    <x v="31"/>
    <x v="3"/>
    <x v="0"/>
    <x v="1"/>
    <x v="5"/>
    <x v="25"/>
    <x v="12"/>
    <x v="3"/>
    <x v="51"/>
    <x v="1"/>
    <x v="95"/>
    <x v="0"/>
    <x v="3"/>
  </r>
  <r>
    <x v="171"/>
    <x v="32"/>
    <x v="3"/>
    <x v="0"/>
    <x v="1"/>
    <x v="5"/>
    <x v="25"/>
    <x v="6"/>
    <x v="3"/>
    <x v="78"/>
    <x v="6"/>
    <x v="164"/>
    <x v="1"/>
    <x v="3"/>
  </r>
  <r>
    <x v="172"/>
    <x v="32"/>
    <x v="3"/>
    <x v="1"/>
    <x v="0"/>
    <x v="2"/>
    <x v="8"/>
    <x v="12"/>
    <x v="1"/>
    <x v="99"/>
    <x v="0"/>
    <x v="165"/>
    <x v="0"/>
    <x v="3"/>
  </r>
  <r>
    <x v="173"/>
    <x v="33"/>
    <x v="3"/>
    <x v="2"/>
    <x v="1"/>
    <x v="3"/>
    <x v="13"/>
    <x v="12"/>
    <x v="0"/>
    <x v="15"/>
    <x v="2"/>
    <x v="166"/>
    <x v="0"/>
    <x v="3"/>
  </r>
  <r>
    <x v="174"/>
    <x v="33"/>
    <x v="3"/>
    <x v="3"/>
    <x v="0"/>
    <x v="3"/>
    <x v="13"/>
    <x v="6"/>
    <x v="3"/>
    <x v="61"/>
    <x v="5"/>
    <x v="167"/>
    <x v="1"/>
    <x v="3"/>
  </r>
  <r>
    <x v="175"/>
    <x v="34"/>
    <x v="0"/>
    <x v="1"/>
    <x v="0"/>
    <x v="0"/>
    <x v="0"/>
    <x v="0"/>
    <x v="0"/>
    <x v="0"/>
    <x v="2"/>
    <x v="168"/>
    <x v="0"/>
    <x v="0"/>
  </r>
  <r>
    <x v="176"/>
    <x v="34"/>
    <x v="1"/>
    <x v="3"/>
    <x v="1"/>
    <x v="2"/>
    <x v="2"/>
    <x v="1"/>
    <x v="0"/>
    <x v="2"/>
    <x v="1"/>
    <x v="169"/>
    <x v="1"/>
    <x v="1"/>
  </r>
  <r>
    <x v="177"/>
    <x v="34"/>
    <x v="0"/>
    <x v="0"/>
    <x v="1"/>
    <x v="2"/>
    <x v="3"/>
    <x v="3"/>
    <x v="0"/>
    <x v="7"/>
    <x v="6"/>
    <x v="170"/>
    <x v="2"/>
    <x v="0"/>
  </r>
  <r>
    <x v="178"/>
    <x v="34"/>
    <x v="0"/>
    <x v="2"/>
    <x v="0"/>
    <x v="1"/>
    <x v="24"/>
    <x v="0"/>
    <x v="2"/>
    <x v="49"/>
    <x v="5"/>
    <x v="171"/>
    <x v="0"/>
    <x v="0"/>
  </r>
  <r>
    <x v="179"/>
    <x v="35"/>
    <x v="3"/>
    <x v="0"/>
    <x v="1"/>
    <x v="2"/>
    <x v="2"/>
    <x v="12"/>
    <x v="3"/>
    <x v="100"/>
    <x v="0"/>
    <x v="172"/>
    <x v="0"/>
    <x v="3"/>
  </r>
  <r>
    <x v="180"/>
    <x v="35"/>
    <x v="0"/>
    <x v="1"/>
    <x v="1"/>
    <x v="2"/>
    <x v="8"/>
    <x v="0"/>
    <x v="5"/>
    <x v="45"/>
    <x v="1"/>
    <x v="173"/>
    <x v="0"/>
    <x v="0"/>
  </r>
  <r>
    <x v="181"/>
    <x v="35"/>
    <x v="3"/>
    <x v="3"/>
    <x v="0"/>
    <x v="5"/>
    <x v="15"/>
    <x v="9"/>
    <x v="3"/>
    <x v="42"/>
    <x v="0"/>
    <x v="174"/>
    <x v="2"/>
    <x v="3"/>
  </r>
  <r>
    <x v="182"/>
    <x v="35"/>
    <x v="4"/>
    <x v="0"/>
    <x v="0"/>
    <x v="5"/>
    <x v="18"/>
    <x v="14"/>
    <x v="3"/>
    <x v="27"/>
    <x v="6"/>
    <x v="175"/>
    <x v="2"/>
    <x v="4"/>
  </r>
  <r>
    <x v="183"/>
    <x v="35"/>
    <x v="2"/>
    <x v="0"/>
    <x v="0"/>
    <x v="4"/>
    <x v="11"/>
    <x v="5"/>
    <x v="4"/>
    <x v="13"/>
    <x v="1"/>
    <x v="176"/>
    <x v="1"/>
    <x v="2"/>
  </r>
  <r>
    <x v="184"/>
    <x v="36"/>
    <x v="1"/>
    <x v="2"/>
    <x v="0"/>
    <x v="5"/>
    <x v="25"/>
    <x v="1"/>
    <x v="3"/>
    <x v="101"/>
    <x v="5"/>
    <x v="177"/>
    <x v="1"/>
    <x v="1"/>
  </r>
  <r>
    <x v="185"/>
    <x v="36"/>
    <x v="3"/>
    <x v="1"/>
    <x v="0"/>
    <x v="2"/>
    <x v="3"/>
    <x v="12"/>
    <x v="5"/>
    <x v="94"/>
    <x v="2"/>
    <x v="178"/>
    <x v="0"/>
    <x v="3"/>
  </r>
  <r>
    <x v="186"/>
    <x v="36"/>
    <x v="1"/>
    <x v="0"/>
    <x v="1"/>
    <x v="3"/>
    <x v="13"/>
    <x v="13"/>
    <x v="0"/>
    <x v="57"/>
    <x v="4"/>
    <x v="179"/>
    <x v="0"/>
    <x v="1"/>
  </r>
  <r>
    <x v="187"/>
    <x v="36"/>
    <x v="3"/>
    <x v="0"/>
    <x v="1"/>
    <x v="0"/>
    <x v="19"/>
    <x v="12"/>
    <x v="1"/>
    <x v="82"/>
    <x v="1"/>
    <x v="180"/>
    <x v="0"/>
    <x v="3"/>
  </r>
  <r>
    <x v="188"/>
    <x v="36"/>
    <x v="1"/>
    <x v="0"/>
    <x v="0"/>
    <x v="3"/>
    <x v="23"/>
    <x v="4"/>
    <x v="5"/>
    <x v="90"/>
    <x v="1"/>
    <x v="181"/>
    <x v="2"/>
    <x v="1"/>
  </r>
  <r>
    <x v="189"/>
    <x v="36"/>
    <x v="0"/>
    <x v="1"/>
    <x v="0"/>
    <x v="3"/>
    <x v="4"/>
    <x v="3"/>
    <x v="3"/>
    <x v="68"/>
    <x v="5"/>
    <x v="182"/>
    <x v="2"/>
    <x v="0"/>
  </r>
  <r>
    <x v="190"/>
    <x v="36"/>
    <x v="2"/>
    <x v="2"/>
    <x v="1"/>
    <x v="2"/>
    <x v="9"/>
    <x v="5"/>
    <x v="2"/>
    <x v="102"/>
    <x v="6"/>
    <x v="183"/>
    <x v="1"/>
    <x v="2"/>
  </r>
  <r>
    <x v="191"/>
    <x v="36"/>
    <x v="3"/>
    <x v="2"/>
    <x v="1"/>
    <x v="5"/>
    <x v="18"/>
    <x v="9"/>
    <x v="2"/>
    <x v="74"/>
    <x v="4"/>
    <x v="184"/>
    <x v="2"/>
    <x v="3"/>
  </r>
  <r>
    <x v="192"/>
    <x v="37"/>
    <x v="4"/>
    <x v="3"/>
    <x v="0"/>
    <x v="4"/>
    <x v="7"/>
    <x v="14"/>
    <x v="11"/>
    <x v="103"/>
    <x v="0"/>
    <x v="185"/>
    <x v="2"/>
    <x v="4"/>
  </r>
  <r>
    <x v="193"/>
    <x v="37"/>
    <x v="3"/>
    <x v="0"/>
    <x v="0"/>
    <x v="2"/>
    <x v="17"/>
    <x v="12"/>
    <x v="1"/>
    <x v="22"/>
    <x v="1"/>
    <x v="186"/>
    <x v="0"/>
    <x v="3"/>
  </r>
  <r>
    <x v="194"/>
    <x v="37"/>
    <x v="0"/>
    <x v="3"/>
    <x v="0"/>
    <x v="4"/>
    <x v="7"/>
    <x v="0"/>
    <x v="12"/>
    <x v="34"/>
    <x v="5"/>
    <x v="187"/>
    <x v="0"/>
    <x v="0"/>
  </r>
  <r>
    <x v="195"/>
    <x v="37"/>
    <x v="2"/>
    <x v="0"/>
    <x v="0"/>
    <x v="4"/>
    <x v="6"/>
    <x v="7"/>
    <x v="3"/>
    <x v="104"/>
    <x v="0"/>
    <x v="188"/>
    <x v="3"/>
    <x v="2"/>
  </r>
  <r>
    <x v="196"/>
    <x v="38"/>
    <x v="1"/>
    <x v="0"/>
    <x v="0"/>
    <x v="4"/>
    <x v="7"/>
    <x v="4"/>
    <x v="1"/>
    <x v="103"/>
    <x v="1"/>
    <x v="189"/>
    <x v="2"/>
    <x v="1"/>
  </r>
  <r>
    <x v="197"/>
    <x v="38"/>
    <x v="2"/>
    <x v="1"/>
    <x v="1"/>
    <x v="5"/>
    <x v="18"/>
    <x v="5"/>
    <x v="3"/>
    <x v="75"/>
    <x v="4"/>
    <x v="190"/>
    <x v="1"/>
    <x v="2"/>
  </r>
  <r>
    <x v="198"/>
    <x v="38"/>
    <x v="2"/>
    <x v="1"/>
    <x v="1"/>
    <x v="4"/>
    <x v="12"/>
    <x v="5"/>
    <x v="3"/>
    <x v="72"/>
    <x v="5"/>
    <x v="191"/>
    <x v="1"/>
    <x v="2"/>
  </r>
  <r>
    <x v="199"/>
    <x v="38"/>
    <x v="0"/>
    <x v="2"/>
    <x v="0"/>
    <x v="2"/>
    <x v="3"/>
    <x v="3"/>
    <x v="5"/>
    <x v="7"/>
    <x v="0"/>
    <x v="192"/>
    <x v="2"/>
    <x v="0"/>
  </r>
  <r>
    <x v="200"/>
    <x v="38"/>
    <x v="3"/>
    <x v="1"/>
    <x v="1"/>
    <x v="5"/>
    <x v="21"/>
    <x v="9"/>
    <x v="2"/>
    <x v="73"/>
    <x v="4"/>
    <x v="193"/>
    <x v="2"/>
    <x v="3"/>
  </r>
  <r>
    <x v="201"/>
    <x v="39"/>
    <x v="0"/>
    <x v="3"/>
    <x v="1"/>
    <x v="5"/>
    <x v="25"/>
    <x v="3"/>
    <x v="3"/>
    <x v="105"/>
    <x v="0"/>
    <x v="194"/>
    <x v="2"/>
    <x v="0"/>
  </r>
  <r>
    <x v="202"/>
    <x v="39"/>
    <x v="4"/>
    <x v="2"/>
    <x v="0"/>
    <x v="5"/>
    <x v="16"/>
    <x v="10"/>
    <x v="3"/>
    <x v="21"/>
    <x v="1"/>
    <x v="22"/>
    <x v="2"/>
    <x v="4"/>
  </r>
  <r>
    <x v="203"/>
    <x v="39"/>
    <x v="0"/>
    <x v="2"/>
    <x v="0"/>
    <x v="4"/>
    <x v="7"/>
    <x v="0"/>
    <x v="2"/>
    <x v="106"/>
    <x v="5"/>
    <x v="195"/>
    <x v="0"/>
    <x v="0"/>
  </r>
  <r>
    <x v="204"/>
    <x v="39"/>
    <x v="0"/>
    <x v="1"/>
    <x v="0"/>
    <x v="3"/>
    <x v="23"/>
    <x v="3"/>
    <x v="0"/>
    <x v="37"/>
    <x v="0"/>
    <x v="196"/>
    <x v="2"/>
    <x v="0"/>
  </r>
  <r>
    <x v="205"/>
    <x v="39"/>
    <x v="2"/>
    <x v="0"/>
    <x v="0"/>
    <x v="0"/>
    <x v="0"/>
    <x v="5"/>
    <x v="0"/>
    <x v="107"/>
    <x v="1"/>
    <x v="197"/>
    <x v="1"/>
    <x v="2"/>
  </r>
  <r>
    <x v="206"/>
    <x v="39"/>
    <x v="0"/>
    <x v="0"/>
    <x v="1"/>
    <x v="0"/>
    <x v="10"/>
    <x v="3"/>
    <x v="1"/>
    <x v="17"/>
    <x v="1"/>
    <x v="198"/>
    <x v="2"/>
    <x v="0"/>
  </r>
  <r>
    <x v="207"/>
    <x v="40"/>
    <x v="1"/>
    <x v="1"/>
    <x v="0"/>
    <x v="2"/>
    <x v="3"/>
    <x v="4"/>
    <x v="3"/>
    <x v="7"/>
    <x v="5"/>
    <x v="199"/>
    <x v="2"/>
    <x v="1"/>
  </r>
  <r>
    <x v="208"/>
    <x v="40"/>
    <x v="3"/>
    <x v="3"/>
    <x v="1"/>
    <x v="5"/>
    <x v="21"/>
    <x v="9"/>
    <x v="2"/>
    <x v="108"/>
    <x v="0"/>
    <x v="200"/>
    <x v="2"/>
    <x v="3"/>
  </r>
  <r>
    <x v="209"/>
    <x v="41"/>
    <x v="3"/>
    <x v="0"/>
    <x v="0"/>
    <x v="4"/>
    <x v="7"/>
    <x v="9"/>
    <x v="2"/>
    <x v="34"/>
    <x v="1"/>
    <x v="161"/>
    <x v="2"/>
    <x v="3"/>
  </r>
  <r>
    <x v="210"/>
    <x v="41"/>
    <x v="3"/>
    <x v="0"/>
    <x v="0"/>
    <x v="2"/>
    <x v="17"/>
    <x v="6"/>
    <x v="1"/>
    <x v="24"/>
    <x v="1"/>
    <x v="102"/>
    <x v="1"/>
    <x v="3"/>
  </r>
  <r>
    <x v="211"/>
    <x v="41"/>
    <x v="1"/>
    <x v="2"/>
    <x v="0"/>
    <x v="2"/>
    <x v="9"/>
    <x v="4"/>
    <x v="4"/>
    <x v="102"/>
    <x v="4"/>
    <x v="201"/>
    <x v="2"/>
    <x v="1"/>
  </r>
  <r>
    <x v="212"/>
    <x v="41"/>
    <x v="2"/>
    <x v="0"/>
    <x v="1"/>
    <x v="0"/>
    <x v="10"/>
    <x v="11"/>
    <x v="5"/>
    <x v="109"/>
    <x v="6"/>
    <x v="202"/>
    <x v="1"/>
    <x v="2"/>
  </r>
  <r>
    <x v="213"/>
    <x v="41"/>
    <x v="2"/>
    <x v="2"/>
    <x v="1"/>
    <x v="0"/>
    <x v="10"/>
    <x v="7"/>
    <x v="0"/>
    <x v="109"/>
    <x v="6"/>
    <x v="203"/>
    <x v="3"/>
    <x v="2"/>
  </r>
  <r>
    <x v="214"/>
    <x v="41"/>
    <x v="1"/>
    <x v="0"/>
    <x v="0"/>
    <x v="2"/>
    <x v="8"/>
    <x v="4"/>
    <x v="2"/>
    <x v="56"/>
    <x v="1"/>
    <x v="105"/>
    <x v="2"/>
    <x v="1"/>
  </r>
  <r>
    <x v="215"/>
    <x v="41"/>
    <x v="0"/>
    <x v="3"/>
    <x v="0"/>
    <x v="3"/>
    <x v="13"/>
    <x v="3"/>
    <x v="0"/>
    <x v="61"/>
    <x v="0"/>
    <x v="204"/>
    <x v="2"/>
    <x v="0"/>
  </r>
  <r>
    <x v="216"/>
    <x v="41"/>
    <x v="4"/>
    <x v="0"/>
    <x v="0"/>
    <x v="3"/>
    <x v="13"/>
    <x v="14"/>
    <x v="3"/>
    <x v="84"/>
    <x v="5"/>
    <x v="205"/>
    <x v="2"/>
    <x v="4"/>
  </r>
  <r>
    <x v="217"/>
    <x v="42"/>
    <x v="4"/>
    <x v="0"/>
    <x v="0"/>
    <x v="4"/>
    <x v="6"/>
    <x v="10"/>
    <x v="6"/>
    <x v="110"/>
    <x v="3"/>
    <x v="206"/>
    <x v="2"/>
    <x v="4"/>
  </r>
  <r>
    <x v="218"/>
    <x v="42"/>
    <x v="1"/>
    <x v="0"/>
    <x v="0"/>
    <x v="0"/>
    <x v="19"/>
    <x v="4"/>
    <x v="1"/>
    <x v="28"/>
    <x v="6"/>
    <x v="207"/>
    <x v="2"/>
    <x v="1"/>
  </r>
  <r>
    <x v="219"/>
    <x v="42"/>
    <x v="2"/>
    <x v="3"/>
    <x v="0"/>
    <x v="3"/>
    <x v="13"/>
    <x v="5"/>
    <x v="5"/>
    <x v="61"/>
    <x v="1"/>
    <x v="208"/>
    <x v="1"/>
    <x v="2"/>
  </r>
  <r>
    <x v="220"/>
    <x v="42"/>
    <x v="4"/>
    <x v="1"/>
    <x v="0"/>
    <x v="3"/>
    <x v="23"/>
    <x v="8"/>
    <x v="0"/>
    <x v="98"/>
    <x v="0"/>
    <x v="209"/>
    <x v="0"/>
    <x v="4"/>
  </r>
  <r>
    <x v="221"/>
    <x v="42"/>
    <x v="2"/>
    <x v="0"/>
    <x v="1"/>
    <x v="3"/>
    <x v="13"/>
    <x v="7"/>
    <x v="0"/>
    <x v="84"/>
    <x v="1"/>
    <x v="210"/>
    <x v="3"/>
    <x v="2"/>
  </r>
  <r>
    <x v="222"/>
    <x v="42"/>
    <x v="4"/>
    <x v="3"/>
    <x v="0"/>
    <x v="5"/>
    <x v="21"/>
    <x v="8"/>
    <x v="0"/>
    <x v="35"/>
    <x v="4"/>
    <x v="211"/>
    <x v="0"/>
    <x v="4"/>
  </r>
  <r>
    <x v="223"/>
    <x v="43"/>
    <x v="1"/>
    <x v="1"/>
    <x v="0"/>
    <x v="5"/>
    <x v="18"/>
    <x v="1"/>
    <x v="3"/>
    <x v="27"/>
    <x v="1"/>
    <x v="120"/>
    <x v="1"/>
    <x v="1"/>
  </r>
  <r>
    <x v="224"/>
    <x v="43"/>
    <x v="3"/>
    <x v="3"/>
    <x v="0"/>
    <x v="2"/>
    <x v="3"/>
    <x v="9"/>
    <x v="5"/>
    <x v="7"/>
    <x v="0"/>
    <x v="192"/>
    <x v="2"/>
    <x v="3"/>
  </r>
  <r>
    <x v="225"/>
    <x v="43"/>
    <x v="2"/>
    <x v="2"/>
    <x v="0"/>
    <x v="5"/>
    <x v="25"/>
    <x v="5"/>
    <x v="3"/>
    <x v="51"/>
    <x v="2"/>
    <x v="212"/>
    <x v="1"/>
    <x v="2"/>
  </r>
  <r>
    <x v="226"/>
    <x v="43"/>
    <x v="4"/>
    <x v="2"/>
    <x v="0"/>
    <x v="2"/>
    <x v="3"/>
    <x v="10"/>
    <x v="3"/>
    <x v="94"/>
    <x v="2"/>
    <x v="213"/>
    <x v="2"/>
    <x v="4"/>
  </r>
  <r>
    <x v="227"/>
    <x v="43"/>
    <x v="3"/>
    <x v="2"/>
    <x v="1"/>
    <x v="3"/>
    <x v="13"/>
    <x v="9"/>
    <x v="0"/>
    <x v="53"/>
    <x v="1"/>
    <x v="214"/>
    <x v="2"/>
    <x v="3"/>
  </r>
  <r>
    <x v="228"/>
    <x v="43"/>
    <x v="3"/>
    <x v="2"/>
    <x v="0"/>
    <x v="2"/>
    <x v="5"/>
    <x v="9"/>
    <x v="2"/>
    <x v="33"/>
    <x v="4"/>
    <x v="215"/>
    <x v="2"/>
    <x v="3"/>
  </r>
  <r>
    <x v="229"/>
    <x v="43"/>
    <x v="4"/>
    <x v="0"/>
    <x v="0"/>
    <x v="2"/>
    <x v="3"/>
    <x v="10"/>
    <x v="2"/>
    <x v="7"/>
    <x v="0"/>
    <x v="216"/>
    <x v="2"/>
    <x v="4"/>
  </r>
  <r>
    <x v="230"/>
    <x v="43"/>
    <x v="0"/>
    <x v="3"/>
    <x v="0"/>
    <x v="5"/>
    <x v="21"/>
    <x v="2"/>
    <x v="0"/>
    <x v="35"/>
    <x v="1"/>
    <x v="217"/>
    <x v="2"/>
    <x v="0"/>
  </r>
  <r>
    <x v="231"/>
    <x v="43"/>
    <x v="2"/>
    <x v="1"/>
    <x v="0"/>
    <x v="2"/>
    <x v="5"/>
    <x v="11"/>
    <x v="6"/>
    <x v="29"/>
    <x v="6"/>
    <x v="218"/>
    <x v="1"/>
    <x v="2"/>
  </r>
  <r>
    <x v="232"/>
    <x v="44"/>
    <x v="0"/>
    <x v="2"/>
    <x v="0"/>
    <x v="5"/>
    <x v="16"/>
    <x v="2"/>
    <x v="2"/>
    <x v="111"/>
    <x v="4"/>
    <x v="219"/>
    <x v="2"/>
    <x v="0"/>
  </r>
  <r>
    <x v="233"/>
    <x v="44"/>
    <x v="4"/>
    <x v="1"/>
    <x v="0"/>
    <x v="4"/>
    <x v="6"/>
    <x v="14"/>
    <x v="2"/>
    <x v="110"/>
    <x v="2"/>
    <x v="220"/>
    <x v="2"/>
    <x v="4"/>
  </r>
  <r>
    <x v="234"/>
    <x v="44"/>
    <x v="0"/>
    <x v="1"/>
    <x v="1"/>
    <x v="0"/>
    <x v="19"/>
    <x v="3"/>
    <x v="3"/>
    <x v="82"/>
    <x v="1"/>
    <x v="221"/>
    <x v="2"/>
    <x v="0"/>
  </r>
  <r>
    <x v="235"/>
    <x v="44"/>
    <x v="0"/>
    <x v="2"/>
    <x v="0"/>
    <x v="0"/>
    <x v="10"/>
    <x v="3"/>
    <x v="0"/>
    <x v="109"/>
    <x v="5"/>
    <x v="222"/>
    <x v="2"/>
    <x v="0"/>
  </r>
  <r>
    <x v="236"/>
    <x v="45"/>
    <x v="2"/>
    <x v="3"/>
    <x v="0"/>
    <x v="2"/>
    <x v="2"/>
    <x v="5"/>
    <x v="1"/>
    <x v="112"/>
    <x v="1"/>
    <x v="223"/>
    <x v="1"/>
    <x v="2"/>
  </r>
  <r>
    <x v="237"/>
    <x v="45"/>
    <x v="1"/>
    <x v="0"/>
    <x v="1"/>
    <x v="4"/>
    <x v="11"/>
    <x v="4"/>
    <x v="0"/>
    <x v="113"/>
    <x v="2"/>
    <x v="224"/>
    <x v="2"/>
    <x v="1"/>
  </r>
  <r>
    <x v="238"/>
    <x v="45"/>
    <x v="0"/>
    <x v="2"/>
    <x v="1"/>
    <x v="5"/>
    <x v="25"/>
    <x v="0"/>
    <x v="3"/>
    <x v="97"/>
    <x v="5"/>
    <x v="225"/>
    <x v="0"/>
    <x v="0"/>
  </r>
  <r>
    <x v="239"/>
    <x v="45"/>
    <x v="3"/>
    <x v="0"/>
    <x v="0"/>
    <x v="3"/>
    <x v="13"/>
    <x v="12"/>
    <x v="5"/>
    <x v="61"/>
    <x v="0"/>
    <x v="226"/>
    <x v="0"/>
    <x v="3"/>
  </r>
  <r>
    <x v="240"/>
    <x v="45"/>
    <x v="0"/>
    <x v="0"/>
    <x v="1"/>
    <x v="2"/>
    <x v="8"/>
    <x v="2"/>
    <x v="0"/>
    <x v="45"/>
    <x v="5"/>
    <x v="227"/>
    <x v="2"/>
    <x v="0"/>
  </r>
  <r>
    <x v="241"/>
    <x v="46"/>
    <x v="4"/>
    <x v="0"/>
    <x v="0"/>
    <x v="4"/>
    <x v="6"/>
    <x v="8"/>
    <x v="5"/>
    <x v="6"/>
    <x v="6"/>
    <x v="147"/>
    <x v="0"/>
    <x v="4"/>
  </r>
  <r>
    <x v="242"/>
    <x v="46"/>
    <x v="1"/>
    <x v="2"/>
    <x v="0"/>
    <x v="5"/>
    <x v="16"/>
    <x v="4"/>
    <x v="3"/>
    <x v="67"/>
    <x v="6"/>
    <x v="228"/>
    <x v="2"/>
    <x v="1"/>
  </r>
  <r>
    <x v="243"/>
    <x v="46"/>
    <x v="4"/>
    <x v="3"/>
    <x v="0"/>
    <x v="5"/>
    <x v="15"/>
    <x v="10"/>
    <x v="5"/>
    <x v="42"/>
    <x v="5"/>
    <x v="229"/>
    <x v="2"/>
    <x v="4"/>
  </r>
  <r>
    <x v="244"/>
    <x v="46"/>
    <x v="3"/>
    <x v="2"/>
    <x v="0"/>
    <x v="1"/>
    <x v="20"/>
    <x v="9"/>
    <x v="3"/>
    <x v="114"/>
    <x v="6"/>
    <x v="230"/>
    <x v="2"/>
    <x v="3"/>
  </r>
  <r>
    <x v="245"/>
    <x v="46"/>
    <x v="1"/>
    <x v="2"/>
    <x v="0"/>
    <x v="3"/>
    <x v="23"/>
    <x v="1"/>
    <x v="3"/>
    <x v="90"/>
    <x v="1"/>
    <x v="231"/>
    <x v="1"/>
    <x v="1"/>
  </r>
  <r>
    <x v="246"/>
    <x v="46"/>
    <x v="2"/>
    <x v="0"/>
    <x v="1"/>
    <x v="0"/>
    <x v="27"/>
    <x v="5"/>
    <x v="3"/>
    <x v="80"/>
    <x v="2"/>
    <x v="123"/>
    <x v="1"/>
    <x v="2"/>
  </r>
  <r>
    <x v="247"/>
    <x v="46"/>
    <x v="2"/>
    <x v="0"/>
    <x v="0"/>
    <x v="0"/>
    <x v="19"/>
    <x v="5"/>
    <x v="0"/>
    <x v="52"/>
    <x v="1"/>
    <x v="67"/>
    <x v="1"/>
    <x v="2"/>
  </r>
  <r>
    <x v="248"/>
    <x v="46"/>
    <x v="3"/>
    <x v="0"/>
    <x v="0"/>
    <x v="0"/>
    <x v="19"/>
    <x v="9"/>
    <x v="2"/>
    <x v="82"/>
    <x v="1"/>
    <x v="232"/>
    <x v="2"/>
    <x v="3"/>
  </r>
  <r>
    <x v="249"/>
    <x v="47"/>
    <x v="4"/>
    <x v="3"/>
    <x v="1"/>
    <x v="5"/>
    <x v="25"/>
    <x v="14"/>
    <x v="3"/>
    <x v="78"/>
    <x v="2"/>
    <x v="233"/>
    <x v="2"/>
    <x v="4"/>
  </r>
  <r>
    <x v="250"/>
    <x v="47"/>
    <x v="0"/>
    <x v="2"/>
    <x v="0"/>
    <x v="3"/>
    <x v="4"/>
    <x v="0"/>
    <x v="3"/>
    <x v="81"/>
    <x v="1"/>
    <x v="234"/>
    <x v="0"/>
    <x v="0"/>
  </r>
  <r>
    <x v="251"/>
    <x v="47"/>
    <x v="4"/>
    <x v="0"/>
    <x v="0"/>
    <x v="2"/>
    <x v="17"/>
    <x v="14"/>
    <x v="4"/>
    <x v="89"/>
    <x v="1"/>
    <x v="235"/>
    <x v="2"/>
    <x v="4"/>
  </r>
  <r>
    <x v="252"/>
    <x v="48"/>
    <x v="2"/>
    <x v="0"/>
    <x v="1"/>
    <x v="2"/>
    <x v="9"/>
    <x v="7"/>
    <x v="0"/>
    <x v="10"/>
    <x v="2"/>
    <x v="236"/>
    <x v="3"/>
    <x v="2"/>
  </r>
  <r>
    <x v="253"/>
    <x v="48"/>
    <x v="0"/>
    <x v="0"/>
    <x v="0"/>
    <x v="0"/>
    <x v="0"/>
    <x v="0"/>
    <x v="0"/>
    <x v="115"/>
    <x v="2"/>
    <x v="237"/>
    <x v="0"/>
    <x v="0"/>
  </r>
  <r>
    <x v="254"/>
    <x v="48"/>
    <x v="3"/>
    <x v="0"/>
    <x v="1"/>
    <x v="4"/>
    <x v="7"/>
    <x v="12"/>
    <x v="1"/>
    <x v="116"/>
    <x v="4"/>
    <x v="238"/>
    <x v="0"/>
    <x v="3"/>
  </r>
  <r>
    <x v="255"/>
    <x v="48"/>
    <x v="0"/>
    <x v="2"/>
    <x v="0"/>
    <x v="1"/>
    <x v="1"/>
    <x v="2"/>
    <x v="0"/>
    <x v="58"/>
    <x v="2"/>
    <x v="239"/>
    <x v="2"/>
    <x v="0"/>
  </r>
  <r>
    <x v="256"/>
    <x v="48"/>
    <x v="1"/>
    <x v="2"/>
    <x v="1"/>
    <x v="4"/>
    <x v="6"/>
    <x v="13"/>
    <x v="3"/>
    <x v="117"/>
    <x v="6"/>
    <x v="240"/>
    <x v="0"/>
    <x v="1"/>
  </r>
  <r>
    <x v="257"/>
    <x v="48"/>
    <x v="2"/>
    <x v="2"/>
    <x v="0"/>
    <x v="0"/>
    <x v="0"/>
    <x v="5"/>
    <x v="0"/>
    <x v="26"/>
    <x v="1"/>
    <x v="27"/>
    <x v="1"/>
    <x v="2"/>
  </r>
  <r>
    <x v="258"/>
    <x v="48"/>
    <x v="4"/>
    <x v="0"/>
    <x v="1"/>
    <x v="0"/>
    <x v="0"/>
    <x v="14"/>
    <x v="3"/>
    <x v="0"/>
    <x v="1"/>
    <x v="241"/>
    <x v="2"/>
    <x v="4"/>
  </r>
  <r>
    <x v="259"/>
    <x v="49"/>
    <x v="2"/>
    <x v="0"/>
    <x v="1"/>
    <x v="0"/>
    <x v="0"/>
    <x v="7"/>
    <x v="2"/>
    <x v="0"/>
    <x v="1"/>
    <x v="198"/>
    <x v="3"/>
    <x v="2"/>
  </r>
  <r>
    <x v="260"/>
    <x v="49"/>
    <x v="4"/>
    <x v="0"/>
    <x v="0"/>
    <x v="2"/>
    <x v="3"/>
    <x v="8"/>
    <x v="0"/>
    <x v="3"/>
    <x v="0"/>
    <x v="242"/>
    <x v="0"/>
    <x v="4"/>
  </r>
  <r>
    <x v="261"/>
    <x v="49"/>
    <x v="4"/>
    <x v="0"/>
    <x v="1"/>
    <x v="0"/>
    <x v="0"/>
    <x v="14"/>
    <x v="5"/>
    <x v="115"/>
    <x v="5"/>
    <x v="243"/>
    <x v="2"/>
    <x v="4"/>
  </r>
  <r>
    <x v="262"/>
    <x v="50"/>
    <x v="0"/>
    <x v="0"/>
    <x v="1"/>
    <x v="0"/>
    <x v="27"/>
    <x v="2"/>
    <x v="3"/>
    <x v="85"/>
    <x v="6"/>
    <x v="244"/>
    <x v="2"/>
    <x v="0"/>
  </r>
  <r>
    <x v="263"/>
    <x v="51"/>
    <x v="4"/>
    <x v="2"/>
    <x v="0"/>
    <x v="1"/>
    <x v="26"/>
    <x v="8"/>
    <x v="2"/>
    <x v="118"/>
    <x v="0"/>
    <x v="245"/>
    <x v="0"/>
    <x v="4"/>
  </r>
  <r>
    <x v="264"/>
    <x v="52"/>
    <x v="2"/>
    <x v="0"/>
    <x v="1"/>
    <x v="5"/>
    <x v="15"/>
    <x v="11"/>
    <x v="3"/>
    <x v="20"/>
    <x v="6"/>
    <x v="246"/>
    <x v="1"/>
    <x v="2"/>
  </r>
  <r>
    <x v="265"/>
    <x v="52"/>
    <x v="3"/>
    <x v="3"/>
    <x v="1"/>
    <x v="5"/>
    <x v="21"/>
    <x v="6"/>
    <x v="3"/>
    <x v="35"/>
    <x v="4"/>
    <x v="247"/>
    <x v="1"/>
    <x v="3"/>
  </r>
  <r>
    <x v="266"/>
    <x v="52"/>
    <x v="3"/>
    <x v="0"/>
    <x v="1"/>
    <x v="0"/>
    <x v="10"/>
    <x v="12"/>
    <x v="3"/>
    <x v="17"/>
    <x v="6"/>
    <x v="248"/>
    <x v="0"/>
    <x v="3"/>
  </r>
  <r>
    <x v="267"/>
    <x v="53"/>
    <x v="3"/>
    <x v="0"/>
    <x v="0"/>
    <x v="4"/>
    <x v="11"/>
    <x v="6"/>
    <x v="2"/>
    <x v="13"/>
    <x v="3"/>
    <x v="249"/>
    <x v="1"/>
    <x v="3"/>
  </r>
  <r>
    <x v="268"/>
    <x v="54"/>
    <x v="2"/>
    <x v="0"/>
    <x v="1"/>
    <x v="1"/>
    <x v="26"/>
    <x v="5"/>
    <x v="3"/>
    <x v="119"/>
    <x v="1"/>
    <x v="250"/>
    <x v="1"/>
    <x v="2"/>
  </r>
  <r>
    <x v="269"/>
    <x v="54"/>
    <x v="0"/>
    <x v="0"/>
    <x v="0"/>
    <x v="2"/>
    <x v="8"/>
    <x v="0"/>
    <x v="1"/>
    <x v="43"/>
    <x v="4"/>
    <x v="197"/>
    <x v="0"/>
    <x v="0"/>
  </r>
  <r>
    <x v="270"/>
    <x v="54"/>
    <x v="3"/>
    <x v="1"/>
    <x v="0"/>
    <x v="0"/>
    <x v="10"/>
    <x v="12"/>
    <x v="10"/>
    <x v="88"/>
    <x v="0"/>
    <x v="251"/>
    <x v="0"/>
    <x v="3"/>
  </r>
  <r>
    <x v="271"/>
    <x v="54"/>
    <x v="3"/>
    <x v="2"/>
    <x v="1"/>
    <x v="1"/>
    <x v="20"/>
    <x v="9"/>
    <x v="2"/>
    <x v="114"/>
    <x v="6"/>
    <x v="252"/>
    <x v="2"/>
    <x v="3"/>
  </r>
  <r>
    <x v="272"/>
    <x v="55"/>
    <x v="4"/>
    <x v="0"/>
    <x v="1"/>
    <x v="2"/>
    <x v="8"/>
    <x v="10"/>
    <x v="2"/>
    <x v="45"/>
    <x v="4"/>
    <x v="203"/>
    <x v="2"/>
    <x v="4"/>
  </r>
  <r>
    <x v="273"/>
    <x v="55"/>
    <x v="0"/>
    <x v="0"/>
    <x v="1"/>
    <x v="2"/>
    <x v="2"/>
    <x v="0"/>
    <x v="3"/>
    <x v="120"/>
    <x v="6"/>
    <x v="253"/>
    <x v="0"/>
    <x v="0"/>
  </r>
  <r>
    <x v="274"/>
    <x v="55"/>
    <x v="4"/>
    <x v="0"/>
    <x v="1"/>
    <x v="4"/>
    <x v="7"/>
    <x v="10"/>
    <x v="2"/>
    <x v="34"/>
    <x v="1"/>
    <x v="161"/>
    <x v="2"/>
    <x v="4"/>
  </r>
  <r>
    <x v="275"/>
    <x v="55"/>
    <x v="0"/>
    <x v="2"/>
    <x v="1"/>
    <x v="1"/>
    <x v="26"/>
    <x v="0"/>
    <x v="4"/>
    <x v="65"/>
    <x v="2"/>
    <x v="254"/>
    <x v="0"/>
    <x v="0"/>
  </r>
  <r>
    <x v="276"/>
    <x v="55"/>
    <x v="1"/>
    <x v="0"/>
    <x v="0"/>
    <x v="2"/>
    <x v="9"/>
    <x v="13"/>
    <x v="2"/>
    <x v="10"/>
    <x v="6"/>
    <x v="255"/>
    <x v="0"/>
    <x v="1"/>
  </r>
  <r>
    <x v="277"/>
    <x v="56"/>
    <x v="3"/>
    <x v="0"/>
    <x v="1"/>
    <x v="2"/>
    <x v="3"/>
    <x v="12"/>
    <x v="2"/>
    <x v="94"/>
    <x v="0"/>
    <x v="256"/>
    <x v="0"/>
    <x v="3"/>
  </r>
  <r>
    <x v="278"/>
    <x v="56"/>
    <x v="2"/>
    <x v="0"/>
    <x v="0"/>
    <x v="4"/>
    <x v="12"/>
    <x v="11"/>
    <x v="1"/>
    <x v="121"/>
    <x v="2"/>
    <x v="257"/>
    <x v="1"/>
    <x v="2"/>
  </r>
  <r>
    <x v="279"/>
    <x v="56"/>
    <x v="4"/>
    <x v="1"/>
    <x v="1"/>
    <x v="2"/>
    <x v="9"/>
    <x v="14"/>
    <x v="3"/>
    <x v="122"/>
    <x v="2"/>
    <x v="258"/>
    <x v="2"/>
    <x v="4"/>
  </r>
  <r>
    <x v="280"/>
    <x v="57"/>
    <x v="0"/>
    <x v="3"/>
    <x v="0"/>
    <x v="1"/>
    <x v="26"/>
    <x v="0"/>
    <x v="9"/>
    <x v="65"/>
    <x v="0"/>
    <x v="259"/>
    <x v="0"/>
    <x v="0"/>
  </r>
  <r>
    <x v="281"/>
    <x v="57"/>
    <x v="0"/>
    <x v="2"/>
    <x v="1"/>
    <x v="0"/>
    <x v="0"/>
    <x v="2"/>
    <x v="5"/>
    <x v="107"/>
    <x v="4"/>
    <x v="260"/>
    <x v="2"/>
    <x v="0"/>
  </r>
  <r>
    <x v="282"/>
    <x v="57"/>
    <x v="2"/>
    <x v="2"/>
    <x v="1"/>
    <x v="2"/>
    <x v="3"/>
    <x v="7"/>
    <x v="4"/>
    <x v="123"/>
    <x v="1"/>
    <x v="261"/>
    <x v="3"/>
    <x v="2"/>
  </r>
  <r>
    <x v="283"/>
    <x v="57"/>
    <x v="2"/>
    <x v="3"/>
    <x v="1"/>
    <x v="5"/>
    <x v="21"/>
    <x v="5"/>
    <x v="3"/>
    <x v="108"/>
    <x v="1"/>
    <x v="262"/>
    <x v="1"/>
    <x v="2"/>
  </r>
  <r>
    <x v="284"/>
    <x v="57"/>
    <x v="2"/>
    <x v="1"/>
    <x v="0"/>
    <x v="4"/>
    <x v="11"/>
    <x v="7"/>
    <x v="6"/>
    <x v="95"/>
    <x v="1"/>
    <x v="190"/>
    <x v="3"/>
    <x v="2"/>
  </r>
  <r>
    <x v="285"/>
    <x v="57"/>
    <x v="4"/>
    <x v="0"/>
    <x v="0"/>
    <x v="3"/>
    <x v="14"/>
    <x v="14"/>
    <x v="3"/>
    <x v="124"/>
    <x v="6"/>
    <x v="263"/>
    <x v="2"/>
    <x v="4"/>
  </r>
  <r>
    <x v="286"/>
    <x v="58"/>
    <x v="3"/>
    <x v="0"/>
    <x v="1"/>
    <x v="4"/>
    <x v="6"/>
    <x v="6"/>
    <x v="6"/>
    <x v="110"/>
    <x v="5"/>
    <x v="264"/>
    <x v="1"/>
    <x v="3"/>
  </r>
  <r>
    <x v="287"/>
    <x v="58"/>
    <x v="2"/>
    <x v="2"/>
    <x v="0"/>
    <x v="3"/>
    <x v="4"/>
    <x v="11"/>
    <x v="2"/>
    <x v="81"/>
    <x v="5"/>
    <x v="265"/>
    <x v="1"/>
    <x v="2"/>
  </r>
  <r>
    <x v="288"/>
    <x v="58"/>
    <x v="3"/>
    <x v="1"/>
    <x v="1"/>
    <x v="3"/>
    <x v="13"/>
    <x v="9"/>
    <x v="5"/>
    <x v="57"/>
    <x v="5"/>
    <x v="266"/>
    <x v="2"/>
    <x v="3"/>
  </r>
  <r>
    <x v="289"/>
    <x v="58"/>
    <x v="2"/>
    <x v="0"/>
    <x v="0"/>
    <x v="1"/>
    <x v="26"/>
    <x v="11"/>
    <x v="3"/>
    <x v="65"/>
    <x v="5"/>
    <x v="267"/>
    <x v="1"/>
    <x v="2"/>
  </r>
  <r>
    <x v="290"/>
    <x v="58"/>
    <x v="4"/>
    <x v="0"/>
    <x v="1"/>
    <x v="5"/>
    <x v="18"/>
    <x v="14"/>
    <x v="3"/>
    <x v="125"/>
    <x v="2"/>
    <x v="268"/>
    <x v="2"/>
    <x v="4"/>
  </r>
  <r>
    <x v="291"/>
    <x v="58"/>
    <x v="3"/>
    <x v="0"/>
    <x v="0"/>
    <x v="1"/>
    <x v="22"/>
    <x v="9"/>
    <x v="3"/>
    <x v="126"/>
    <x v="2"/>
    <x v="269"/>
    <x v="2"/>
    <x v="3"/>
  </r>
  <r>
    <x v="292"/>
    <x v="59"/>
    <x v="4"/>
    <x v="1"/>
    <x v="1"/>
    <x v="2"/>
    <x v="3"/>
    <x v="10"/>
    <x v="0"/>
    <x v="94"/>
    <x v="4"/>
    <x v="270"/>
    <x v="2"/>
    <x v="4"/>
  </r>
  <r>
    <x v="293"/>
    <x v="59"/>
    <x v="0"/>
    <x v="0"/>
    <x v="0"/>
    <x v="4"/>
    <x v="7"/>
    <x v="0"/>
    <x v="2"/>
    <x v="34"/>
    <x v="1"/>
    <x v="161"/>
    <x v="0"/>
    <x v="0"/>
  </r>
  <r>
    <x v="294"/>
    <x v="59"/>
    <x v="2"/>
    <x v="3"/>
    <x v="0"/>
    <x v="4"/>
    <x v="11"/>
    <x v="11"/>
    <x v="1"/>
    <x v="13"/>
    <x v="0"/>
    <x v="271"/>
    <x v="1"/>
    <x v="2"/>
  </r>
  <r>
    <x v="295"/>
    <x v="59"/>
    <x v="0"/>
    <x v="0"/>
    <x v="0"/>
    <x v="0"/>
    <x v="19"/>
    <x v="2"/>
    <x v="2"/>
    <x v="52"/>
    <x v="6"/>
    <x v="272"/>
    <x v="2"/>
    <x v="0"/>
  </r>
  <r>
    <x v="296"/>
    <x v="59"/>
    <x v="3"/>
    <x v="0"/>
    <x v="1"/>
    <x v="5"/>
    <x v="16"/>
    <x v="9"/>
    <x v="3"/>
    <x v="67"/>
    <x v="0"/>
    <x v="273"/>
    <x v="2"/>
    <x v="3"/>
  </r>
  <r>
    <x v="297"/>
    <x v="59"/>
    <x v="2"/>
    <x v="0"/>
    <x v="0"/>
    <x v="2"/>
    <x v="5"/>
    <x v="11"/>
    <x v="2"/>
    <x v="29"/>
    <x v="4"/>
    <x v="274"/>
    <x v="1"/>
    <x v="2"/>
  </r>
  <r>
    <x v="298"/>
    <x v="60"/>
    <x v="0"/>
    <x v="2"/>
    <x v="0"/>
    <x v="5"/>
    <x v="15"/>
    <x v="2"/>
    <x v="0"/>
    <x v="42"/>
    <x v="5"/>
    <x v="275"/>
    <x v="2"/>
    <x v="0"/>
  </r>
  <r>
    <x v="299"/>
    <x v="60"/>
    <x v="2"/>
    <x v="0"/>
    <x v="0"/>
    <x v="2"/>
    <x v="17"/>
    <x v="11"/>
    <x v="4"/>
    <x v="24"/>
    <x v="5"/>
    <x v="276"/>
    <x v="1"/>
    <x v="2"/>
  </r>
  <r>
    <x v="300"/>
    <x v="60"/>
    <x v="3"/>
    <x v="0"/>
    <x v="0"/>
    <x v="2"/>
    <x v="9"/>
    <x v="9"/>
    <x v="3"/>
    <x v="86"/>
    <x v="5"/>
    <x v="277"/>
    <x v="2"/>
    <x v="3"/>
  </r>
  <r>
    <x v="301"/>
    <x v="61"/>
    <x v="1"/>
    <x v="0"/>
    <x v="0"/>
    <x v="2"/>
    <x v="5"/>
    <x v="13"/>
    <x v="3"/>
    <x v="33"/>
    <x v="2"/>
    <x v="278"/>
    <x v="0"/>
    <x v="1"/>
  </r>
  <r>
    <x v="302"/>
    <x v="61"/>
    <x v="1"/>
    <x v="3"/>
    <x v="1"/>
    <x v="5"/>
    <x v="21"/>
    <x v="1"/>
    <x v="3"/>
    <x v="35"/>
    <x v="5"/>
    <x v="279"/>
    <x v="1"/>
    <x v="1"/>
  </r>
  <r>
    <x v="303"/>
    <x v="61"/>
    <x v="2"/>
    <x v="0"/>
    <x v="1"/>
    <x v="0"/>
    <x v="27"/>
    <x v="5"/>
    <x v="5"/>
    <x v="80"/>
    <x v="0"/>
    <x v="280"/>
    <x v="1"/>
    <x v="2"/>
  </r>
  <r>
    <x v="304"/>
    <x v="61"/>
    <x v="4"/>
    <x v="0"/>
    <x v="0"/>
    <x v="5"/>
    <x v="16"/>
    <x v="10"/>
    <x v="3"/>
    <x v="67"/>
    <x v="5"/>
    <x v="281"/>
    <x v="2"/>
    <x v="4"/>
  </r>
  <r>
    <x v="305"/>
    <x v="61"/>
    <x v="3"/>
    <x v="3"/>
    <x v="0"/>
    <x v="1"/>
    <x v="1"/>
    <x v="12"/>
    <x v="12"/>
    <x v="127"/>
    <x v="5"/>
    <x v="282"/>
    <x v="0"/>
    <x v="3"/>
  </r>
  <r>
    <x v="306"/>
    <x v="62"/>
    <x v="4"/>
    <x v="3"/>
    <x v="0"/>
    <x v="2"/>
    <x v="8"/>
    <x v="14"/>
    <x v="10"/>
    <x v="45"/>
    <x v="2"/>
    <x v="283"/>
    <x v="2"/>
    <x v="4"/>
  </r>
  <r>
    <x v="307"/>
    <x v="62"/>
    <x v="4"/>
    <x v="1"/>
    <x v="0"/>
    <x v="2"/>
    <x v="9"/>
    <x v="8"/>
    <x v="4"/>
    <x v="10"/>
    <x v="5"/>
    <x v="284"/>
    <x v="0"/>
    <x v="4"/>
  </r>
  <r>
    <x v="308"/>
    <x v="62"/>
    <x v="1"/>
    <x v="2"/>
    <x v="0"/>
    <x v="5"/>
    <x v="15"/>
    <x v="13"/>
    <x v="0"/>
    <x v="25"/>
    <x v="1"/>
    <x v="285"/>
    <x v="0"/>
    <x v="1"/>
  </r>
  <r>
    <x v="309"/>
    <x v="62"/>
    <x v="1"/>
    <x v="1"/>
    <x v="0"/>
    <x v="4"/>
    <x v="7"/>
    <x v="4"/>
    <x v="1"/>
    <x v="106"/>
    <x v="2"/>
    <x v="236"/>
    <x v="2"/>
    <x v="1"/>
  </r>
  <r>
    <x v="310"/>
    <x v="62"/>
    <x v="3"/>
    <x v="1"/>
    <x v="0"/>
    <x v="1"/>
    <x v="24"/>
    <x v="6"/>
    <x v="0"/>
    <x v="54"/>
    <x v="1"/>
    <x v="286"/>
    <x v="1"/>
    <x v="3"/>
  </r>
  <r>
    <x v="311"/>
    <x v="63"/>
    <x v="2"/>
    <x v="2"/>
    <x v="0"/>
    <x v="3"/>
    <x v="13"/>
    <x v="11"/>
    <x v="5"/>
    <x v="84"/>
    <x v="0"/>
    <x v="287"/>
    <x v="1"/>
    <x v="2"/>
  </r>
  <r>
    <x v="312"/>
    <x v="63"/>
    <x v="4"/>
    <x v="2"/>
    <x v="0"/>
    <x v="2"/>
    <x v="3"/>
    <x v="8"/>
    <x v="0"/>
    <x v="94"/>
    <x v="5"/>
    <x v="288"/>
    <x v="0"/>
    <x v="4"/>
  </r>
  <r>
    <x v="313"/>
    <x v="63"/>
    <x v="3"/>
    <x v="2"/>
    <x v="0"/>
    <x v="2"/>
    <x v="5"/>
    <x v="6"/>
    <x v="0"/>
    <x v="33"/>
    <x v="0"/>
    <x v="289"/>
    <x v="1"/>
    <x v="3"/>
  </r>
  <r>
    <x v="314"/>
    <x v="63"/>
    <x v="2"/>
    <x v="2"/>
    <x v="0"/>
    <x v="1"/>
    <x v="1"/>
    <x v="11"/>
    <x v="6"/>
    <x v="127"/>
    <x v="0"/>
    <x v="290"/>
    <x v="1"/>
    <x v="2"/>
  </r>
  <r>
    <x v="315"/>
    <x v="63"/>
    <x v="1"/>
    <x v="0"/>
    <x v="0"/>
    <x v="1"/>
    <x v="26"/>
    <x v="13"/>
    <x v="3"/>
    <x v="119"/>
    <x v="0"/>
    <x v="291"/>
    <x v="0"/>
    <x v="1"/>
  </r>
  <r>
    <x v="316"/>
    <x v="63"/>
    <x v="1"/>
    <x v="2"/>
    <x v="0"/>
    <x v="2"/>
    <x v="17"/>
    <x v="13"/>
    <x v="0"/>
    <x v="24"/>
    <x v="0"/>
    <x v="292"/>
    <x v="0"/>
    <x v="1"/>
  </r>
  <r>
    <x v="317"/>
    <x v="63"/>
    <x v="2"/>
    <x v="1"/>
    <x v="0"/>
    <x v="4"/>
    <x v="12"/>
    <x v="5"/>
    <x v="3"/>
    <x v="14"/>
    <x v="4"/>
    <x v="293"/>
    <x v="1"/>
    <x v="2"/>
  </r>
  <r>
    <x v="318"/>
    <x v="63"/>
    <x v="4"/>
    <x v="0"/>
    <x v="0"/>
    <x v="5"/>
    <x v="15"/>
    <x v="10"/>
    <x v="3"/>
    <x v="25"/>
    <x v="4"/>
    <x v="294"/>
    <x v="2"/>
    <x v="4"/>
  </r>
  <r>
    <x v="319"/>
    <x v="63"/>
    <x v="4"/>
    <x v="0"/>
    <x v="1"/>
    <x v="1"/>
    <x v="20"/>
    <x v="10"/>
    <x v="0"/>
    <x v="114"/>
    <x v="0"/>
    <x v="295"/>
    <x v="2"/>
    <x v="4"/>
  </r>
  <r>
    <x v="320"/>
    <x v="63"/>
    <x v="2"/>
    <x v="0"/>
    <x v="0"/>
    <x v="0"/>
    <x v="27"/>
    <x v="5"/>
    <x v="3"/>
    <x v="128"/>
    <x v="3"/>
    <x v="296"/>
    <x v="1"/>
    <x v="2"/>
  </r>
  <r>
    <x v="321"/>
    <x v="63"/>
    <x v="3"/>
    <x v="0"/>
    <x v="0"/>
    <x v="3"/>
    <x v="14"/>
    <x v="12"/>
    <x v="0"/>
    <x v="129"/>
    <x v="2"/>
    <x v="297"/>
    <x v="0"/>
    <x v="3"/>
  </r>
  <r>
    <x v="322"/>
    <x v="63"/>
    <x v="4"/>
    <x v="1"/>
    <x v="0"/>
    <x v="2"/>
    <x v="3"/>
    <x v="10"/>
    <x v="3"/>
    <x v="7"/>
    <x v="5"/>
    <x v="199"/>
    <x v="2"/>
    <x v="4"/>
  </r>
  <r>
    <x v="323"/>
    <x v="64"/>
    <x v="0"/>
    <x v="2"/>
    <x v="0"/>
    <x v="5"/>
    <x v="21"/>
    <x v="0"/>
    <x v="3"/>
    <x v="73"/>
    <x v="4"/>
    <x v="298"/>
    <x v="0"/>
    <x v="0"/>
  </r>
  <r>
    <x v="324"/>
    <x v="64"/>
    <x v="1"/>
    <x v="0"/>
    <x v="0"/>
    <x v="5"/>
    <x v="15"/>
    <x v="4"/>
    <x v="0"/>
    <x v="20"/>
    <x v="4"/>
    <x v="106"/>
    <x v="2"/>
    <x v="1"/>
  </r>
  <r>
    <x v="325"/>
    <x v="64"/>
    <x v="2"/>
    <x v="2"/>
    <x v="1"/>
    <x v="3"/>
    <x v="4"/>
    <x v="5"/>
    <x v="5"/>
    <x v="62"/>
    <x v="0"/>
    <x v="299"/>
    <x v="1"/>
    <x v="2"/>
  </r>
  <r>
    <x v="326"/>
    <x v="65"/>
    <x v="2"/>
    <x v="0"/>
    <x v="1"/>
    <x v="4"/>
    <x v="11"/>
    <x v="7"/>
    <x v="3"/>
    <x v="130"/>
    <x v="1"/>
    <x v="300"/>
    <x v="3"/>
    <x v="2"/>
  </r>
  <r>
    <x v="327"/>
    <x v="65"/>
    <x v="0"/>
    <x v="1"/>
    <x v="0"/>
    <x v="2"/>
    <x v="3"/>
    <x v="0"/>
    <x v="0"/>
    <x v="94"/>
    <x v="1"/>
    <x v="301"/>
    <x v="0"/>
    <x v="0"/>
  </r>
  <r>
    <x v="328"/>
    <x v="65"/>
    <x v="2"/>
    <x v="0"/>
    <x v="1"/>
    <x v="3"/>
    <x v="13"/>
    <x v="7"/>
    <x v="3"/>
    <x v="15"/>
    <x v="5"/>
    <x v="302"/>
    <x v="3"/>
    <x v="2"/>
  </r>
  <r>
    <x v="329"/>
    <x v="66"/>
    <x v="4"/>
    <x v="0"/>
    <x v="0"/>
    <x v="5"/>
    <x v="15"/>
    <x v="8"/>
    <x v="3"/>
    <x v="20"/>
    <x v="5"/>
    <x v="303"/>
    <x v="0"/>
    <x v="4"/>
  </r>
  <r>
    <x v="330"/>
    <x v="66"/>
    <x v="2"/>
    <x v="3"/>
    <x v="1"/>
    <x v="3"/>
    <x v="14"/>
    <x v="7"/>
    <x v="3"/>
    <x v="76"/>
    <x v="4"/>
    <x v="304"/>
    <x v="3"/>
    <x v="2"/>
  </r>
  <r>
    <x v="331"/>
    <x v="66"/>
    <x v="0"/>
    <x v="1"/>
    <x v="0"/>
    <x v="0"/>
    <x v="19"/>
    <x v="0"/>
    <x v="2"/>
    <x v="71"/>
    <x v="3"/>
    <x v="280"/>
    <x v="0"/>
    <x v="0"/>
  </r>
  <r>
    <x v="332"/>
    <x v="66"/>
    <x v="0"/>
    <x v="2"/>
    <x v="0"/>
    <x v="5"/>
    <x v="21"/>
    <x v="3"/>
    <x v="0"/>
    <x v="35"/>
    <x v="0"/>
    <x v="305"/>
    <x v="2"/>
    <x v="0"/>
  </r>
  <r>
    <x v="333"/>
    <x v="66"/>
    <x v="3"/>
    <x v="0"/>
    <x v="0"/>
    <x v="0"/>
    <x v="10"/>
    <x v="6"/>
    <x v="0"/>
    <x v="17"/>
    <x v="6"/>
    <x v="290"/>
    <x v="1"/>
    <x v="3"/>
  </r>
  <r>
    <x v="334"/>
    <x v="66"/>
    <x v="1"/>
    <x v="0"/>
    <x v="0"/>
    <x v="3"/>
    <x v="23"/>
    <x v="1"/>
    <x v="3"/>
    <x v="131"/>
    <x v="5"/>
    <x v="306"/>
    <x v="1"/>
    <x v="1"/>
  </r>
  <r>
    <x v="335"/>
    <x v="66"/>
    <x v="0"/>
    <x v="0"/>
    <x v="0"/>
    <x v="2"/>
    <x v="9"/>
    <x v="3"/>
    <x v="2"/>
    <x v="86"/>
    <x v="0"/>
    <x v="307"/>
    <x v="2"/>
    <x v="0"/>
  </r>
  <r>
    <x v="336"/>
    <x v="67"/>
    <x v="3"/>
    <x v="0"/>
    <x v="1"/>
    <x v="2"/>
    <x v="3"/>
    <x v="9"/>
    <x v="0"/>
    <x v="132"/>
    <x v="1"/>
    <x v="308"/>
    <x v="2"/>
    <x v="3"/>
  </r>
  <r>
    <x v="337"/>
    <x v="67"/>
    <x v="1"/>
    <x v="3"/>
    <x v="0"/>
    <x v="3"/>
    <x v="13"/>
    <x v="1"/>
    <x v="5"/>
    <x v="84"/>
    <x v="5"/>
    <x v="309"/>
    <x v="1"/>
    <x v="1"/>
  </r>
  <r>
    <x v="338"/>
    <x v="67"/>
    <x v="1"/>
    <x v="0"/>
    <x v="0"/>
    <x v="0"/>
    <x v="27"/>
    <x v="1"/>
    <x v="2"/>
    <x v="69"/>
    <x v="4"/>
    <x v="310"/>
    <x v="1"/>
    <x v="1"/>
  </r>
  <r>
    <x v="339"/>
    <x v="67"/>
    <x v="4"/>
    <x v="2"/>
    <x v="1"/>
    <x v="3"/>
    <x v="23"/>
    <x v="14"/>
    <x v="3"/>
    <x v="90"/>
    <x v="0"/>
    <x v="311"/>
    <x v="2"/>
    <x v="4"/>
  </r>
  <r>
    <x v="340"/>
    <x v="67"/>
    <x v="0"/>
    <x v="2"/>
    <x v="1"/>
    <x v="4"/>
    <x v="6"/>
    <x v="0"/>
    <x v="0"/>
    <x v="6"/>
    <x v="1"/>
    <x v="312"/>
    <x v="0"/>
    <x v="0"/>
  </r>
  <r>
    <x v="341"/>
    <x v="67"/>
    <x v="3"/>
    <x v="1"/>
    <x v="0"/>
    <x v="0"/>
    <x v="10"/>
    <x v="6"/>
    <x v="3"/>
    <x v="17"/>
    <x v="4"/>
    <x v="313"/>
    <x v="1"/>
    <x v="3"/>
  </r>
  <r>
    <x v="342"/>
    <x v="67"/>
    <x v="0"/>
    <x v="1"/>
    <x v="1"/>
    <x v="3"/>
    <x v="13"/>
    <x v="2"/>
    <x v="3"/>
    <x v="84"/>
    <x v="0"/>
    <x v="314"/>
    <x v="2"/>
    <x v="0"/>
  </r>
  <r>
    <x v="343"/>
    <x v="68"/>
    <x v="0"/>
    <x v="2"/>
    <x v="0"/>
    <x v="2"/>
    <x v="2"/>
    <x v="3"/>
    <x v="2"/>
    <x v="2"/>
    <x v="6"/>
    <x v="53"/>
    <x v="2"/>
    <x v="0"/>
  </r>
  <r>
    <x v="344"/>
    <x v="68"/>
    <x v="2"/>
    <x v="2"/>
    <x v="1"/>
    <x v="2"/>
    <x v="17"/>
    <x v="11"/>
    <x v="0"/>
    <x v="89"/>
    <x v="5"/>
    <x v="315"/>
    <x v="1"/>
    <x v="2"/>
  </r>
  <r>
    <x v="345"/>
    <x v="68"/>
    <x v="0"/>
    <x v="2"/>
    <x v="1"/>
    <x v="3"/>
    <x v="23"/>
    <x v="0"/>
    <x v="0"/>
    <x v="131"/>
    <x v="3"/>
    <x v="316"/>
    <x v="0"/>
    <x v="0"/>
  </r>
  <r>
    <x v="346"/>
    <x v="68"/>
    <x v="2"/>
    <x v="0"/>
    <x v="0"/>
    <x v="0"/>
    <x v="0"/>
    <x v="7"/>
    <x v="3"/>
    <x v="26"/>
    <x v="2"/>
    <x v="317"/>
    <x v="3"/>
    <x v="2"/>
  </r>
  <r>
    <x v="347"/>
    <x v="68"/>
    <x v="2"/>
    <x v="3"/>
    <x v="1"/>
    <x v="3"/>
    <x v="14"/>
    <x v="7"/>
    <x v="2"/>
    <x v="18"/>
    <x v="3"/>
    <x v="318"/>
    <x v="3"/>
    <x v="2"/>
  </r>
  <r>
    <x v="348"/>
    <x v="68"/>
    <x v="4"/>
    <x v="0"/>
    <x v="0"/>
    <x v="2"/>
    <x v="5"/>
    <x v="10"/>
    <x v="3"/>
    <x v="133"/>
    <x v="0"/>
    <x v="319"/>
    <x v="2"/>
    <x v="4"/>
  </r>
  <r>
    <x v="349"/>
    <x v="68"/>
    <x v="1"/>
    <x v="3"/>
    <x v="1"/>
    <x v="0"/>
    <x v="19"/>
    <x v="1"/>
    <x v="4"/>
    <x v="28"/>
    <x v="4"/>
    <x v="320"/>
    <x v="1"/>
    <x v="1"/>
  </r>
  <r>
    <x v="350"/>
    <x v="68"/>
    <x v="3"/>
    <x v="3"/>
    <x v="0"/>
    <x v="5"/>
    <x v="18"/>
    <x v="9"/>
    <x v="3"/>
    <x v="27"/>
    <x v="3"/>
    <x v="321"/>
    <x v="2"/>
    <x v="3"/>
  </r>
  <r>
    <x v="351"/>
    <x v="68"/>
    <x v="2"/>
    <x v="3"/>
    <x v="1"/>
    <x v="5"/>
    <x v="21"/>
    <x v="11"/>
    <x v="3"/>
    <x v="73"/>
    <x v="0"/>
    <x v="14"/>
    <x v="1"/>
    <x v="2"/>
  </r>
  <r>
    <x v="352"/>
    <x v="68"/>
    <x v="1"/>
    <x v="1"/>
    <x v="0"/>
    <x v="2"/>
    <x v="8"/>
    <x v="1"/>
    <x v="0"/>
    <x v="134"/>
    <x v="3"/>
    <x v="322"/>
    <x v="1"/>
    <x v="1"/>
  </r>
  <r>
    <x v="353"/>
    <x v="69"/>
    <x v="1"/>
    <x v="1"/>
    <x v="0"/>
    <x v="2"/>
    <x v="17"/>
    <x v="13"/>
    <x v="0"/>
    <x v="24"/>
    <x v="3"/>
    <x v="323"/>
    <x v="0"/>
    <x v="1"/>
  </r>
  <r>
    <x v="354"/>
    <x v="69"/>
    <x v="3"/>
    <x v="2"/>
    <x v="1"/>
    <x v="1"/>
    <x v="26"/>
    <x v="12"/>
    <x v="2"/>
    <x v="135"/>
    <x v="6"/>
    <x v="324"/>
    <x v="0"/>
    <x v="3"/>
  </r>
  <r>
    <x v="355"/>
    <x v="69"/>
    <x v="0"/>
    <x v="1"/>
    <x v="1"/>
    <x v="2"/>
    <x v="9"/>
    <x v="3"/>
    <x v="6"/>
    <x v="11"/>
    <x v="3"/>
    <x v="325"/>
    <x v="2"/>
    <x v="0"/>
  </r>
  <r>
    <x v="356"/>
    <x v="69"/>
    <x v="3"/>
    <x v="2"/>
    <x v="0"/>
    <x v="2"/>
    <x v="8"/>
    <x v="6"/>
    <x v="0"/>
    <x v="45"/>
    <x v="2"/>
    <x v="326"/>
    <x v="1"/>
    <x v="3"/>
  </r>
  <r>
    <x v="357"/>
    <x v="69"/>
    <x v="0"/>
    <x v="0"/>
    <x v="0"/>
    <x v="5"/>
    <x v="18"/>
    <x v="2"/>
    <x v="5"/>
    <x v="74"/>
    <x v="5"/>
    <x v="327"/>
    <x v="2"/>
    <x v="0"/>
  </r>
  <r>
    <x v="358"/>
    <x v="69"/>
    <x v="0"/>
    <x v="0"/>
    <x v="0"/>
    <x v="4"/>
    <x v="7"/>
    <x v="3"/>
    <x v="0"/>
    <x v="136"/>
    <x v="1"/>
    <x v="328"/>
    <x v="2"/>
    <x v="0"/>
  </r>
  <r>
    <x v="359"/>
    <x v="69"/>
    <x v="0"/>
    <x v="0"/>
    <x v="1"/>
    <x v="2"/>
    <x v="5"/>
    <x v="0"/>
    <x v="2"/>
    <x v="33"/>
    <x v="6"/>
    <x v="329"/>
    <x v="0"/>
    <x v="0"/>
  </r>
  <r>
    <x v="360"/>
    <x v="69"/>
    <x v="1"/>
    <x v="0"/>
    <x v="0"/>
    <x v="5"/>
    <x v="18"/>
    <x v="1"/>
    <x v="3"/>
    <x v="27"/>
    <x v="3"/>
    <x v="321"/>
    <x v="1"/>
    <x v="1"/>
  </r>
  <r>
    <x v="361"/>
    <x v="69"/>
    <x v="1"/>
    <x v="1"/>
    <x v="0"/>
    <x v="0"/>
    <x v="27"/>
    <x v="4"/>
    <x v="0"/>
    <x v="69"/>
    <x v="3"/>
    <x v="330"/>
    <x v="2"/>
    <x v="1"/>
  </r>
  <r>
    <x v="362"/>
    <x v="70"/>
    <x v="1"/>
    <x v="0"/>
    <x v="1"/>
    <x v="4"/>
    <x v="11"/>
    <x v="4"/>
    <x v="1"/>
    <x v="13"/>
    <x v="4"/>
    <x v="14"/>
    <x v="2"/>
    <x v="1"/>
  </r>
  <r>
    <x v="363"/>
    <x v="70"/>
    <x v="2"/>
    <x v="2"/>
    <x v="0"/>
    <x v="3"/>
    <x v="4"/>
    <x v="5"/>
    <x v="3"/>
    <x v="68"/>
    <x v="3"/>
    <x v="331"/>
    <x v="1"/>
    <x v="2"/>
  </r>
  <r>
    <x v="364"/>
    <x v="70"/>
    <x v="0"/>
    <x v="0"/>
    <x v="0"/>
    <x v="0"/>
    <x v="10"/>
    <x v="2"/>
    <x v="3"/>
    <x v="88"/>
    <x v="0"/>
    <x v="332"/>
    <x v="2"/>
    <x v="0"/>
  </r>
  <r>
    <x v="365"/>
    <x v="70"/>
    <x v="2"/>
    <x v="1"/>
    <x v="0"/>
    <x v="0"/>
    <x v="0"/>
    <x v="7"/>
    <x v="2"/>
    <x v="0"/>
    <x v="6"/>
    <x v="35"/>
    <x v="3"/>
    <x v="2"/>
  </r>
  <r>
    <x v="366"/>
    <x v="70"/>
    <x v="0"/>
    <x v="0"/>
    <x v="0"/>
    <x v="0"/>
    <x v="27"/>
    <x v="2"/>
    <x v="5"/>
    <x v="137"/>
    <x v="1"/>
    <x v="333"/>
    <x v="2"/>
    <x v="0"/>
  </r>
  <r>
    <x v="367"/>
    <x v="70"/>
    <x v="0"/>
    <x v="3"/>
    <x v="1"/>
    <x v="1"/>
    <x v="1"/>
    <x v="3"/>
    <x v="6"/>
    <x v="16"/>
    <x v="1"/>
    <x v="334"/>
    <x v="2"/>
    <x v="0"/>
  </r>
  <r>
    <x v="368"/>
    <x v="70"/>
    <x v="1"/>
    <x v="2"/>
    <x v="0"/>
    <x v="1"/>
    <x v="26"/>
    <x v="13"/>
    <x v="3"/>
    <x v="138"/>
    <x v="2"/>
    <x v="335"/>
    <x v="0"/>
    <x v="1"/>
  </r>
  <r>
    <x v="369"/>
    <x v="71"/>
    <x v="3"/>
    <x v="1"/>
    <x v="0"/>
    <x v="3"/>
    <x v="14"/>
    <x v="9"/>
    <x v="0"/>
    <x v="18"/>
    <x v="0"/>
    <x v="336"/>
    <x v="2"/>
    <x v="3"/>
  </r>
  <r>
    <x v="370"/>
    <x v="71"/>
    <x v="1"/>
    <x v="0"/>
    <x v="0"/>
    <x v="3"/>
    <x v="23"/>
    <x v="1"/>
    <x v="2"/>
    <x v="90"/>
    <x v="4"/>
    <x v="337"/>
    <x v="1"/>
    <x v="1"/>
  </r>
  <r>
    <x v="371"/>
    <x v="71"/>
    <x v="2"/>
    <x v="1"/>
    <x v="0"/>
    <x v="3"/>
    <x v="14"/>
    <x v="7"/>
    <x v="3"/>
    <x v="76"/>
    <x v="5"/>
    <x v="338"/>
    <x v="3"/>
    <x v="2"/>
  </r>
  <r>
    <x v="372"/>
    <x v="71"/>
    <x v="0"/>
    <x v="2"/>
    <x v="0"/>
    <x v="5"/>
    <x v="15"/>
    <x v="2"/>
    <x v="0"/>
    <x v="20"/>
    <x v="1"/>
    <x v="158"/>
    <x v="2"/>
    <x v="0"/>
  </r>
  <r>
    <x v="373"/>
    <x v="71"/>
    <x v="4"/>
    <x v="2"/>
    <x v="0"/>
    <x v="2"/>
    <x v="9"/>
    <x v="8"/>
    <x v="3"/>
    <x v="86"/>
    <x v="1"/>
    <x v="339"/>
    <x v="0"/>
    <x v="4"/>
  </r>
  <r>
    <x v="374"/>
    <x v="71"/>
    <x v="1"/>
    <x v="2"/>
    <x v="1"/>
    <x v="2"/>
    <x v="8"/>
    <x v="13"/>
    <x v="3"/>
    <x v="43"/>
    <x v="4"/>
    <x v="340"/>
    <x v="0"/>
    <x v="1"/>
  </r>
  <r>
    <x v="375"/>
    <x v="71"/>
    <x v="1"/>
    <x v="0"/>
    <x v="0"/>
    <x v="5"/>
    <x v="18"/>
    <x v="13"/>
    <x v="3"/>
    <x v="139"/>
    <x v="1"/>
    <x v="341"/>
    <x v="0"/>
    <x v="1"/>
  </r>
  <r>
    <x v="376"/>
    <x v="72"/>
    <x v="4"/>
    <x v="3"/>
    <x v="0"/>
    <x v="1"/>
    <x v="20"/>
    <x v="8"/>
    <x v="1"/>
    <x v="31"/>
    <x v="2"/>
    <x v="342"/>
    <x v="0"/>
    <x v="4"/>
  </r>
  <r>
    <x v="377"/>
    <x v="72"/>
    <x v="4"/>
    <x v="0"/>
    <x v="0"/>
    <x v="4"/>
    <x v="12"/>
    <x v="10"/>
    <x v="5"/>
    <x v="72"/>
    <x v="5"/>
    <x v="103"/>
    <x v="2"/>
    <x v="4"/>
  </r>
  <r>
    <x v="378"/>
    <x v="72"/>
    <x v="0"/>
    <x v="3"/>
    <x v="1"/>
    <x v="2"/>
    <x v="17"/>
    <x v="0"/>
    <x v="4"/>
    <x v="87"/>
    <x v="1"/>
    <x v="343"/>
    <x v="0"/>
    <x v="0"/>
  </r>
  <r>
    <x v="379"/>
    <x v="72"/>
    <x v="4"/>
    <x v="0"/>
    <x v="1"/>
    <x v="3"/>
    <x v="14"/>
    <x v="10"/>
    <x v="3"/>
    <x v="76"/>
    <x v="5"/>
    <x v="338"/>
    <x v="2"/>
    <x v="4"/>
  </r>
  <r>
    <x v="380"/>
    <x v="72"/>
    <x v="3"/>
    <x v="0"/>
    <x v="1"/>
    <x v="2"/>
    <x v="17"/>
    <x v="6"/>
    <x v="2"/>
    <x v="89"/>
    <x v="0"/>
    <x v="344"/>
    <x v="1"/>
    <x v="3"/>
  </r>
  <r>
    <x v="381"/>
    <x v="73"/>
    <x v="3"/>
    <x v="0"/>
    <x v="1"/>
    <x v="2"/>
    <x v="8"/>
    <x v="9"/>
    <x v="0"/>
    <x v="45"/>
    <x v="3"/>
    <x v="156"/>
    <x v="2"/>
    <x v="3"/>
  </r>
  <r>
    <x v="382"/>
    <x v="73"/>
    <x v="1"/>
    <x v="0"/>
    <x v="0"/>
    <x v="5"/>
    <x v="16"/>
    <x v="4"/>
    <x v="3"/>
    <x v="67"/>
    <x v="1"/>
    <x v="345"/>
    <x v="2"/>
    <x v="1"/>
  </r>
  <r>
    <x v="383"/>
    <x v="73"/>
    <x v="3"/>
    <x v="2"/>
    <x v="0"/>
    <x v="5"/>
    <x v="25"/>
    <x v="12"/>
    <x v="3"/>
    <x v="105"/>
    <x v="3"/>
    <x v="346"/>
    <x v="0"/>
    <x v="3"/>
  </r>
  <r>
    <x v="384"/>
    <x v="73"/>
    <x v="0"/>
    <x v="3"/>
    <x v="0"/>
    <x v="3"/>
    <x v="13"/>
    <x v="0"/>
    <x v="3"/>
    <x v="61"/>
    <x v="3"/>
    <x v="347"/>
    <x v="0"/>
    <x v="0"/>
  </r>
  <r>
    <x v="385"/>
    <x v="73"/>
    <x v="4"/>
    <x v="0"/>
    <x v="0"/>
    <x v="5"/>
    <x v="25"/>
    <x v="8"/>
    <x v="0"/>
    <x v="101"/>
    <x v="4"/>
    <x v="348"/>
    <x v="0"/>
    <x v="4"/>
  </r>
  <r>
    <x v="386"/>
    <x v="73"/>
    <x v="0"/>
    <x v="2"/>
    <x v="0"/>
    <x v="2"/>
    <x v="9"/>
    <x v="3"/>
    <x v="0"/>
    <x v="122"/>
    <x v="0"/>
    <x v="349"/>
    <x v="2"/>
    <x v="0"/>
  </r>
  <r>
    <x v="387"/>
    <x v="73"/>
    <x v="2"/>
    <x v="3"/>
    <x v="0"/>
    <x v="4"/>
    <x v="12"/>
    <x v="5"/>
    <x v="4"/>
    <x v="72"/>
    <x v="2"/>
    <x v="350"/>
    <x v="1"/>
    <x v="2"/>
  </r>
  <r>
    <x v="388"/>
    <x v="73"/>
    <x v="4"/>
    <x v="2"/>
    <x v="1"/>
    <x v="5"/>
    <x v="18"/>
    <x v="8"/>
    <x v="3"/>
    <x v="74"/>
    <x v="6"/>
    <x v="351"/>
    <x v="0"/>
    <x v="4"/>
  </r>
  <r>
    <x v="389"/>
    <x v="74"/>
    <x v="1"/>
    <x v="0"/>
    <x v="0"/>
    <x v="4"/>
    <x v="12"/>
    <x v="1"/>
    <x v="0"/>
    <x v="140"/>
    <x v="2"/>
    <x v="352"/>
    <x v="1"/>
    <x v="1"/>
  </r>
  <r>
    <x v="390"/>
    <x v="74"/>
    <x v="2"/>
    <x v="0"/>
    <x v="0"/>
    <x v="3"/>
    <x v="23"/>
    <x v="11"/>
    <x v="0"/>
    <x v="37"/>
    <x v="0"/>
    <x v="196"/>
    <x v="1"/>
    <x v="2"/>
  </r>
  <r>
    <x v="391"/>
    <x v="74"/>
    <x v="4"/>
    <x v="1"/>
    <x v="1"/>
    <x v="2"/>
    <x v="17"/>
    <x v="8"/>
    <x v="2"/>
    <x v="24"/>
    <x v="0"/>
    <x v="353"/>
    <x v="0"/>
    <x v="4"/>
  </r>
  <r>
    <x v="392"/>
    <x v="75"/>
    <x v="3"/>
    <x v="3"/>
    <x v="0"/>
    <x v="1"/>
    <x v="24"/>
    <x v="6"/>
    <x v="6"/>
    <x v="63"/>
    <x v="1"/>
    <x v="307"/>
    <x v="1"/>
    <x v="3"/>
  </r>
  <r>
    <x v="393"/>
    <x v="75"/>
    <x v="2"/>
    <x v="2"/>
    <x v="0"/>
    <x v="2"/>
    <x v="8"/>
    <x v="7"/>
    <x v="3"/>
    <x v="99"/>
    <x v="6"/>
    <x v="354"/>
    <x v="3"/>
    <x v="2"/>
  </r>
  <r>
    <x v="394"/>
    <x v="75"/>
    <x v="2"/>
    <x v="2"/>
    <x v="1"/>
    <x v="1"/>
    <x v="20"/>
    <x v="7"/>
    <x v="0"/>
    <x v="31"/>
    <x v="6"/>
    <x v="355"/>
    <x v="3"/>
    <x v="2"/>
  </r>
  <r>
    <x v="395"/>
    <x v="75"/>
    <x v="3"/>
    <x v="0"/>
    <x v="0"/>
    <x v="2"/>
    <x v="8"/>
    <x v="9"/>
    <x v="0"/>
    <x v="134"/>
    <x v="1"/>
    <x v="356"/>
    <x v="2"/>
    <x v="3"/>
  </r>
  <r>
    <x v="396"/>
    <x v="75"/>
    <x v="0"/>
    <x v="1"/>
    <x v="1"/>
    <x v="2"/>
    <x v="3"/>
    <x v="3"/>
    <x v="2"/>
    <x v="94"/>
    <x v="0"/>
    <x v="256"/>
    <x v="2"/>
    <x v="0"/>
  </r>
  <r>
    <x v="397"/>
    <x v="76"/>
    <x v="0"/>
    <x v="3"/>
    <x v="1"/>
    <x v="2"/>
    <x v="8"/>
    <x v="2"/>
    <x v="13"/>
    <x v="99"/>
    <x v="5"/>
    <x v="357"/>
    <x v="2"/>
    <x v="0"/>
  </r>
  <r>
    <x v="398"/>
    <x v="76"/>
    <x v="0"/>
    <x v="2"/>
    <x v="0"/>
    <x v="2"/>
    <x v="9"/>
    <x v="3"/>
    <x v="3"/>
    <x v="10"/>
    <x v="1"/>
    <x v="358"/>
    <x v="2"/>
    <x v="0"/>
  </r>
  <r>
    <x v="399"/>
    <x v="76"/>
    <x v="1"/>
    <x v="0"/>
    <x v="1"/>
    <x v="3"/>
    <x v="4"/>
    <x v="1"/>
    <x v="3"/>
    <x v="4"/>
    <x v="6"/>
    <x v="359"/>
    <x v="1"/>
    <x v="1"/>
  </r>
  <r>
    <x v="400"/>
    <x v="76"/>
    <x v="4"/>
    <x v="0"/>
    <x v="0"/>
    <x v="4"/>
    <x v="12"/>
    <x v="8"/>
    <x v="3"/>
    <x v="38"/>
    <x v="6"/>
    <x v="360"/>
    <x v="0"/>
    <x v="4"/>
  </r>
  <r>
    <x v="401"/>
    <x v="76"/>
    <x v="3"/>
    <x v="1"/>
    <x v="1"/>
    <x v="5"/>
    <x v="21"/>
    <x v="12"/>
    <x v="0"/>
    <x v="141"/>
    <x v="4"/>
    <x v="361"/>
    <x v="0"/>
    <x v="3"/>
  </r>
  <r>
    <x v="402"/>
    <x v="76"/>
    <x v="3"/>
    <x v="0"/>
    <x v="0"/>
    <x v="2"/>
    <x v="5"/>
    <x v="6"/>
    <x v="10"/>
    <x v="133"/>
    <x v="0"/>
    <x v="362"/>
    <x v="1"/>
    <x v="3"/>
  </r>
  <r>
    <x v="403"/>
    <x v="76"/>
    <x v="4"/>
    <x v="2"/>
    <x v="0"/>
    <x v="3"/>
    <x v="4"/>
    <x v="10"/>
    <x v="3"/>
    <x v="81"/>
    <x v="0"/>
    <x v="363"/>
    <x v="2"/>
    <x v="4"/>
  </r>
  <r>
    <x v="404"/>
    <x v="76"/>
    <x v="1"/>
    <x v="2"/>
    <x v="0"/>
    <x v="5"/>
    <x v="18"/>
    <x v="4"/>
    <x v="3"/>
    <x v="27"/>
    <x v="4"/>
    <x v="29"/>
    <x v="2"/>
    <x v="1"/>
  </r>
  <r>
    <x v="405"/>
    <x v="76"/>
    <x v="2"/>
    <x v="0"/>
    <x v="0"/>
    <x v="2"/>
    <x v="5"/>
    <x v="7"/>
    <x v="0"/>
    <x v="5"/>
    <x v="2"/>
    <x v="364"/>
    <x v="3"/>
    <x v="2"/>
  </r>
  <r>
    <x v="406"/>
    <x v="76"/>
    <x v="0"/>
    <x v="0"/>
    <x v="0"/>
    <x v="0"/>
    <x v="10"/>
    <x v="0"/>
    <x v="6"/>
    <x v="88"/>
    <x v="1"/>
    <x v="365"/>
    <x v="0"/>
    <x v="0"/>
  </r>
  <r>
    <x v="407"/>
    <x v="76"/>
    <x v="3"/>
    <x v="1"/>
    <x v="1"/>
    <x v="5"/>
    <x v="15"/>
    <x v="9"/>
    <x v="3"/>
    <x v="20"/>
    <x v="0"/>
    <x v="366"/>
    <x v="2"/>
    <x v="3"/>
  </r>
  <r>
    <x v="408"/>
    <x v="77"/>
    <x v="2"/>
    <x v="0"/>
    <x v="1"/>
    <x v="2"/>
    <x v="2"/>
    <x v="7"/>
    <x v="4"/>
    <x v="19"/>
    <x v="6"/>
    <x v="367"/>
    <x v="3"/>
    <x v="2"/>
  </r>
  <r>
    <x v="409"/>
    <x v="77"/>
    <x v="4"/>
    <x v="0"/>
    <x v="1"/>
    <x v="2"/>
    <x v="5"/>
    <x v="10"/>
    <x v="0"/>
    <x v="66"/>
    <x v="5"/>
    <x v="368"/>
    <x v="2"/>
    <x v="4"/>
  </r>
  <r>
    <x v="410"/>
    <x v="77"/>
    <x v="2"/>
    <x v="0"/>
    <x v="1"/>
    <x v="4"/>
    <x v="6"/>
    <x v="5"/>
    <x v="2"/>
    <x v="110"/>
    <x v="5"/>
    <x v="369"/>
    <x v="1"/>
    <x v="2"/>
  </r>
  <r>
    <x v="411"/>
    <x v="77"/>
    <x v="1"/>
    <x v="3"/>
    <x v="1"/>
    <x v="4"/>
    <x v="6"/>
    <x v="4"/>
    <x v="8"/>
    <x v="6"/>
    <x v="3"/>
    <x v="370"/>
    <x v="2"/>
    <x v="1"/>
  </r>
  <r>
    <x v="412"/>
    <x v="77"/>
    <x v="4"/>
    <x v="0"/>
    <x v="1"/>
    <x v="2"/>
    <x v="9"/>
    <x v="10"/>
    <x v="3"/>
    <x v="102"/>
    <x v="6"/>
    <x v="358"/>
    <x v="2"/>
    <x v="4"/>
  </r>
  <r>
    <x v="413"/>
    <x v="77"/>
    <x v="1"/>
    <x v="1"/>
    <x v="0"/>
    <x v="0"/>
    <x v="19"/>
    <x v="1"/>
    <x v="4"/>
    <x v="28"/>
    <x v="5"/>
    <x v="371"/>
    <x v="1"/>
    <x v="1"/>
  </r>
  <r>
    <x v="414"/>
    <x v="77"/>
    <x v="0"/>
    <x v="1"/>
    <x v="0"/>
    <x v="3"/>
    <x v="23"/>
    <x v="0"/>
    <x v="3"/>
    <x v="37"/>
    <x v="2"/>
    <x v="372"/>
    <x v="0"/>
    <x v="0"/>
  </r>
  <r>
    <x v="415"/>
    <x v="78"/>
    <x v="3"/>
    <x v="2"/>
    <x v="0"/>
    <x v="3"/>
    <x v="23"/>
    <x v="6"/>
    <x v="3"/>
    <x v="131"/>
    <x v="3"/>
    <x v="373"/>
    <x v="1"/>
    <x v="3"/>
  </r>
  <r>
    <x v="416"/>
    <x v="78"/>
    <x v="2"/>
    <x v="2"/>
    <x v="0"/>
    <x v="4"/>
    <x v="6"/>
    <x v="5"/>
    <x v="2"/>
    <x v="44"/>
    <x v="1"/>
    <x v="51"/>
    <x v="1"/>
    <x v="2"/>
  </r>
  <r>
    <x v="417"/>
    <x v="78"/>
    <x v="3"/>
    <x v="0"/>
    <x v="0"/>
    <x v="4"/>
    <x v="11"/>
    <x v="12"/>
    <x v="1"/>
    <x v="13"/>
    <x v="3"/>
    <x v="228"/>
    <x v="0"/>
    <x v="3"/>
  </r>
  <r>
    <x v="418"/>
    <x v="78"/>
    <x v="4"/>
    <x v="1"/>
    <x v="0"/>
    <x v="3"/>
    <x v="14"/>
    <x v="8"/>
    <x v="0"/>
    <x v="129"/>
    <x v="2"/>
    <x v="297"/>
    <x v="0"/>
    <x v="4"/>
  </r>
  <r>
    <x v="419"/>
    <x v="78"/>
    <x v="4"/>
    <x v="0"/>
    <x v="1"/>
    <x v="3"/>
    <x v="23"/>
    <x v="10"/>
    <x v="3"/>
    <x v="142"/>
    <x v="0"/>
    <x v="6"/>
    <x v="2"/>
    <x v="4"/>
  </r>
  <r>
    <x v="420"/>
    <x v="78"/>
    <x v="2"/>
    <x v="0"/>
    <x v="0"/>
    <x v="1"/>
    <x v="20"/>
    <x v="5"/>
    <x v="3"/>
    <x v="143"/>
    <x v="2"/>
    <x v="374"/>
    <x v="1"/>
    <x v="2"/>
  </r>
  <r>
    <x v="421"/>
    <x v="79"/>
    <x v="3"/>
    <x v="3"/>
    <x v="0"/>
    <x v="3"/>
    <x v="14"/>
    <x v="12"/>
    <x v="0"/>
    <x v="144"/>
    <x v="5"/>
    <x v="375"/>
    <x v="0"/>
    <x v="3"/>
  </r>
  <r>
    <x v="422"/>
    <x v="79"/>
    <x v="1"/>
    <x v="1"/>
    <x v="1"/>
    <x v="0"/>
    <x v="19"/>
    <x v="4"/>
    <x v="3"/>
    <x v="28"/>
    <x v="1"/>
    <x v="152"/>
    <x v="2"/>
    <x v="1"/>
  </r>
  <r>
    <x v="423"/>
    <x v="79"/>
    <x v="0"/>
    <x v="2"/>
    <x v="0"/>
    <x v="4"/>
    <x v="7"/>
    <x v="0"/>
    <x v="3"/>
    <x v="34"/>
    <x v="4"/>
    <x v="17"/>
    <x v="0"/>
    <x v="0"/>
  </r>
  <r>
    <x v="424"/>
    <x v="79"/>
    <x v="2"/>
    <x v="3"/>
    <x v="0"/>
    <x v="5"/>
    <x v="21"/>
    <x v="7"/>
    <x v="3"/>
    <x v="35"/>
    <x v="4"/>
    <x v="247"/>
    <x v="3"/>
    <x v="2"/>
  </r>
  <r>
    <x v="425"/>
    <x v="79"/>
    <x v="4"/>
    <x v="0"/>
    <x v="1"/>
    <x v="5"/>
    <x v="18"/>
    <x v="14"/>
    <x v="3"/>
    <x v="75"/>
    <x v="0"/>
    <x v="113"/>
    <x v="2"/>
    <x v="4"/>
  </r>
  <r>
    <x v="426"/>
    <x v="79"/>
    <x v="0"/>
    <x v="1"/>
    <x v="1"/>
    <x v="2"/>
    <x v="5"/>
    <x v="3"/>
    <x v="1"/>
    <x v="133"/>
    <x v="1"/>
    <x v="376"/>
    <x v="2"/>
    <x v="0"/>
  </r>
  <r>
    <x v="427"/>
    <x v="80"/>
    <x v="3"/>
    <x v="0"/>
    <x v="0"/>
    <x v="5"/>
    <x v="25"/>
    <x v="6"/>
    <x v="3"/>
    <x v="101"/>
    <x v="0"/>
    <x v="377"/>
    <x v="1"/>
    <x v="3"/>
  </r>
  <r>
    <x v="428"/>
    <x v="80"/>
    <x v="1"/>
    <x v="0"/>
    <x v="0"/>
    <x v="3"/>
    <x v="4"/>
    <x v="13"/>
    <x v="3"/>
    <x v="68"/>
    <x v="5"/>
    <x v="182"/>
    <x v="0"/>
    <x v="1"/>
  </r>
  <r>
    <x v="429"/>
    <x v="80"/>
    <x v="4"/>
    <x v="2"/>
    <x v="0"/>
    <x v="0"/>
    <x v="27"/>
    <x v="14"/>
    <x v="3"/>
    <x v="69"/>
    <x v="6"/>
    <x v="97"/>
    <x v="2"/>
    <x v="4"/>
  </r>
  <r>
    <x v="430"/>
    <x v="80"/>
    <x v="1"/>
    <x v="1"/>
    <x v="0"/>
    <x v="0"/>
    <x v="0"/>
    <x v="4"/>
    <x v="2"/>
    <x v="26"/>
    <x v="3"/>
    <x v="378"/>
    <x v="2"/>
    <x v="1"/>
  </r>
  <r>
    <x v="431"/>
    <x v="80"/>
    <x v="1"/>
    <x v="0"/>
    <x v="0"/>
    <x v="0"/>
    <x v="27"/>
    <x v="4"/>
    <x v="2"/>
    <x v="80"/>
    <x v="4"/>
    <x v="379"/>
    <x v="2"/>
    <x v="1"/>
  </r>
  <r>
    <x v="432"/>
    <x v="80"/>
    <x v="0"/>
    <x v="2"/>
    <x v="0"/>
    <x v="5"/>
    <x v="16"/>
    <x v="3"/>
    <x v="3"/>
    <x v="60"/>
    <x v="1"/>
    <x v="82"/>
    <x v="2"/>
    <x v="0"/>
  </r>
  <r>
    <x v="433"/>
    <x v="81"/>
    <x v="4"/>
    <x v="3"/>
    <x v="0"/>
    <x v="3"/>
    <x v="4"/>
    <x v="14"/>
    <x v="3"/>
    <x v="41"/>
    <x v="1"/>
    <x v="380"/>
    <x v="2"/>
    <x v="4"/>
  </r>
  <r>
    <x v="434"/>
    <x v="81"/>
    <x v="2"/>
    <x v="3"/>
    <x v="0"/>
    <x v="4"/>
    <x v="6"/>
    <x v="5"/>
    <x v="10"/>
    <x v="104"/>
    <x v="1"/>
    <x v="381"/>
    <x v="1"/>
    <x v="2"/>
  </r>
  <r>
    <x v="435"/>
    <x v="81"/>
    <x v="4"/>
    <x v="1"/>
    <x v="0"/>
    <x v="2"/>
    <x v="8"/>
    <x v="14"/>
    <x v="0"/>
    <x v="45"/>
    <x v="6"/>
    <x v="382"/>
    <x v="2"/>
    <x v="4"/>
  </r>
  <r>
    <x v="436"/>
    <x v="81"/>
    <x v="0"/>
    <x v="0"/>
    <x v="0"/>
    <x v="0"/>
    <x v="10"/>
    <x v="2"/>
    <x v="2"/>
    <x v="17"/>
    <x v="0"/>
    <x v="289"/>
    <x v="2"/>
    <x v="0"/>
  </r>
  <r>
    <x v="437"/>
    <x v="81"/>
    <x v="2"/>
    <x v="1"/>
    <x v="0"/>
    <x v="3"/>
    <x v="4"/>
    <x v="11"/>
    <x v="0"/>
    <x v="81"/>
    <x v="1"/>
    <x v="383"/>
    <x v="1"/>
    <x v="2"/>
  </r>
  <r>
    <x v="438"/>
    <x v="81"/>
    <x v="0"/>
    <x v="2"/>
    <x v="0"/>
    <x v="2"/>
    <x v="3"/>
    <x v="0"/>
    <x v="4"/>
    <x v="94"/>
    <x v="6"/>
    <x v="384"/>
    <x v="0"/>
    <x v="0"/>
  </r>
  <r>
    <x v="439"/>
    <x v="81"/>
    <x v="2"/>
    <x v="2"/>
    <x v="1"/>
    <x v="1"/>
    <x v="24"/>
    <x v="11"/>
    <x v="0"/>
    <x v="54"/>
    <x v="4"/>
    <x v="385"/>
    <x v="1"/>
    <x v="2"/>
  </r>
  <r>
    <x v="440"/>
    <x v="82"/>
    <x v="3"/>
    <x v="0"/>
    <x v="0"/>
    <x v="3"/>
    <x v="13"/>
    <x v="12"/>
    <x v="3"/>
    <x v="84"/>
    <x v="3"/>
    <x v="386"/>
    <x v="0"/>
    <x v="3"/>
  </r>
  <r>
    <x v="441"/>
    <x v="82"/>
    <x v="3"/>
    <x v="0"/>
    <x v="0"/>
    <x v="5"/>
    <x v="16"/>
    <x v="12"/>
    <x v="3"/>
    <x v="67"/>
    <x v="2"/>
    <x v="387"/>
    <x v="0"/>
    <x v="3"/>
  </r>
  <r>
    <x v="442"/>
    <x v="82"/>
    <x v="3"/>
    <x v="2"/>
    <x v="0"/>
    <x v="3"/>
    <x v="4"/>
    <x v="9"/>
    <x v="3"/>
    <x v="62"/>
    <x v="6"/>
    <x v="380"/>
    <x v="2"/>
    <x v="3"/>
  </r>
  <r>
    <x v="443"/>
    <x v="82"/>
    <x v="2"/>
    <x v="2"/>
    <x v="1"/>
    <x v="3"/>
    <x v="4"/>
    <x v="11"/>
    <x v="0"/>
    <x v="81"/>
    <x v="5"/>
    <x v="388"/>
    <x v="1"/>
    <x v="2"/>
  </r>
  <r>
    <x v="444"/>
    <x v="83"/>
    <x v="0"/>
    <x v="2"/>
    <x v="0"/>
    <x v="5"/>
    <x v="15"/>
    <x v="2"/>
    <x v="3"/>
    <x v="70"/>
    <x v="1"/>
    <x v="294"/>
    <x v="2"/>
    <x v="0"/>
  </r>
  <r>
    <x v="445"/>
    <x v="83"/>
    <x v="1"/>
    <x v="0"/>
    <x v="1"/>
    <x v="2"/>
    <x v="3"/>
    <x v="4"/>
    <x v="1"/>
    <x v="132"/>
    <x v="6"/>
    <x v="354"/>
    <x v="2"/>
    <x v="1"/>
  </r>
  <r>
    <x v="446"/>
    <x v="83"/>
    <x v="0"/>
    <x v="3"/>
    <x v="0"/>
    <x v="5"/>
    <x v="21"/>
    <x v="0"/>
    <x v="3"/>
    <x v="35"/>
    <x v="6"/>
    <x v="138"/>
    <x v="0"/>
    <x v="0"/>
  </r>
  <r>
    <x v="447"/>
    <x v="83"/>
    <x v="1"/>
    <x v="2"/>
    <x v="0"/>
    <x v="2"/>
    <x v="9"/>
    <x v="1"/>
    <x v="0"/>
    <x v="122"/>
    <x v="4"/>
    <x v="389"/>
    <x v="1"/>
    <x v="1"/>
  </r>
  <r>
    <x v="448"/>
    <x v="83"/>
    <x v="4"/>
    <x v="1"/>
    <x v="0"/>
    <x v="4"/>
    <x v="6"/>
    <x v="10"/>
    <x v="2"/>
    <x v="110"/>
    <x v="3"/>
    <x v="390"/>
    <x v="2"/>
    <x v="4"/>
  </r>
  <r>
    <x v="449"/>
    <x v="83"/>
    <x v="0"/>
    <x v="0"/>
    <x v="0"/>
    <x v="3"/>
    <x v="23"/>
    <x v="0"/>
    <x v="0"/>
    <x v="131"/>
    <x v="2"/>
    <x v="391"/>
    <x v="0"/>
    <x v="0"/>
  </r>
  <r>
    <x v="450"/>
    <x v="83"/>
    <x v="4"/>
    <x v="0"/>
    <x v="1"/>
    <x v="0"/>
    <x v="19"/>
    <x v="14"/>
    <x v="1"/>
    <x v="71"/>
    <x v="4"/>
    <x v="392"/>
    <x v="2"/>
    <x v="4"/>
  </r>
  <r>
    <x v="451"/>
    <x v="83"/>
    <x v="3"/>
    <x v="0"/>
    <x v="1"/>
    <x v="1"/>
    <x v="22"/>
    <x v="9"/>
    <x v="3"/>
    <x v="126"/>
    <x v="1"/>
    <x v="393"/>
    <x v="2"/>
    <x v="3"/>
  </r>
  <r>
    <x v="452"/>
    <x v="83"/>
    <x v="2"/>
    <x v="0"/>
    <x v="0"/>
    <x v="1"/>
    <x v="22"/>
    <x v="5"/>
    <x v="3"/>
    <x v="126"/>
    <x v="2"/>
    <x v="269"/>
    <x v="1"/>
    <x v="2"/>
  </r>
  <r>
    <x v="453"/>
    <x v="83"/>
    <x v="4"/>
    <x v="0"/>
    <x v="0"/>
    <x v="4"/>
    <x v="11"/>
    <x v="10"/>
    <x v="2"/>
    <x v="95"/>
    <x v="1"/>
    <x v="394"/>
    <x v="2"/>
    <x v="4"/>
  </r>
  <r>
    <x v="454"/>
    <x v="84"/>
    <x v="1"/>
    <x v="0"/>
    <x v="0"/>
    <x v="2"/>
    <x v="17"/>
    <x v="13"/>
    <x v="1"/>
    <x v="24"/>
    <x v="4"/>
    <x v="395"/>
    <x v="0"/>
    <x v="1"/>
  </r>
  <r>
    <x v="455"/>
    <x v="84"/>
    <x v="1"/>
    <x v="0"/>
    <x v="0"/>
    <x v="3"/>
    <x v="23"/>
    <x v="4"/>
    <x v="0"/>
    <x v="145"/>
    <x v="4"/>
    <x v="396"/>
    <x v="2"/>
    <x v="1"/>
  </r>
  <r>
    <x v="456"/>
    <x v="84"/>
    <x v="3"/>
    <x v="3"/>
    <x v="0"/>
    <x v="5"/>
    <x v="25"/>
    <x v="9"/>
    <x v="3"/>
    <x v="101"/>
    <x v="2"/>
    <x v="397"/>
    <x v="2"/>
    <x v="3"/>
  </r>
  <r>
    <x v="457"/>
    <x v="84"/>
    <x v="2"/>
    <x v="2"/>
    <x v="0"/>
    <x v="5"/>
    <x v="16"/>
    <x v="5"/>
    <x v="3"/>
    <x v="111"/>
    <x v="1"/>
    <x v="398"/>
    <x v="1"/>
    <x v="2"/>
  </r>
  <r>
    <x v="458"/>
    <x v="84"/>
    <x v="1"/>
    <x v="2"/>
    <x v="1"/>
    <x v="4"/>
    <x v="12"/>
    <x v="13"/>
    <x v="3"/>
    <x v="39"/>
    <x v="6"/>
    <x v="399"/>
    <x v="0"/>
    <x v="1"/>
  </r>
  <r>
    <x v="459"/>
    <x v="85"/>
    <x v="1"/>
    <x v="1"/>
    <x v="1"/>
    <x v="0"/>
    <x v="19"/>
    <x v="1"/>
    <x v="0"/>
    <x v="28"/>
    <x v="6"/>
    <x v="400"/>
    <x v="1"/>
    <x v="1"/>
  </r>
  <r>
    <x v="460"/>
    <x v="85"/>
    <x v="3"/>
    <x v="3"/>
    <x v="1"/>
    <x v="3"/>
    <x v="14"/>
    <x v="9"/>
    <x v="3"/>
    <x v="124"/>
    <x v="1"/>
    <x v="401"/>
    <x v="2"/>
    <x v="3"/>
  </r>
  <r>
    <x v="461"/>
    <x v="85"/>
    <x v="4"/>
    <x v="0"/>
    <x v="1"/>
    <x v="0"/>
    <x v="27"/>
    <x v="8"/>
    <x v="2"/>
    <x v="85"/>
    <x v="1"/>
    <x v="402"/>
    <x v="0"/>
    <x v="4"/>
  </r>
  <r>
    <x v="462"/>
    <x v="85"/>
    <x v="4"/>
    <x v="0"/>
    <x v="1"/>
    <x v="4"/>
    <x v="11"/>
    <x v="10"/>
    <x v="3"/>
    <x v="13"/>
    <x v="1"/>
    <x v="403"/>
    <x v="2"/>
    <x v="4"/>
  </r>
  <r>
    <x v="463"/>
    <x v="85"/>
    <x v="0"/>
    <x v="0"/>
    <x v="1"/>
    <x v="5"/>
    <x v="21"/>
    <x v="3"/>
    <x v="3"/>
    <x v="40"/>
    <x v="6"/>
    <x v="404"/>
    <x v="2"/>
    <x v="0"/>
  </r>
  <r>
    <x v="464"/>
    <x v="85"/>
    <x v="2"/>
    <x v="2"/>
    <x v="0"/>
    <x v="2"/>
    <x v="5"/>
    <x v="5"/>
    <x v="2"/>
    <x v="66"/>
    <x v="5"/>
    <x v="405"/>
    <x v="1"/>
    <x v="2"/>
  </r>
  <r>
    <x v="465"/>
    <x v="85"/>
    <x v="4"/>
    <x v="3"/>
    <x v="0"/>
    <x v="0"/>
    <x v="0"/>
    <x v="14"/>
    <x v="0"/>
    <x v="0"/>
    <x v="1"/>
    <x v="406"/>
    <x v="2"/>
    <x v="4"/>
  </r>
  <r>
    <x v="466"/>
    <x v="86"/>
    <x v="2"/>
    <x v="1"/>
    <x v="0"/>
    <x v="4"/>
    <x v="11"/>
    <x v="11"/>
    <x v="3"/>
    <x v="13"/>
    <x v="4"/>
    <x v="407"/>
    <x v="1"/>
    <x v="2"/>
  </r>
  <r>
    <x v="467"/>
    <x v="86"/>
    <x v="3"/>
    <x v="3"/>
    <x v="1"/>
    <x v="1"/>
    <x v="24"/>
    <x v="9"/>
    <x v="5"/>
    <x v="63"/>
    <x v="4"/>
    <x v="408"/>
    <x v="2"/>
    <x v="3"/>
  </r>
  <r>
    <x v="468"/>
    <x v="86"/>
    <x v="3"/>
    <x v="2"/>
    <x v="1"/>
    <x v="0"/>
    <x v="27"/>
    <x v="12"/>
    <x v="1"/>
    <x v="69"/>
    <x v="6"/>
    <x v="409"/>
    <x v="0"/>
    <x v="3"/>
  </r>
  <r>
    <x v="469"/>
    <x v="86"/>
    <x v="4"/>
    <x v="3"/>
    <x v="1"/>
    <x v="5"/>
    <x v="16"/>
    <x v="14"/>
    <x v="3"/>
    <x v="21"/>
    <x v="6"/>
    <x v="410"/>
    <x v="2"/>
    <x v="4"/>
  </r>
  <r>
    <x v="470"/>
    <x v="86"/>
    <x v="0"/>
    <x v="2"/>
    <x v="0"/>
    <x v="4"/>
    <x v="7"/>
    <x v="2"/>
    <x v="3"/>
    <x v="136"/>
    <x v="5"/>
    <x v="411"/>
    <x v="2"/>
    <x v="0"/>
  </r>
  <r>
    <x v="471"/>
    <x v="87"/>
    <x v="2"/>
    <x v="0"/>
    <x v="0"/>
    <x v="4"/>
    <x v="12"/>
    <x v="11"/>
    <x v="0"/>
    <x v="38"/>
    <x v="4"/>
    <x v="412"/>
    <x v="1"/>
    <x v="2"/>
  </r>
  <r>
    <x v="472"/>
    <x v="87"/>
    <x v="4"/>
    <x v="1"/>
    <x v="0"/>
    <x v="2"/>
    <x v="9"/>
    <x v="8"/>
    <x v="2"/>
    <x v="11"/>
    <x v="0"/>
    <x v="413"/>
    <x v="0"/>
    <x v="4"/>
  </r>
  <r>
    <x v="473"/>
    <x v="87"/>
    <x v="4"/>
    <x v="0"/>
    <x v="1"/>
    <x v="2"/>
    <x v="3"/>
    <x v="8"/>
    <x v="2"/>
    <x v="94"/>
    <x v="1"/>
    <x v="414"/>
    <x v="0"/>
    <x v="4"/>
  </r>
  <r>
    <x v="474"/>
    <x v="87"/>
    <x v="1"/>
    <x v="2"/>
    <x v="1"/>
    <x v="2"/>
    <x v="3"/>
    <x v="1"/>
    <x v="0"/>
    <x v="132"/>
    <x v="2"/>
    <x v="415"/>
    <x v="1"/>
    <x v="1"/>
  </r>
  <r>
    <x v="475"/>
    <x v="87"/>
    <x v="3"/>
    <x v="2"/>
    <x v="0"/>
    <x v="2"/>
    <x v="17"/>
    <x v="9"/>
    <x v="10"/>
    <x v="24"/>
    <x v="5"/>
    <x v="416"/>
    <x v="2"/>
    <x v="3"/>
  </r>
  <r>
    <x v="476"/>
    <x v="87"/>
    <x v="2"/>
    <x v="0"/>
    <x v="0"/>
    <x v="1"/>
    <x v="20"/>
    <x v="7"/>
    <x v="3"/>
    <x v="143"/>
    <x v="0"/>
    <x v="417"/>
    <x v="3"/>
    <x v="2"/>
  </r>
  <r>
    <x v="477"/>
    <x v="87"/>
    <x v="1"/>
    <x v="3"/>
    <x v="0"/>
    <x v="1"/>
    <x v="22"/>
    <x v="1"/>
    <x v="10"/>
    <x v="126"/>
    <x v="0"/>
    <x v="418"/>
    <x v="1"/>
    <x v="1"/>
  </r>
  <r>
    <x v="478"/>
    <x v="88"/>
    <x v="0"/>
    <x v="3"/>
    <x v="1"/>
    <x v="5"/>
    <x v="15"/>
    <x v="3"/>
    <x v="0"/>
    <x v="25"/>
    <x v="4"/>
    <x v="419"/>
    <x v="2"/>
    <x v="0"/>
  </r>
  <r>
    <x v="479"/>
    <x v="88"/>
    <x v="0"/>
    <x v="3"/>
    <x v="0"/>
    <x v="1"/>
    <x v="20"/>
    <x v="2"/>
    <x v="1"/>
    <x v="31"/>
    <x v="1"/>
    <x v="84"/>
    <x v="2"/>
    <x v="0"/>
  </r>
  <r>
    <x v="480"/>
    <x v="88"/>
    <x v="4"/>
    <x v="3"/>
    <x v="0"/>
    <x v="1"/>
    <x v="26"/>
    <x v="10"/>
    <x v="13"/>
    <x v="65"/>
    <x v="5"/>
    <x v="420"/>
    <x v="2"/>
    <x v="4"/>
  </r>
  <r>
    <x v="481"/>
    <x v="89"/>
    <x v="2"/>
    <x v="1"/>
    <x v="0"/>
    <x v="0"/>
    <x v="27"/>
    <x v="5"/>
    <x v="6"/>
    <x v="80"/>
    <x v="4"/>
    <x v="421"/>
    <x v="1"/>
    <x v="2"/>
  </r>
  <r>
    <x v="482"/>
    <x v="89"/>
    <x v="0"/>
    <x v="1"/>
    <x v="0"/>
    <x v="1"/>
    <x v="26"/>
    <x v="2"/>
    <x v="2"/>
    <x v="146"/>
    <x v="4"/>
    <x v="422"/>
    <x v="2"/>
    <x v="0"/>
  </r>
  <r>
    <x v="483"/>
    <x v="89"/>
    <x v="4"/>
    <x v="1"/>
    <x v="1"/>
    <x v="2"/>
    <x v="17"/>
    <x v="8"/>
    <x v="0"/>
    <x v="24"/>
    <x v="2"/>
    <x v="423"/>
    <x v="0"/>
    <x v="4"/>
  </r>
  <r>
    <x v="484"/>
    <x v="90"/>
    <x v="0"/>
    <x v="0"/>
    <x v="0"/>
    <x v="4"/>
    <x v="7"/>
    <x v="2"/>
    <x v="3"/>
    <x v="103"/>
    <x v="4"/>
    <x v="424"/>
    <x v="2"/>
    <x v="0"/>
  </r>
  <r>
    <x v="485"/>
    <x v="90"/>
    <x v="1"/>
    <x v="3"/>
    <x v="0"/>
    <x v="5"/>
    <x v="18"/>
    <x v="4"/>
    <x v="0"/>
    <x v="139"/>
    <x v="3"/>
    <x v="425"/>
    <x v="2"/>
    <x v="1"/>
  </r>
  <r>
    <x v="486"/>
    <x v="90"/>
    <x v="2"/>
    <x v="2"/>
    <x v="1"/>
    <x v="1"/>
    <x v="22"/>
    <x v="5"/>
    <x v="2"/>
    <x v="64"/>
    <x v="1"/>
    <x v="426"/>
    <x v="1"/>
    <x v="2"/>
  </r>
  <r>
    <x v="487"/>
    <x v="90"/>
    <x v="3"/>
    <x v="0"/>
    <x v="1"/>
    <x v="2"/>
    <x v="5"/>
    <x v="6"/>
    <x v="2"/>
    <x v="33"/>
    <x v="4"/>
    <x v="215"/>
    <x v="1"/>
    <x v="3"/>
  </r>
  <r>
    <x v="488"/>
    <x v="90"/>
    <x v="3"/>
    <x v="3"/>
    <x v="0"/>
    <x v="4"/>
    <x v="7"/>
    <x v="12"/>
    <x v="10"/>
    <x v="116"/>
    <x v="5"/>
    <x v="143"/>
    <x v="0"/>
    <x v="3"/>
  </r>
  <r>
    <x v="489"/>
    <x v="90"/>
    <x v="0"/>
    <x v="1"/>
    <x v="0"/>
    <x v="2"/>
    <x v="5"/>
    <x v="2"/>
    <x v="5"/>
    <x v="147"/>
    <x v="1"/>
    <x v="427"/>
    <x v="2"/>
    <x v="0"/>
  </r>
  <r>
    <x v="490"/>
    <x v="90"/>
    <x v="2"/>
    <x v="0"/>
    <x v="0"/>
    <x v="1"/>
    <x v="22"/>
    <x v="7"/>
    <x v="3"/>
    <x v="148"/>
    <x v="4"/>
    <x v="428"/>
    <x v="3"/>
    <x v="2"/>
  </r>
  <r>
    <x v="491"/>
    <x v="90"/>
    <x v="3"/>
    <x v="3"/>
    <x v="0"/>
    <x v="4"/>
    <x v="7"/>
    <x v="12"/>
    <x v="4"/>
    <x v="116"/>
    <x v="5"/>
    <x v="429"/>
    <x v="0"/>
    <x v="3"/>
  </r>
  <r>
    <x v="492"/>
    <x v="90"/>
    <x v="4"/>
    <x v="2"/>
    <x v="1"/>
    <x v="2"/>
    <x v="3"/>
    <x v="8"/>
    <x v="0"/>
    <x v="92"/>
    <x v="4"/>
    <x v="430"/>
    <x v="0"/>
    <x v="4"/>
  </r>
  <r>
    <x v="493"/>
    <x v="91"/>
    <x v="0"/>
    <x v="0"/>
    <x v="0"/>
    <x v="4"/>
    <x v="7"/>
    <x v="2"/>
    <x v="3"/>
    <x v="34"/>
    <x v="6"/>
    <x v="431"/>
    <x v="2"/>
    <x v="0"/>
  </r>
  <r>
    <x v="494"/>
    <x v="91"/>
    <x v="0"/>
    <x v="1"/>
    <x v="1"/>
    <x v="0"/>
    <x v="0"/>
    <x v="3"/>
    <x v="1"/>
    <x v="0"/>
    <x v="5"/>
    <x v="432"/>
    <x v="2"/>
    <x v="0"/>
  </r>
  <r>
    <x v="495"/>
    <x v="91"/>
    <x v="2"/>
    <x v="2"/>
    <x v="1"/>
    <x v="2"/>
    <x v="17"/>
    <x v="7"/>
    <x v="0"/>
    <x v="24"/>
    <x v="1"/>
    <x v="433"/>
    <x v="3"/>
    <x v="2"/>
  </r>
  <r>
    <x v="496"/>
    <x v="91"/>
    <x v="1"/>
    <x v="2"/>
    <x v="0"/>
    <x v="1"/>
    <x v="1"/>
    <x v="1"/>
    <x v="2"/>
    <x v="1"/>
    <x v="3"/>
    <x v="434"/>
    <x v="1"/>
    <x v="1"/>
  </r>
  <r>
    <x v="497"/>
    <x v="91"/>
    <x v="1"/>
    <x v="1"/>
    <x v="0"/>
    <x v="0"/>
    <x v="10"/>
    <x v="1"/>
    <x v="0"/>
    <x v="88"/>
    <x v="4"/>
    <x v="435"/>
    <x v="1"/>
    <x v="1"/>
  </r>
  <r>
    <x v="498"/>
    <x v="92"/>
    <x v="3"/>
    <x v="2"/>
    <x v="0"/>
    <x v="0"/>
    <x v="27"/>
    <x v="9"/>
    <x v="0"/>
    <x v="69"/>
    <x v="0"/>
    <x v="436"/>
    <x v="2"/>
    <x v="3"/>
  </r>
  <r>
    <x v="499"/>
    <x v="92"/>
    <x v="2"/>
    <x v="3"/>
    <x v="1"/>
    <x v="3"/>
    <x v="13"/>
    <x v="7"/>
    <x v="3"/>
    <x v="84"/>
    <x v="5"/>
    <x v="205"/>
    <x v="3"/>
    <x v="2"/>
  </r>
  <r>
    <x v="500"/>
    <x v="92"/>
    <x v="3"/>
    <x v="1"/>
    <x v="1"/>
    <x v="0"/>
    <x v="27"/>
    <x v="12"/>
    <x v="4"/>
    <x v="149"/>
    <x v="4"/>
    <x v="437"/>
    <x v="0"/>
    <x v="3"/>
  </r>
  <r>
    <x v="501"/>
    <x v="93"/>
    <x v="3"/>
    <x v="1"/>
    <x v="1"/>
    <x v="4"/>
    <x v="11"/>
    <x v="12"/>
    <x v="4"/>
    <x v="83"/>
    <x v="1"/>
    <x v="438"/>
    <x v="0"/>
    <x v="3"/>
  </r>
  <r>
    <x v="502"/>
    <x v="93"/>
    <x v="4"/>
    <x v="2"/>
    <x v="1"/>
    <x v="0"/>
    <x v="0"/>
    <x v="14"/>
    <x v="2"/>
    <x v="0"/>
    <x v="1"/>
    <x v="198"/>
    <x v="2"/>
    <x v="4"/>
  </r>
  <r>
    <x v="503"/>
    <x v="93"/>
    <x v="0"/>
    <x v="1"/>
    <x v="1"/>
    <x v="2"/>
    <x v="5"/>
    <x v="0"/>
    <x v="5"/>
    <x v="66"/>
    <x v="0"/>
    <x v="137"/>
    <x v="0"/>
    <x v="0"/>
  </r>
  <r>
    <x v="504"/>
    <x v="93"/>
    <x v="3"/>
    <x v="2"/>
    <x v="1"/>
    <x v="2"/>
    <x v="8"/>
    <x v="6"/>
    <x v="2"/>
    <x v="43"/>
    <x v="5"/>
    <x v="439"/>
    <x v="1"/>
    <x v="3"/>
  </r>
  <r>
    <x v="505"/>
    <x v="94"/>
    <x v="2"/>
    <x v="1"/>
    <x v="0"/>
    <x v="2"/>
    <x v="9"/>
    <x v="11"/>
    <x v="2"/>
    <x v="122"/>
    <x v="6"/>
    <x v="440"/>
    <x v="1"/>
    <x v="2"/>
  </r>
  <r>
    <x v="506"/>
    <x v="94"/>
    <x v="0"/>
    <x v="1"/>
    <x v="0"/>
    <x v="0"/>
    <x v="19"/>
    <x v="2"/>
    <x v="3"/>
    <x v="28"/>
    <x v="1"/>
    <x v="152"/>
    <x v="2"/>
    <x v="0"/>
  </r>
  <r>
    <x v="507"/>
    <x v="94"/>
    <x v="3"/>
    <x v="1"/>
    <x v="0"/>
    <x v="2"/>
    <x v="3"/>
    <x v="12"/>
    <x v="2"/>
    <x v="132"/>
    <x v="0"/>
    <x v="385"/>
    <x v="0"/>
    <x v="3"/>
  </r>
  <r>
    <x v="508"/>
    <x v="94"/>
    <x v="1"/>
    <x v="2"/>
    <x v="0"/>
    <x v="1"/>
    <x v="1"/>
    <x v="13"/>
    <x v="3"/>
    <x v="16"/>
    <x v="5"/>
    <x v="441"/>
    <x v="0"/>
    <x v="1"/>
  </r>
  <r>
    <x v="509"/>
    <x v="94"/>
    <x v="3"/>
    <x v="3"/>
    <x v="1"/>
    <x v="5"/>
    <x v="25"/>
    <x v="12"/>
    <x v="3"/>
    <x v="101"/>
    <x v="1"/>
    <x v="442"/>
    <x v="0"/>
    <x v="3"/>
  </r>
  <r>
    <x v="510"/>
    <x v="94"/>
    <x v="0"/>
    <x v="0"/>
    <x v="0"/>
    <x v="2"/>
    <x v="2"/>
    <x v="3"/>
    <x v="5"/>
    <x v="2"/>
    <x v="5"/>
    <x v="443"/>
    <x v="2"/>
    <x v="0"/>
  </r>
  <r>
    <x v="511"/>
    <x v="94"/>
    <x v="0"/>
    <x v="0"/>
    <x v="1"/>
    <x v="0"/>
    <x v="19"/>
    <x v="2"/>
    <x v="2"/>
    <x v="82"/>
    <x v="4"/>
    <x v="444"/>
    <x v="2"/>
    <x v="0"/>
  </r>
  <r>
    <x v="512"/>
    <x v="94"/>
    <x v="4"/>
    <x v="2"/>
    <x v="0"/>
    <x v="2"/>
    <x v="3"/>
    <x v="14"/>
    <x v="3"/>
    <x v="94"/>
    <x v="6"/>
    <x v="445"/>
    <x v="2"/>
    <x v="4"/>
  </r>
  <r>
    <x v="513"/>
    <x v="94"/>
    <x v="0"/>
    <x v="2"/>
    <x v="0"/>
    <x v="5"/>
    <x v="16"/>
    <x v="0"/>
    <x v="3"/>
    <x v="150"/>
    <x v="5"/>
    <x v="446"/>
    <x v="0"/>
    <x v="0"/>
  </r>
  <r>
    <x v="514"/>
    <x v="94"/>
    <x v="3"/>
    <x v="2"/>
    <x v="0"/>
    <x v="2"/>
    <x v="5"/>
    <x v="9"/>
    <x v="0"/>
    <x v="33"/>
    <x v="1"/>
    <x v="447"/>
    <x v="2"/>
    <x v="3"/>
  </r>
  <r>
    <x v="515"/>
    <x v="94"/>
    <x v="2"/>
    <x v="2"/>
    <x v="1"/>
    <x v="4"/>
    <x v="6"/>
    <x v="11"/>
    <x v="1"/>
    <x v="117"/>
    <x v="1"/>
    <x v="448"/>
    <x v="1"/>
    <x v="2"/>
  </r>
  <r>
    <x v="516"/>
    <x v="95"/>
    <x v="0"/>
    <x v="3"/>
    <x v="0"/>
    <x v="3"/>
    <x v="14"/>
    <x v="0"/>
    <x v="3"/>
    <x v="151"/>
    <x v="1"/>
    <x v="449"/>
    <x v="0"/>
    <x v="0"/>
  </r>
  <r>
    <x v="517"/>
    <x v="95"/>
    <x v="1"/>
    <x v="0"/>
    <x v="0"/>
    <x v="2"/>
    <x v="9"/>
    <x v="13"/>
    <x v="0"/>
    <x v="10"/>
    <x v="6"/>
    <x v="136"/>
    <x v="0"/>
    <x v="1"/>
  </r>
  <r>
    <x v="518"/>
    <x v="95"/>
    <x v="3"/>
    <x v="0"/>
    <x v="0"/>
    <x v="1"/>
    <x v="1"/>
    <x v="9"/>
    <x v="5"/>
    <x v="16"/>
    <x v="2"/>
    <x v="450"/>
    <x v="2"/>
    <x v="3"/>
  </r>
  <r>
    <x v="519"/>
    <x v="95"/>
    <x v="2"/>
    <x v="0"/>
    <x v="1"/>
    <x v="0"/>
    <x v="10"/>
    <x v="11"/>
    <x v="0"/>
    <x v="55"/>
    <x v="1"/>
    <x v="94"/>
    <x v="1"/>
    <x v="2"/>
  </r>
  <r>
    <x v="520"/>
    <x v="95"/>
    <x v="3"/>
    <x v="2"/>
    <x v="1"/>
    <x v="5"/>
    <x v="16"/>
    <x v="12"/>
    <x v="0"/>
    <x v="111"/>
    <x v="4"/>
    <x v="451"/>
    <x v="0"/>
    <x v="3"/>
  </r>
  <r>
    <x v="521"/>
    <x v="95"/>
    <x v="0"/>
    <x v="1"/>
    <x v="0"/>
    <x v="0"/>
    <x v="27"/>
    <x v="3"/>
    <x v="0"/>
    <x v="69"/>
    <x v="0"/>
    <x v="436"/>
    <x v="2"/>
    <x v="0"/>
  </r>
  <r>
    <x v="522"/>
    <x v="95"/>
    <x v="4"/>
    <x v="1"/>
    <x v="0"/>
    <x v="1"/>
    <x v="24"/>
    <x v="10"/>
    <x v="0"/>
    <x v="152"/>
    <x v="6"/>
    <x v="286"/>
    <x v="2"/>
    <x v="4"/>
  </r>
  <r>
    <x v="523"/>
    <x v="96"/>
    <x v="1"/>
    <x v="3"/>
    <x v="0"/>
    <x v="5"/>
    <x v="18"/>
    <x v="13"/>
    <x v="3"/>
    <x v="153"/>
    <x v="2"/>
    <x v="452"/>
    <x v="0"/>
    <x v="1"/>
  </r>
  <r>
    <x v="524"/>
    <x v="96"/>
    <x v="1"/>
    <x v="2"/>
    <x v="1"/>
    <x v="1"/>
    <x v="26"/>
    <x v="13"/>
    <x v="3"/>
    <x v="135"/>
    <x v="1"/>
    <x v="453"/>
    <x v="0"/>
    <x v="1"/>
  </r>
  <r>
    <x v="525"/>
    <x v="96"/>
    <x v="1"/>
    <x v="0"/>
    <x v="0"/>
    <x v="0"/>
    <x v="10"/>
    <x v="1"/>
    <x v="3"/>
    <x v="12"/>
    <x v="0"/>
    <x v="69"/>
    <x v="1"/>
    <x v="1"/>
  </r>
  <r>
    <x v="526"/>
    <x v="96"/>
    <x v="4"/>
    <x v="3"/>
    <x v="0"/>
    <x v="1"/>
    <x v="1"/>
    <x v="14"/>
    <x v="4"/>
    <x v="154"/>
    <x v="5"/>
    <x v="454"/>
    <x v="2"/>
    <x v="4"/>
  </r>
  <r>
    <x v="527"/>
    <x v="96"/>
    <x v="0"/>
    <x v="1"/>
    <x v="0"/>
    <x v="0"/>
    <x v="19"/>
    <x v="0"/>
    <x v="3"/>
    <x v="155"/>
    <x v="6"/>
    <x v="455"/>
    <x v="0"/>
    <x v="0"/>
  </r>
  <r>
    <x v="528"/>
    <x v="97"/>
    <x v="4"/>
    <x v="3"/>
    <x v="0"/>
    <x v="1"/>
    <x v="22"/>
    <x v="14"/>
    <x v="1"/>
    <x v="47"/>
    <x v="1"/>
    <x v="456"/>
    <x v="2"/>
    <x v="4"/>
  </r>
  <r>
    <x v="529"/>
    <x v="97"/>
    <x v="1"/>
    <x v="0"/>
    <x v="0"/>
    <x v="1"/>
    <x v="22"/>
    <x v="4"/>
    <x v="3"/>
    <x v="156"/>
    <x v="1"/>
    <x v="457"/>
    <x v="2"/>
    <x v="1"/>
  </r>
  <r>
    <x v="530"/>
    <x v="97"/>
    <x v="4"/>
    <x v="0"/>
    <x v="0"/>
    <x v="0"/>
    <x v="0"/>
    <x v="14"/>
    <x v="3"/>
    <x v="0"/>
    <x v="4"/>
    <x v="203"/>
    <x v="2"/>
    <x v="4"/>
  </r>
  <r>
    <x v="531"/>
    <x v="97"/>
    <x v="3"/>
    <x v="2"/>
    <x v="0"/>
    <x v="5"/>
    <x v="21"/>
    <x v="6"/>
    <x v="3"/>
    <x v="35"/>
    <x v="2"/>
    <x v="458"/>
    <x v="1"/>
    <x v="3"/>
  </r>
  <r>
    <x v="532"/>
    <x v="97"/>
    <x v="0"/>
    <x v="0"/>
    <x v="1"/>
    <x v="2"/>
    <x v="3"/>
    <x v="2"/>
    <x v="0"/>
    <x v="123"/>
    <x v="5"/>
    <x v="459"/>
    <x v="2"/>
    <x v="0"/>
  </r>
  <r>
    <x v="533"/>
    <x v="98"/>
    <x v="1"/>
    <x v="3"/>
    <x v="0"/>
    <x v="3"/>
    <x v="13"/>
    <x v="1"/>
    <x v="3"/>
    <x v="61"/>
    <x v="2"/>
    <x v="83"/>
    <x v="1"/>
    <x v="1"/>
  </r>
  <r>
    <x v="534"/>
    <x v="98"/>
    <x v="2"/>
    <x v="3"/>
    <x v="1"/>
    <x v="2"/>
    <x v="5"/>
    <x v="11"/>
    <x v="12"/>
    <x v="29"/>
    <x v="6"/>
    <x v="460"/>
    <x v="1"/>
    <x v="2"/>
  </r>
  <r>
    <x v="535"/>
    <x v="98"/>
    <x v="0"/>
    <x v="0"/>
    <x v="1"/>
    <x v="2"/>
    <x v="9"/>
    <x v="3"/>
    <x v="0"/>
    <x v="10"/>
    <x v="1"/>
    <x v="74"/>
    <x v="2"/>
    <x v="0"/>
  </r>
  <r>
    <x v="536"/>
    <x v="98"/>
    <x v="1"/>
    <x v="0"/>
    <x v="0"/>
    <x v="3"/>
    <x v="14"/>
    <x v="4"/>
    <x v="0"/>
    <x v="144"/>
    <x v="6"/>
    <x v="128"/>
    <x v="2"/>
    <x v="1"/>
  </r>
  <r>
    <x v="537"/>
    <x v="98"/>
    <x v="3"/>
    <x v="1"/>
    <x v="0"/>
    <x v="4"/>
    <x v="6"/>
    <x v="12"/>
    <x v="3"/>
    <x v="6"/>
    <x v="3"/>
    <x v="88"/>
    <x v="0"/>
    <x v="3"/>
  </r>
  <r>
    <x v="538"/>
    <x v="98"/>
    <x v="1"/>
    <x v="0"/>
    <x v="1"/>
    <x v="5"/>
    <x v="25"/>
    <x v="13"/>
    <x v="3"/>
    <x v="51"/>
    <x v="6"/>
    <x v="461"/>
    <x v="0"/>
    <x v="1"/>
  </r>
  <r>
    <x v="539"/>
    <x v="99"/>
    <x v="3"/>
    <x v="1"/>
    <x v="0"/>
    <x v="1"/>
    <x v="26"/>
    <x v="9"/>
    <x v="0"/>
    <x v="135"/>
    <x v="1"/>
    <x v="462"/>
    <x v="2"/>
    <x v="3"/>
  </r>
  <r>
    <x v="540"/>
    <x v="99"/>
    <x v="1"/>
    <x v="3"/>
    <x v="1"/>
    <x v="3"/>
    <x v="23"/>
    <x v="4"/>
    <x v="3"/>
    <x v="142"/>
    <x v="1"/>
    <x v="43"/>
    <x v="2"/>
    <x v="1"/>
  </r>
  <r>
    <x v="541"/>
    <x v="99"/>
    <x v="3"/>
    <x v="2"/>
    <x v="0"/>
    <x v="2"/>
    <x v="2"/>
    <x v="9"/>
    <x v="3"/>
    <x v="157"/>
    <x v="0"/>
    <x v="463"/>
    <x v="2"/>
    <x v="3"/>
  </r>
  <r>
    <x v="542"/>
    <x v="99"/>
    <x v="0"/>
    <x v="0"/>
    <x v="0"/>
    <x v="5"/>
    <x v="16"/>
    <x v="0"/>
    <x v="3"/>
    <x v="67"/>
    <x v="1"/>
    <x v="345"/>
    <x v="0"/>
    <x v="0"/>
  </r>
  <r>
    <x v="543"/>
    <x v="99"/>
    <x v="0"/>
    <x v="0"/>
    <x v="0"/>
    <x v="5"/>
    <x v="21"/>
    <x v="2"/>
    <x v="0"/>
    <x v="73"/>
    <x v="4"/>
    <x v="464"/>
    <x v="2"/>
    <x v="0"/>
  </r>
  <r>
    <x v="544"/>
    <x v="99"/>
    <x v="2"/>
    <x v="0"/>
    <x v="0"/>
    <x v="5"/>
    <x v="25"/>
    <x v="11"/>
    <x v="0"/>
    <x v="101"/>
    <x v="4"/>
    <x v="348"/>
    <x v="1"/>
    <x v="2"/>
  </r>
  <r>
    <x v="545"/>
    <x v="99"/>
    <x v="3"/>
    <x v="1"/>
    <x v="0"/>
    <x v="2"/>
    <x v="3"/>
    <x v="12"/>
    <x v="5"/>
    <x v="92"/>
    <x v="4"/>
    <x v="465"/>
    <x v="0"/>
    <x v="3"/>
  </r>
  <r>
    <x v="546"/>
    <x v="99"/>
    <x v="4"/>
    <x v="0"/>
    <x v="0"/>
    <x v="1"/>
    <x v="26"/>
    <x v="14"/>
    <x v="1"/>
    <x v="146"/>
    <x v="1"/>
    <x v="466"/>
    <x v="2"/>
    <x v="4"/>
  </r>
  <r>
    <x v="547"/>
    <x v="99"/>
    <x v="3"/>
    <x v="1"/>
    <x v="0"/>
    <x v="2"/>
    <x v="3"/>
    <x v="12"/>
    <x v="3"/>
    <x v="92"/>
    <x v="3"/>
    <x v="230"/>
    <x v="0"/>
    <x v="3"/>
  </r>
  <r>
    <x v="548"/>
    <x v="100"/>
    <x v="2"/>
    <x v="0"/>
    <x v="1"/>
    <x v="0"/>
    <x v="0"/>
    <x v="7"/>
    <x v="1"/>
    <x v="30"/>
    <x v="6"/>
    <x v="467"/>
    <x v="3"/>
    <x v="2"/>
  </r>
  <r>
    <x v="549"/>
    <x v="100"/>
    <x v="3"/>
    <x v="1"/>
    <x v="0"/>
    <x v="2"/>
    <x v="5"/>
    <x v="9"/>
    <x v="5"/>
    <x v="33"/>
    <x v="1"/>
    <x v="468"/>
    <x v="2"/>
    <x v="3"/>
  </r>
  <r>
    <x v="550"/>
    <x v="100"/>
    <x v="2"/>
    <x v="2"/>
    <x v="0"/>
    <x v="5"/>
    <x v="15"/>
    <x v="5"/>
    <x v="3"/>
    <x v="20"/>
    <x v="0"/>
    <x v="366"/>
    <x v="1"/>
    <x v="2"/>
  </r>
  <r>
    <x v="551"/>
    <x v="100"/>
    <x v="3"/>
    <x v="1"/>
    <x v="0"/>
    <x v="3"/>
    <x v="23"/>
    <x v="12"/>
    <x v="2"/>
    <x v="98"/>
    <x v="1"/>
    <x v="469"/>
    <x v="0"/>
    <x v="3"/>
  </r>
  <r>
    <x v="552"/>
    <x v="100"/>
    <x v="3"/>
    <x v="0"/>
    <x v="1"/>
    <x v="4"/>
    <x v="12"/>
    <x v="9"/>
    <x v="0"/>
    <x v="72"/>
    <x v="5"/>
    <x v="470"/>
    <x v="2"/>
    <x v="3"/>
  </r>
  <r>
    <x v="553"/>
    <x v="100"/>
    <x v="1"/>
    <x v="1"/>
    <x v="0"/>
    <x v="2"/>
    <x v="5"/>
    <x v="13"/>
    <x v="4"/>
    <x v="29"/>
    <x v="0"/>
    <x v="471"/>
    <x v="0"/>
    <x v="1"/>
  </r>
  <r>
    <x v="554"/>
    <x v="100"/>
    <x v="4"/>
    <x v="3"/>
    <x v="0"/>
    <x v="3"/>
    <x v="14"/>
    <x v="8"/>
    <x v="0"/>
    <x v="144"/>
    <x v="4"/>
    <x v="472"/>
    <x v="0"/>
    <x v="4"/>
  </r>
  <r>
    <x v="555"/>
    <x v="100"/>
    <x v="4"/>
    <x v="2"/>
    <x v="1"/>
    <x v="5"/>
    <x v="16"/>
    <x v="8"/>
    <x v="3"/>
    <x v="60"/>
    <x v="6"/>
    <x v="473"/>
    <x v="0"/>
    <x v="4"/>
  </r>
  <r>
    <x v="556"/>
    <x v="100"/>
    <x v="4"/>
    <x v="2"/>
    <x v="0"/>
    <x v="2"/>
    <x v="5"/>
    <x v="10"/>
    <x v="0"/>
    <x v="66"/>
    <x v="4"/>
    <x v="91"/>
    <x v="2"/>
    <x v="4"/>
  </r>
  <r>
    <x v="557"/>
    <x v="101"/>
    <x v="4"/>
    <x v="2"/>
    <x v="0"/>
    <x v="2"/>
    <x v="2"/>
    <x v="10"/>
    <x v="0"/>
    <x v="2"/>
    <x v="6"/>
    <x v="474"/>
    <x v="2"/>
    <x v="4"/>
  </r>
  <r>
    <x v="558"/>
    <x v="101"/>
    <x v="4"/>
    <x v="2"/>
    <x v="0"/>
    <x v="5"/>
    <x v="15"/>
    <x v="10"/>
    <x v="3"/>
    <x v="96"/>
    <x v="0"/>
    <x v="475"/>
    <x v="2"/>
    <x v="4"/>
  </r>
  <r>
    <x v="559"/>
    <x v="101"/>
    <x v="3"/>
    <x v="0"/>
    <x v="0"/>
    <x v="2"/>
    <x v="5"/>
    <x v="12"/>
    <x v="5"/>
    <x v="133"/>
    <x v="1"/>
    <x v="476"/>
    <x v="0"/>
    <x v="3"/>
  </r>
  <r>
    <x v="560"/>
    <x v="102"/>
    <x v="1"/>
    <x v="0"/>
    <x v="0"/>
    <x v="0"/>
    <x v="19"/>
    <x v="1"/>
    <x v="0"/>
    <x v="28"/>
    <x v="4"/>
    <x v="477"/>
    <x v="1"/>
    <x v="1"/>
  </r>
  <r>
    <x v="561"/>
    <x v="102"/>
    <x v="2"/>
    <x v="0"/>
    <x v="0"/>
    <x v="0"/>
    <x v="0"/>
    <x v="7"/>
    <x v="3"/>
    <x v="115"/>
    <x v="0"/>
    <x v="478"/>
    <x v="3"/>
    <x v="2"/>
  </r>
  <r>
    <x v="562"/>
    <x v="102"/>
    <x v="0"/>
    <x v="2"/>
    <x v="1"/>
    <x v="2"/>
    <x v="8"/>
    <x v="3"/>
    <x v="2"/>
    <x v="9"/>
    <x v="1"/>
    <x v="479"/>
    <x v="2"/>
    <x v="0"/>
  </r>
  <r>
    <x v="563"/>
    <x v="102"/>
    <x v="0"/>
    <x v="3"/>
    <x v="0"/>
    <x v="3"/>
    <x v="14"/>
    <x v="0"/>
    <x v="0"/>
    <x v="151"/>
    <x v="1"/>
    <x v="480"/>
    <x v="0"/>
    <x v="0"/>
  </r>
  <r>
    <x v="564"/>
    <x v="102"/>
    <x v="2"/>
    <x v="2"/>
    <x v="0"/>
    <x v="5"/>
    <x v="16"/>
    <x v="11"/>
    <x v="3"/>
    <x v="67"/>
    <x v="0"/>
    <x v="273"/>
    <x v="1"/>
    <x v="2"/>
  </r>
  <r>
    <x v="565"/>
    <x v="103"/>
    <x v="3"/>
    <x v="0"/>
    <x v="0"/>
    <x v="0"/>
    <x v="0"/>
    <x v="6"/>
    <x v="0"/>
    <x v="0"/>
    <x v="1"/>
    <x v="406"/>
    <x v="1"/>
    <x v="3"/>
  </r>
  <r>
    <x v="566"/>
    <x v="103"/>
    <x v="2"/>
    <x v="2"/>
    <x v="0"/>
    <x v="3"/>
    <x v="13"/>
    <x v="7"/>
    <x v="3"/>
    <x v="61"/>
    <x v="6"/>
    <x v="481"/>
    <x v="3"/>
    <x v="2"/>
  </r>
  <r>
    <x v="567"/>
    <x v="103"/>
    <x v="2"/>
    <x v="3"/>
    <x v="0"/>
    <x v="5"/>
    <x v="15"/>
    <x v="7"/>
    <x v="5"/>
    <x v="20"/>
    <x v="1"/>
    <x v="482"/>
    <x v="3"/>
    <x v="2"/>
  </r>
  <r>
    <x v="568"/>
    <x v="103"/>
    <x v="0"/>
    <x v="0"/>
    <x v="1"/>
    <x v="5"/>
    <x v="18"/>
    <x v="3"/>
    <x v="3"/>
    <x v="139"/>
    <x v="4"/>
    <x v="483"/>
    <x v="2"/>
    <x v="0"/>
  </r>
  <r>
    <x v="569"/>
    <x v="103"/>
    <x v="0"/>
    <x v="1"/>
    <x v="0"/>
    <x v="2"/>
    <x v="9"/>
    <x v="0"/>
    <x v="1"/>
    <x v="10"/>
    <x v="4"/>
    <x v="12"/>
    <x v="0"/>
    <x v="0"/>
  </r>
  <r>
    <x v="570"/>
    <x v="103"/>
    <x v="4"/>
    <x v="0"/>
    <x v="0"/>
    <x v="3"/>
    <x v="13"/>
    <x v="14"/>
    <x v="3"/>
    <x v="53"/>
    <x v="0"/>
    <x v="484"/>
    <x v="2"/>
    <x v="4"/>
  </r>
  <r>
    <x v="571"/>
    <x v="103"/>
    <x v="4"/>
    <x v="0"/>
    <x v="0"/>
    <x v="0"/>
    <x v="27"/>
    <x v="10"/>
    <x v="2"/>
    <x v="80"/>
    <x v="5"/>
    <x v="485"/>
    <x v="2"/>
    <x v="4"/>
  </r>
  <r>
    <x v="572"/>
    <x v="103"/>
    <x v="1"/>
    <x v="3"/>
    <x v="0"/>
    <x v="0"/>
    <x v="19"/>
    <x v="1"/>
    <x v="1"/>
    <x v="28"/>
    <x v="5"/>
    <x v="486"/>
    <x v="1"/>
    <x v="1"/>
  </r>
  <r>
    <x v="573"/>
    <x v="103"/>
    <x v="0"/>
    <x v="2"/>
    <x v="1"/>
    <x v="1"/>
    <x v="20"/>
    <x v="0"/>
    <x v="0"/>
    <x v="143"/>
    <x v="6"/>
    <x v="487"/>
    <x v="0"/>
    <x v="0"/>
  </r>
  <r>
    <x v="574"/>
    <x v="104"/>
    <x v="3"/>
    <x v="1"/>
    <x v="1"/>
    <x v="1"/>
    <x v="22"/>
    <x v="6"/>
    <x v="0"/>
    <x v="148"/>
    <x v="1"/>
    <x v="488"/>
    <x v="1"/>
    <x v="3"/>
  </r>
  <r>
    <x v="575"/>
    <x v="104"/>
    <x v="0"/>
    <x v="2"/>
    <x v="0"/>
    <x v="4"/>
    <x v="11"/>
    <x v="2"/>
    <x v="3"/>
    <x v="32"/>
    <x v="6"/>
    <x v="489"/>
    <x v="2"/>
    <x v="0"/>
  </r>
  <r>
    <x v="576"/>
    <x v="104"/>
    <x v="0"/>
    <x v="3"/>
    <x v="0"/>
    <x v="1"/>
    <x v="1"/>
    <x v="0"/>
    <x v="8"/>
    <x v="127"/>
    <x v="6"/>
    <x v="490"/>
    <x v="0"/>
    <x v="0"/>
  </r>
  <r>
    <x v="577"/>
    <x v="104"/>
    <x v="1"/>
    <x v="2"/>
    <x v="0"/>
    <x v="0"/>
    <x v="19"/>
    <x v="13"/>
    <x v="0"/>
    <x v="82"/>
    <x v="5"/>
    <x v="491"/>
    <x v="0"/>
    <x v="1"/>
  </r>
  <r>
    <x v="578"/>
    <x v="105"/>
    <x v="0"/>
    <x v="0"/>
    <x v="1"/>
    <x v="3"/>
    <x v="4"/>
    <x v="0"/>
    <x v="3"/>
    <x v="41"/>
    <x v="0"/>
    <x v="492"/>
    <x v="0"/>
    <x v="0"/>
  </r>
  <r>
    <x v="579"/>
    <x v="105"/>
    <x v="3"/>
    <x v="0"/>
    <x v="0"/>
    <x v="0"/>
    <x v="27"/>
    <x v="12"/>
    <x v="0"/>
    <x v="85"/>
    <x v="0"/>
    <x v="493"/>
    <x v="0"/>
    <x v="3"/>
  </r>
  <r>
    <x v="580"/>
    <x v="105"/>
    <x v="3"/>
    <x v="0"/>
    <x v="0"/>
    <x v="1"/>
    <x v="20"/>
    <x v="6"/>
    <x v="1"/>
    <x v="31"/>
    <x v="4"/>
    <x v="494"/>
    <x v="1"/>
    <x v="3"/>
  </r>
  <r>
    <x v="581"/>
    <x v="106"/>
    <x v="2"/>
    <x v="2"/>
    <x v="1"/>
    <x v="2"/>
    <x v="2"/>
    <x v="5"/>
    <x v="3"/>
    <x v="120"/>
    <x v="6"/>
    <x v="253"/>
    <x v="1"/>
    <x v="2"/>
  </r>
  <r>
    <x v="582"/>
    <x v="106"/>
    <x v="3"/>
    <x v="0"/>
    <x v="0"/>
    <x v="2"/>
    <x v="8"/>
    <x v="12"/>
    <x v="3"/>
    <x v="134"/>
    <x v="6"/>
    <x v="495"/>
    <x v="0"/>
    <x v="3"/>
  </r>
  <r>
    <x v="583"/>
    <x v="106"/>
    <x v="3"/>
    <x v="3"/>
    <x v="1"/>
    <x v="5"/>
    <x v="25"/>
    <x v="9"/>
    <x v="3"/>
    <x v="101"/>
    <x v="0"/>
    <x v="377"/>
    <x v="2"/>
    <x v="3"/>
  </r>
  <r>
    <x v="584"/>
    <x v="106"/>
    <x v="1"/>
    <x v="0"/>
    <x v="1"/>
    <x v="5"/>
    <x v="25"/>
    <x v="13"/>
    <x v="3"/>
    <x v="101"/>
    <x v="4"/>
    <x v="164"/>
    <x v="0"/>
    <x v="1"/>
  </r>
  <r>
    <x v="585"/>
    <x v="107"/>
    <x v="1"/>
    <x v="1"/>
    <x v="1"/>
    <x v="0"/>
    <x v="19"/>
    <x v="13"/>
    <x v="0"/>
    <x v="155"/>
    <x v="2"/>
    <x v="496"/>
    <x v="0"/>
    <x v="1"/>
  </r>
  <r>
    <x v="586"/>
    <x v="107"/>
    <x v="1"/>
    <x v="2"/>
    <x v="0"/>
    <x v="3"/>
    <x v="23"/>
    <x v="4"/>
    <x v="3"/>
    <x v="90"/>
    <x v="4"/>
    <x v="497"/>
    <x v="2"/>
    <x v="1"/>
  </r>
  <r>
    <x v="587"/>
    <x v="107"/>
    <x v="4"/>
    <x v="0"/>
    <x v="0"/>
    <x v="2"/>
    <x v="3"/>
    <x v="10"/>
    <x v="3"/>
    <x v="92"/>
    <x v="5"/>
    <x v="498"/>
    <x v="2"/>
    <x v="4"/>
  </r>
  <r>
    <x v="588"/>
    <x v="107"/>
    <x v="3"/>
    <x v="2"/>
    <x v="0"/>
    <x v="1"/>
    <x v="22"/>
    <x v="12"/>
    <x v="2"/>
    <x v="47"/>
    <x v="6"/>
    <x v="499"/>
    <x v="0"/>
    <x v="3"/>
  </r>
  <r>
    <x v="589"/>
    <x v="107"/>
    <x v="1"/>
    <x v="0"/>
    <x v="0"/>
    <x v="3"/>
    <x v="4"/>
    <x v="4"/>
    <x v="5"/>
    <x v="62"/>
    <x v="5"/>
    <x v="500"/>
    <x v="2"/>
    <x v="1"/>
  </r>
  <r>
    <x v="590"/>
    <x v="107"/>
    <x v="0"/>
    <x v="0"/>
    <x v="0"/>
    <x v="3"/>
    <x v="4"/>
    <x v="2"/>
    <x v="0"/>
    <x v="4"/>
    <x v="1"/>
    <x v="62"/>
    <x v="2"/>
    <x v="0"/>
  </r>
  <r>
    <x v="591"/>
    <x v="107"/>
    <x v="1"/>
    <x v="2"/>
    <x v="1"/>
    <x v="2"/>
    <x v="9"/>
    <x v="4"/>
    <x v="0"/>
    <x v="10"/>
    <x v="4"/>
    <x v="501"/>
    <x v="2"/>
    <x v="1"/>
  </r>
  <r>
    <x v="592"/>
    <x v="107"/>
    <x v="3"/>
    <x v="0"/>
    <x v="1"/>
    <x v="2"/>
    <x v="8"/>
    <x v="6"/>
    <x v="0"/>
    <x v="9"/>
    <x v="6"/>
    <x v="502"/>
    <x v="1"/>
    <x v="3"/>
  </r>
  <r>
    <x v="593"/>
    <x v="108"/>
    <x v="3"/>
    <x v="0"/>
    <x v="0"/>
    <x v="4"/>
    <x v="7"/>
    <x v="12"/>
    <x v="0"/>
    <x v="34"/>
    <x v="0"/>
    <x v="256"/>
    <x v="0"/>
    <x v="3"/>
  </r>
  <r>
    <x v="594"/>
    <x v="108"/>
    <x v="1"/>
    <x v="0"/>
    <x v="0"/>
    <x v="0"/>
    <x v="10"/>
    <x v="4"/>
    <x v="0"/>
    <x v="12"/>
    <x v="4"/>
    <x v="503"/>
    <x v="2"/>
    <x v="1"/>
  </r>
  <r>
    <x v="595"/>
    <x v="108"/>
    <x v="4"/>
    <x v="3"/>
    <x v="0"/>
    <x v="0"/>
    <x v="10"/>
    <x v="14"/>
    <x v="0"/>
    <x v="12"/>
    <x v="3"/>
    <x v="504"/>
    <x v="2"/>
    <x v="4"/>
  </r>
  <r>
    <x v="596"/>
    <x v="108"/>
    <x v="1"/>
    <x v="2"/>
    <x v="0"/>
    <x v="5"/>
    <x v="25"/>
    <x v="4"/>
    <x v="0"/>
    <x v="51"/>
    <x v="4"/>
    <x v="505"/>
    <x v="2"/>
    <x v="1"/>
  </r>
  <r>
    <x v="597"/>
    <x v="109"/>
    <x v="3"/>
    <x v="3"/>
    <x v="0"/>
    <x v="5"/>
    <x v="15"/>
    <x v="12"/>
    <x v="3"/>
    <x v="70"/>
    <x v="0"/>
    <x v="506"/>
    <x v="0"/>
    <x v="3"/>
  </r>
  <r>
    <x v="598"/>
    <x v="109"/>
    <x v="4"/>
    <x v="2"/>
    <x v="1"/>
    <x v="1"/>
    <x v="20"/>
    <x v="8"/>
    <x v="1"/>
    <x v="158"/>
    <x v="6"/>
    <x v="84"/>
    <x v="0"/>
    <x v="4"/>
  </r>
  <r>
    <x v="599"/>
    <x v="109"/>
    <x v="0"/>
    <x v="0"/>
    <x v="1"/>
    <x v="0"/>
    <x v="27"/>
    <x v="2"/>
    <x v="0"/>
    <x v="85"/>
    <x v="5"/>
    <x v="507"/>
    <x v="2"/>
    <x v="0"/>
  </r>
  <r>
    <x v="600"/>
    <x v="109"/>
    <x v="4"/>
    <x v="0"/>
    <x v="0"/>
    <x v="0"/>
    <x v="19"/>
    <x v="14"/>
    <x v="1"/>
    <x v="28"/>
    <x v="2"/>
    <x v="508"/>
    <x v="2"/>
    <x v="4"/>
  </r>
  <r>
    <x v="601"/>
    <x v="109"/>
    <x v="3"/>
    <x v="2"/>
    <x v="0"/>
    <x v="1"/>
    <x v="1"/>
    <x v="6"/>
    <x v="2"/>
    <x v="1"/>
    <x v="4"/>
    <x v="509"/>
    <x v="1"/>
    <x v="3"/>
  </r>
  <r>
    <x v="602"/>
    <x v="109"/>
    <x v="4"/>
    <x v="2"/>
    <x v="1"/>
    <x v="5"/>
    <x v="15"/>
    <x v="14"/>
    <x v="3"/>
    <x v="20"/>
    <x v="5"/>
    <x v="303"/>
    <x v="2"/>
    <x v="4"/>
  </r>
  <r>
    <x v="603"/>
    <x v="109"/>
    <x v="2"/>
    <x v="2"/>
    <x v="1"/>
    <x v="4"/>
    <x v="6"/>
    <x v="5"/>
    <x v="3"/>
    <x v="117"/>
    <x v="1"/>
    <x v="510"/>
    <x v="1"/>
    <x v="2"/>
  </r>
  <r>
    <x v="604"/>
    <x v="110"/>
    <x v="1"/>
    <x v="1"/>
    <x v="1"/>
    <x v="1"/>
    <x v="24"/>
    <x v="13"/>
    <x v="3"/>
    <x v="159"/>
    <x v="1"/>
    <x v="511"/>
    <x v="0"/>
    <x v="1"/>
  </r>
  <r>
    <x v="605"/>
    <x v="110"/>
    <x v="0"/>
    <x v="1"/>
    <x v="1"/>
    <x v="1"/>
    <x v="26"/>
    <x v="0"/>
    <x v="3"/>
    <x v="65"/>
    <x v="1"/>
    <x v="512"/>
    <x v="0"/>
    <x v="0"/>
  </r>
  <r>
    <x v="606"/>
    <x v="110"/>
    <x v="2"/>
    <x v="1"/>
    <x v="0"/>
    <x v="0"/>
    <x v="19"/>
    <x v="7"/>
    <x v="3"/>
    <x v="71"/>
    <x v="2"/>
    <x v="513"/>
    <x v="3"/>
    <x v="2"/>
  </r>
  <r>
    <x v="607"/>
    <x v="110"/>
    <x v="2"/>
    <x v="2"/>
    <x v="0"/>
    <x v="1"/>
    <x v="20"/>
    <x v="7"/>
    <x v="3"/>
    <x v="160"/>
    <x v="5"/>
    <x v="514"/>
    <x v="3"/>
    <x v="2"/>
  </r>
  <r>
    <x v="608"/>
    <x v="111"/>
    <x v="3"/>
    <x v="3"/>
    <x v="0"/>
    <x v="3"/>
    <x v="14"/>
    <x v="6"/>
    <x v="2"/>
    <x v="76"/>
    <x v="6"/>
    <x v="29"/>
    <x v="1"/>
    <x v="3"/>
  </r>
  <r>
    <x v="609"/>
    <x v="111"/>
    <x v="2"/>
    <x v="0"/>
    <x v="1"/>
    <x v="0"/>
    <x v="10"/>
    <x v="7"/>
    <x v="2"/>
    <x v="12"/>
    <x v="4"/>
    <x v="12"/>
    <x v="3"/>
    <x v="2"/>
  </r>
  <r>
    <x v="610"/>
    <x v="111"/>
    <x v="4"/>
    <x v="0"/>
    <x v="0"/>
    <x v="5"/>
    <x v="16"/>
    <x v="10"/>
    <x v="3"/>
    <x v="21"/>
    <x v="1"/>
    <x v="22"/>
    <x v="2"/>
    <x v="4"/>
  </r>
  <r>
    <x v="611"/>
    <x v="111"/>
    <x v="0"/>
    <x v="1"/>
    <x v="0"/>
    <x v="3"/>
    <x v="14"/>
    <x v="3"/>
    <x v="2"/>
    <x v="151"/>
    <x v="1"/>
    <x v="515"/>
    <x v="2"/>
    <x v="0"/>
  </r>
  <r>
    <x v="612"/>
    <x v="111"/>
    <x v="0"/>
    <x v="1"/>
    <x v="0"/>
    <x v="2"/>
    <x v="8"/>
    <x v="2"/>
    <x v="0"/>
    <x v="45"/>
    <x v="1"/>
    <x v="516"/>
    <x v="2"/>
    <x v="0"/>
  </r>
  <r>
    <x v="613"/>
    <x v="111"/>
    <x v="3"/>
    <x v="0"/>
    <x v="0"/>
    <x v="2"/>
    <x v="9"/>
    <x v="12"/>
    <x v="3"/>
    <x v="10"/>
    <x v="1"/>
    <x v="358"/>
    <x v="0"/>
    <x v="3"/>
  </r>
  <r>
    <x v="614"/>
    <x v="111"/>
    <x v="0"/>
    <x v="0"/>
    <x v="1"/>
    <x v="2"/>
    <x v="8"/>
    <x v="3"/>
    <x v="5"/>
    <x v="9"/>
    <x v="5"/>
    <x v="517"/>
    <x v="2"/>
    <x v="0"/>
  </r>
  <r>
    <x v="615"/>
    <x v="111"/>
    <x v="3"/>
    <x v="1"/>
    <x v="1"/>
    <x v="2"/>
    <x v="3"/>
    <x v="12"/>
    <x v="0"/>
    <x v="123"/>
    <x v="0"/>
    <x v="518"/>
    <x v="0"/>
    <x v="3"/>
  </r>
  <r>
    <x v="616"/>
    <x v="112"/>
    <x v="1"/>
    <x v="2"/>
    <x v="1"/>
    <x v="0"/>
    <x v="0"/>
    <x v="1"/>
    <x v="2"/>
    <x v="107"/>
    <x v="2"/>
    <x v="519"/>
    <x v="1"/>
    <x v="1"/>
  </r>
  <r>
    <x v="617"/>
    <x v="112"/>
    <x v="0"/>
    <x v="1"/>
    <x v="1"/>
    <x v="2"/>
    <x v="8"/>
    <x v="3"/>
    <x v="3"/>
    <x v="45"/>
    <x v="6"/>
    <x v="159"/>
    <x v="2"/>
    <x v="0"/>
  </r>
  <r>
    <x v="618"/>
    <x v="112"/>
    <x v="3"/>
    <x v="0"/>
    <x v="0"/>
    <x v="3"/>
    <x v="23"/>
    <x v="12"/>
    <x v="3"/>
    <x v="37"/>
    <x v="6"/>
    <x v="231"/>
    <x v="0"/>
    <x v="3"/>
  </r>
  <r>
    <x v="619"/>
    <x v="112"/>
    <x v="0"/>
    <x v="0"/>
    <x v="0"/>
    <x v="0"/>
    <x v="27"/>
    <x v="0"/>
    <x v="3"/>
    <x v="69"/>
    <x v="1"/>
    <x v="218"/>
    <x v="0"/>
    <x v="0"/>
  </r>
  <r>
    <x v="620"/>
    <x v="113"/>
    <x v="1"/>
    <x v="0"/>
    <x v="0"/>
    <x v="3"/>
    <x v="4"/>
    <x v="13"/>
    <x v="2"/>
    <x v="81"/>
    <x v="4"/>
    <x v="520"/>
    <x v="0"/>
    <x v="1"/>
  </r>
  <r>
    <x v="621"/>
    <x v="113"/>
    <x v="3"/>
    <x v="2"/>
    <x v="0"/>
    <x v="3"/>
    <x v="23"/>
    <x v="12"/>
    <x v="2"/>
    <x v="98"/>
    <x v="1"/>
    <x v="469"/>
    <x v="0"/>
    <x v="3"/>
  </r>
  <r>
    <x v="622"/>
    <x v="113"/>
    <x v="3"/>
    <x v="3"/>
    <x v="0"/>
    <x v="5"/>
    <x v="18"/>
    <x v="12"/>
    <x v="3"/>
    <x v="27"/>
    <x v="3"/>
    <x v="321"/>
    <x v="0"/>
    <x v="3"/>
  </r>
  <r>
    <x v="623"/>
    <x v="114"/>
    <x v="0"/>
    <x v="2"/>
    <x v="1"/>
    <x v="1"/>
    <x v="26"/>
    <x v="2"/>
    <x v="0"/>
    <x v="146"/>
    <x v="4"/>
    <x v="521"/>
    <x v="2"/>
    <x v="0"/>
  </r>
  <r>
    <x v="624"/>
    <x v="114"/>
    <x v="3"/>
    <x v="3"/>
    <x v="0"/>
    <x v="2"/>
    <x v="8"/>
    <x v="12"/>
    <x v="10"/>
    <x v="9"/>
    <x v="2"/>
    <x v="522"/>
    <x v="0"/>
    <x v="3"/>
  </r>
  <r>
    <x v="625"/>
    <x v="114"/>
    <x v="2"/>
    <x v="3"/>
    <x v="1"/>
    <x v="5"/>
    <x v="25"/>
    <x v="7"/>
    <x v="3"/>
    <x v="97"/>
    <x v="0"/>
    <x v="523"/>
    <x v="3"/>
    <x v="2"/>
  </r>
  <r>
    <x v="626"/>
    <x v="114"/>
    <x v="1"/>
    <x v="2"/>
    <x v="0"/>
    <x v="2"/>
    <x v="17"/>
    <x v="4"/>
    <x v="4"/>
    <x v="93"/>
    <x v="6"/>
    <x v="524"/>
    <x v="2"/>
    <x v="1"/>
  </r>
  <r>
    <x v="627"/>
    <x v="114"/>
    <x v="3"/>
    <x v="2"/>
    <x v="1"/>
    <x v="2"/>
    <x v="3"/>
    <x v="12"/>
    <x v="0"/>
    <x v="94"/>
    <x v="6"/>
    <x v="525"/>
    <x v="0"/>
    <x v="3"/>
  </r>
  <r>
    <x v="628"/>
    <x v="114"/>
    <x v="2"/>
    <x v="2"/>
    <x v="1"/>
    <x v="4"/>
    <x v="7"/>
    <x v="7"/>
    <x v="3"/>
    <x v="106"/>
    <x v="0"/>
    <x v="526"/>
    <x v="3"/>
    <x v="2"/>
  </r>
  <r>
    <x v="629"/>
    <x v="114"/>
    <x v="0"/>
    <x v="0"/>
    <x v="1"/>
    <x v="2"/>
    <x v="3"/>
    <x v="0"/>
    <x v="2"/>
    <x v="92"/>
    <x v="6"/>
    <x v="144"/>
    <x v="0"/>
    <x v="0"/>
  </r>
  <r>
    <x v="630"/>
    <x v="114"/>
    <x v="0"/>
    <x v="2"/>
    <x v="0"/>
    <x v="2"/>
    <x v="8"/>
    <x v="2"/>
    <x v="0"/>
    <x v="134"/>
    <x v="0"/>
    <x v="527"/>
    <x v="2"/>
    <x v="0"/>
  </r>
  <r>
    <x v="631"/>
    <x v="114"/>
    <x v="4"/>
    <x v="1"/>
    <x v="0"/>
    <x v="3"/>
    <x v="14"/>
    <x v="8"/>
    <x v="3"/>
    <x v="129"/>
    <x v="4"/>
    <x v="528"/>
    <x v="0"/>
    <x v="4"/>
  </r>
  <r>
    <x v="632"/>
    <x v="114"/>
    <x v="2"/>
    <x v="0"/>
    <x v="1"/>
    <x v="2"/>
    <x v="3"/>
    <x v="7"/>
    <x v="2"/>
    <x v="92"/>
    <x v="3"/>
    <x v="252"/>
    <x v="3"/>
    <x v="2"/>
  </r>
  <r>
    <x v="633"/>
    <x v="115"/>
    <x v="2"/>
    <x v="2"/>
    <x v="0"/>
    <x v="1"/>
    <x v="22"/>
    <x v="5"/>
    <x v="3"/>
    <x v="148"/>
    <x v="0"/>
    <x v="529"/>
    <x v="1"/>
    <x v="2"/>
  </r>
  <r>
    <x v="634"/>
    <x v="115"/>
    <x v="2"/>
    <x v="2"/>
    <x v="0"/>
    <x v="2"/>
    <x v="3"/>
    <x v="11"/>
    <x v="4"/>
    <x v="3"/>
    <x v="1"/>
    <x v="462"/>
    <x v="1"/>
    <x v="2"/>
  </r>
  <r>
    <x v="635"/>
    <x v="115"/>
    <x v="2"/>
    <x v="0"/>
    <x v="0"/>
    <x v="2"/>
    <x v="8"/>
    <x v="11"/>
    <x v="0"/>
    <x v="134"/>
    <x v="4"/>
    <x v="530"/>
    <x v="1"/>
    <x v="2"/>
  </r>
  <r>
    <x v="636"/>
    <x v="115"/>
    <x v="2"/>
    <x v="3"/>
    <x v="0"/>
    <x v="5"/>
    <x v="15"/>
    <x v="7"/>
    <x v="5"/>
    <x v="25"/>
    <x v="1"/>
    <x v="531"/>
    <x v="3"/>
    <x v="2"/>
  </r>
  <r>
    <x v="637"/>
    <x v="115"/>
    <x v="4"/>
    <x v="3"/>
    <x v="0"/>
    <x v="5"/>
    <x v="16"/>
    <x v="14"/>
    <x v="0"/>
    <x v="150"/>
    <x v="5"/>
    <x v="532"/>
    <x v="2"/>
    <x v="4"/>
  </r>
  <r>
    <x v="638"/>
    <x v="115"/>
    <x v="4"/>
    <x v="2"/>
    <x v="1"/>
    <x v="5"/>
    <x v="21"/>
    <x v="14"/>
    <x v="2"/>
    <x v="35"/>
    <x v="2"/>
    <x v="533"/>
    <x v="2"/>
    <x v="4"/>
  </r>
  <r>
    <x v="639"/>
    <x v="116"/>
    <x v="2"/>
    <x v="3"/>
    <x v="0"/>
    <x v="5"/>
    <x v="15"/>
    <x v="5"/>
    <x v="3"/>
    <x v="20"/>
    <x v="4"/>
    <x v="534"/>
    <x v="1"/>
    <x v="2"/>
  </r>
  <r>
    <x v="640"/>
    <x v="116"/>
    <x v="0"/>
    <x v="3"/>
    <x v="0"/>
    <x v="3"/>
    <x v="4"/>
    <x v="0"/>
    <x v="2"/>
    <x v="4"/>
    <x v="3"/>
    <x v="535"/>
    <x v="0"/>
    <x v="0"/>
  </r>
  <r>
    <x v="641"/>
    <x v="116"/>
    <x v="2"/>
    <x v="3"/>
    <x v="1"/>
    <x v="0"/>
    <x v="19"/>
    <x v="5"/>
    <x v="4"/>
    <x v="28"/>
    <x v="3"/>
    <x v="536"/>
    <x v="1"/>
    <x v="2"/>
  </r>
  <r>
    <x v="642"/>
    <x v="116"/>
    <x v="3"/>
    <x v="0"/>
    <x v="1"/>
    <x v="0"/>
    <x v="10"/>
    <x v="12"/>
    <x v="3"/>
    <x v="109"/>
    <x v="1"/>
    <x v="501"/>
    <x v="0"/>
    <x v="3"/>
  </r>
  <r>
    <x v="643"/>
    <x v="117"/>
    <x v="3"/>
    <x v="2"/>
    <x v="0"/>
    <x v="5"/>
    <x v="18"/>
    <x v="9"/>
    <x v="3"/>
    <x v="75"/>
    <x v="2"/>
    <x v="537"/>
    <x v="2"/>
    <x v="3"/>
  </r>
  <r>
    <x v="644"/>
    <x v="117"/>
    <x v="3"/>
    <x v="1"/>
    <x v="0"/>
    <x v="2"/>
    <x v="8"/>
    <x v="12"/>
    <x v="2"/>
    <x v="134"/>
    <x v="0"/>
    <x v="538"/>
    <x v="0"/>
    <x v="3"/>
  </r>
  <r>
    <x v="645"/>
    <x v="117"/>
    <x v="1"/>
    <x v="0"/>
    <x v="0"/>
    <x v="0"/>
    <x v="0"/>
    <x v="1"/>
    <x v="0"/>
    <x v="107"/>
    <x v="4"/>
    <x v="539"/>
    <x v="1"/>
    <x v="1"/>
  </r>
  <r>
    <x v="646"/>
    <x v="118"/>
    <x v="4"/>
    <x v="3"/>
    <x v="0"/>
    <x v="2"/>
    <x v="8"/>
    <x v="14"/>
    <x v="12"/>
    <x v="45"/>
    <x v="4"/>
    <x v="540"/>
    <x v="2"/>
    <x v="4"/>
  </r>
  <r>
    <x v="647"/>
    <x v="118"/>
    <x v="3"/>
    <x v="1"/>
    <x v="0"/>
    <x v="2"/>
    <x v="3"/>
    <x v="6"/>
    <x v="3"/>
    <x v="94"/>
    <x v="2"/>
    <x v="213"/>
    <x v="1"/>
    <x v="3"/>
  </r>
  <r>
    <x v="648"/>
    <x v="118"/>
    <x v="4"/>
    <x v="0"/>
    <x v="1"/>
    <x v="2"/>
    <x v="5"/>
    <x v="8"/>
    <x v="1"/>
    <x v="29"/>
    <x v="1"/>
    <x v="541"/>
    <x v="0"/>
    <x v="4"/>
  </r>
  <r>
    <x v="649"/>
    <x v="118"/>
    <x v="0"/>
    <x v="0"/>
    <x v="0"/>
    <x v="0"/>
    <x v="27"/>
    <x v="2"/>
    <x v="5"/>
    <x v="69"/>
    <x v="0"/>
    <x v="542"/>
    <x v="2"/>
    <x v="0"/>
  </r>
  <r>
    <x v="650"/>
    <x v="118"/>
    <x v="4"/>
    <x v="0"/>
    <x v="0"/>
    <x v="0"/>
    <x v="27"/>
    <x v="10"/>
    <x v="3"/>
    <x v="69"/>
    <x v="5"/>
    <x v="543"/>
    <x v="2"/>
    <x v="4"/>
  </r>
  <r>
    <x v="651"/>
    <x v="118"/>
    <x v="2"/>
    <x v="0"/>
    <x v="0"/>
    <x v="3"/>
    <x v="23"/>
    <x v="11"/>
    <x v="3"/>
    <x v="90"/>
    <x v="1"/>
    <x v="231"/>
    <x v="1"/>
    <x v="2"/>
  </r>
  <r>
    <x v="652"/>
    <x v="118"/>
    <x v="2"/>
    <x v="1"/>
    <x v="0"/>
    <x v="4"/>
    <x v="12"/>
    <x v="11"/>
    <x v="4"/>
    <x v="14"/>
    <x v="0"/>
    <x v="544"/>
    <x v="1"/>
    <x v="2"/>
  </r>
  <r>
    <x v="653"/>
    <x v="118"/>
    <x v="2"/>
    <x v="0"/>
    <x v="0"/>
    <x v="3"/>
    <x v="23"/>
    <x v="5"/>
    <x v="3"/>
    <x v="131"/>
    <x v="5"/>
    <x v="306"/>
    <x v="1"/>
    <x v="2"/>
  </r>
  <r>
    <x v="654"/>
    <x v="118"/>
    <x v="3"/>
    <x v="0"/>
    <x v="1"/>
    <x v="0"/>
    <x v="19"/>
    <x v="9"/>
    <x v="0"/>
    <x v="155"/>
    <x v="6"/>
    <x v="545"/>
    <x v="2"/>
    <x v="3"/>
  </r>
  <r>
    <x v="655"/>
    <x v="118"/>
    <x v="2"/>
    <x v="0"/>
    <x v="1"/>
    <x v="2"/>
    <x v="8"/>
    <x v="11"/>
    <x v="5"/>
    <x v="9"/>
    <x v="1"/>
    <x v="237"/>
    <x v="1"/>
    <x v="2"/>
  </r>
  <r>
    <x v="656"/>
    <x v="118"/>
    <x v="3"/>
    <x v="0"/>
    <x v="0"/>
    <x v="0"/>
    <x v="27"/>
    <x v="6"/>
    <x v="3"/>
    <x v="69"/>
    <x v="1"/>
    <x v="218"/>
    <x v="1"/>
    <x v="3"/>
  </r>
  <r>
    <x v="657"/>
    <x v="119"/>
    <x v="2"/>
    <x v="1"/>
    <x v="0"/>
    <x v="4"/>
    <x v="11"/>
    <x v="7"/>
    <x v="3"/>
    <x v="13"/>
    <x v="0"/>
    <x v="400"/>
    <x v="3"/>
    <x v="2"/>
  </r>
  <r>
    <x v="658"/>
    <x v="119"/>
    <x v="3"/>
    <x v="3"/>
    <x v="1"/>
    <x v="5"/>
    <x v="15"/>
    <x v="6"/>
    <x v="3"/>
    <x v="42"/>
    <x v="0"/>
    <x v="174"/>
    <x v="1"/>
    <x v="3"/>
  </r>
  <r>
    <x v="659"/>
    <x v="119"/>
    <x v="3"/>
    <x v="2"/>
    <x v="0"/>
    <x v="3"/>
    <x v="13"/>
    <x v="6"/>
    <x v="0"/>
    <x v="61"/>
    <x v="1"/>
    <x v="546"/>
    <x v="1"/>
    <x v="3"/>
  </r>
  <r>
    <x v="660"/>
    <x v="119"/>
    <x v="0"/>
    <x v="1"/>
    <x v="0"/>
    <x v="5"/>
    <x v="18"/>
    <x v="2"/>
    <x v="3"/>
    <x v="27"/>
    <x v="4"/>
    <x v="29"/>
    <x v="2"/>
    <x v="0"/>
  </r>
  <r>
    <x v="661"/>
    <x v="119"/>
    <x v="3"/>
    <x v="2"/>
    <x v="1"/>
    <x v="2"/>
    <x v="9"/>
    <x v="6"/>
    <x v="0"/>
    <x v="10"/>
    <x v="5"/>
    <x v="547"/>
    <x v="1"/>
    <x v="3"/>
  </r>
  <r>
    <x v="662"/>
    <x v="119"/>
    <x v="3"/>
    <x v="3"/>
    <x v="0"/>
    <x v="3"/>
    <x v="14"/>
    <x v="9"/>
    <x v="3"/>
    <x v="144"/>
    <x v="2"/>
    <x v="56"/>
    <x v="2"/>
    <x v="3"/>
  </r>
  <r>
    <x v="663"/>
    <x v="120"/>
    <x v="0"/>
    <x v="0"/>
    <x v="0"/>
    <x v="0"/>
    <x v="27"/>
    <x v="0"/>
    <x v="5"/>
    <x v="85"/>
    <x v="0"/>
    <x v="548"/>
    <x v="0"/>
    <x v="0"/>
  </r>
  <r>
    <x v="664"/>
    <x v="120"/>
    <x v="1"/>
    <x v="3"/>
    <x v="0"/>
    <x v="5"/>
    <x v="15"/>
    <x v="1"/>
    <x v="2"/>
    <x v="70"/>
    <x v="4"/>
    <x v="549"/>
    <x v="1"/>
    <x v="1"/>
  </r>
  <r>
    <x v="665"/>
    <x v="120"/>
    <x v="4"/>
    <x v="3"/>
    <x v="0"/>
    <x v="3"/>
    <x v="14"/>
    <x v="10"/>
    <x v="0"/>
    <x v="18"/>
    <x v="6"/>
    <x v="550"/>
    <x v="2"/>
    <x v="4"/>
  </r>
  <r>
    <x v="666"/>
    <x v="120"/>
    <x v="4"/>
    <x v="0"/>
    <x v="0"/>
    <x v="3"/>
    <x v="23"/>
    <x v="8"/>
    <x v="3"/>
    <x v="131"/>
    <x v="1"/>
    <x v="551"/>
    <x v="0"/>
    <x v="4"/>
  </r>
  <r>
    <x v="667"/>
    <x v="120"/>
    <x v="2"/>
    <x v="0"/>
    <x v="0"/>
    <x v="0"/>
    <x v="19"/>
    <x v="7"/>
    <x v="2"/>
    <x v="71"/>
    <x v="4"/>
    <x v="552"/>
    <x v="3"/>
    <x v="2"/>
  </r>
  <r>
    <x v="668"/>
    <x v="121"/>
    <x v="4"/>
    <x v="2"/>
    <x v="1"/>
    <x v="0"/>
    <x v="10"/>
    <x v="10"/>
    <x v="5"/>
    <x v="17"/>
    <x v="1"/>
    <x v="553"/>
    <x v="2"/>
    <x v="4"/>
  </r>
  <r>
    <x v="669"/>
    <x v="121"/>
    <x v="1"/>
    <x v="3"/>
    <x v="0"/>
    <x v="5"/>
    <x v="21"/>
    <x v="13"/>
    <x v="3"/>
    <x v="35"/>
    <x v="2"/>
    <x v="458"/>
    <x v="0"/>
    <x v="1"/>
  </r>
  <r>
    <x v="670"/>
    <x v="121"/>
    <x v="4"/>
    <x v="0"/>
    <x v="0"/>
    <x v="0"/>
    <x v="0"/>
    <x v="10"/>
    <x v="3"/>
    <x v="30"/>
    <x v="5"/>
    <x v="554"/>
    <x v="2"/>
    <x v="4"/>
  </r>
  <r>
    <x v="671"/>
    <x v="121"/>
    <x v="4"/>
    <x v="0"/>
    <x v="0"/>
    <x v="0"/>
    <x v="27"/>
    <x v="14"/>
    <x v="0"/>
    <x v="128"/>
    <x v="1"/>
    <x v="555"/>
    <x v="2"/>
    <x v="4"/>
  </r>
  <r>
    <x v="672"/>
    <x v="121"/>
    <x v="4"/>
    <x v="0"/>
    <x v="0"/>
    <x v="1"/>
    <x v="26"/>
    <x v="8"/>
    <x v="0"/>
    <x v="138"/>
    <x v="5"/>
    <x v="556"/>
    <x v="0"/>
    <x v="4"/>
  </r>
  <r>
    <x v="673"/>
    <x v="122"/>
    <x v="1"/>
    <x v="2"/>
    <x v="1"/>
    <x v="4"/>
    <x v="11"/>
    <x v="4"/>
    <x v="0"/>
    <x v="83"/>
    <x v="5"/>
    <x v="557"/>
    <x v="2"/>
    <x v="1"/>
  </r>
  <r>
    <x v="674"/>
    <x v="122"/>
    <x v="2"/>
    <x v="3"/>
    <x v="0"/>
    <x v="4"/>
    <x v="11"/>
    <x v="7"/>
    <x v="0"/>
    <x v="83"/>
    <x v="6"/>
    <x v="508"/>
    <x v="3"/>
    <x v="2"/>
  </r>
  <r>
    <x v="675"/>
    <x v="122"/>
    <x v="4"/>
    <x v="3"/>
    <x v="0"/>
    <x v="1"/>
    <x v="26"/>
    <x v="8"/>
    <x v="4"/>
    <x v="65"/>
    <x v="6"/>
    <x v="558"/>
    <x v="0"/>
    <x v="4"/>
  </r>
  <r>
    <x v="676"/>
    <x v="123"/>
    <x v="4"/>
    <x v="0"/>
    <x v="1"/>
    <x v="4"/>
    <x v="11"/>
    <x v="14"/>
    <x v="0"/>
    <x v="113"/>
    <x v="2"/>
    <x v="224"/>
    <x v="2"/>
    <x v="4"/>
  </r>
  <r>
    <x v="677"/>
    <x v="123"/>
    <x v="2"/>
    <x v="0"/>
    <x v="0"/>
    <x v="0"/>
    <x v="19"/>
    <x v="11"/>
    <x v="3"/>
    <x v="52"/>
    <x v="1"/>
    <x v="559"/>
    <x v="1"/>
    <x v="2"/>
  </r>
  <r>
    <x v="678"/>
    <x v="123"/>
    <x v="0"/>
    <x v="2"/>
    <x v="0"/>
    <x v="2"/>
    <x v="2"/>
    <x v="3"/>
    <x v="3"/>
    <x v="19"/>
    <x v="4"/>
    <x v="560"/>
    <x v="2"/>
    <x v="0"/>
  </r>
  <r>
    <x v="679"/>
    <x v="123"/>
    <x v="3"/>
    <x v="3"/>
    <x v="0"/>
    <x v="3"/>
    <x v="14"/>
    <x v="9"/>
    <x v="3"/>
    <x v="129"/>
    <x v="6"/>
    <x v="561"/>
    <x v="2"/>
    <x v="3"/>
  </r>
  <r>
    <x v="680"/>
    <x v="123"/>
    <x v="4"/>
    <x v="2"/>
    <x v="1"/>
    <x v="2"/>
    <x v="3"/>
    <x v="8"/>
    <x v="6"/>
    <x v="123"/>
    <x v="0"/>
    <x v="322"/>
    <x v="0"/>
    <x v="4"/>
  </r>
  <r>
    <x v="681"/>
    <x v="124"/>
    <x v="0"/>
    <x v="2"/>
    <x v="1"/>
    <x v="2"/>
    <x v="17"/>
    <x v="2"/>
    <x v="3"/>
    <x v="22"/>
    <x v="6"/>
    <x v="562"/>
    <x v="2"/>
    <x v="0"/>
  </r>
  <r>
    <x v="682"/>
    <x v="124"/>
    <x v="3"/>
    <x v="1"/>
    <x v="1"/>
    <x v="1"/>
    <x v="22"/>
    <x v="9"/>
    <x v="5"/>
    <x v="47"/>
    <x v="5"/>
    <x v="563"/>
    <x v="2"/>
    <x v="3"/>
  </r>
  <r>
    <x v="683"/>
    <x v="124"/>
    <x v="2"/>
    <x v="2"/>
    <x v="0"/>
    <x v="5"/>
    <x v="15"/>
    <x v="5"/>
    <x v="3"/>
    <x v="25"/>
    <x v="1"/>
    <x v="139"/>
    <x v="1"/>
    <x v="2"/>
  </r>
  <r>
    <x v="684"/>
    <x v="124"/>
    <x v="0"/>
    <x v="1"/>
    <x v="0"/>
    <x v="0"/>
    <x v="19"/>
    <x v="0"/>
    <x v="1"/>
    <x v="52"/>
    <x v="6"/>
    <x v="564"/>
    <x v="0"/>
    <x v="0"/>
  </r>
  <r>
    <x v="685"/>
    <x v="124"/>
    <x v="0"/>
    <x v="2"/>
    <x v="1"/>
    <x v="2"/>
    <x v="2"/>
    <x v="0"/>
    <x v="5"/>
    <x v="157"/>
    <x v="1"/>
    <x v="565"/>
    <x v="0"/>
    <x v="0"/>
  </r>
  <r>
    <x v="686"/>
    <x v="125"/>
    <x v="1"/>
    <x v="0"/>
    <x v="0"/>
    <x v="2"/>
    <x v="2"/>
    <x v="4"/>
    <x v="2"/>
    <x v="100"/>
    <x v="3"/>
    <x v="566"/>
    <x v="2"/>
    <x v="1"/>
  </r>
  <r>
    <x v="687"/>
    <x v="125"/>
    <x v="3"/>
    <x v="0"/>
    <x v="0"/>
    <x v="2"/>
    <x v="5"/>
    <x v="9"/>
    <x v="2"/>
    <x v="133"/>
    <x v="6"/>
    <x v="567"/>
    <x v="2"/>
    <x v="3"/>
  </r>
  <r>
    <x v="688"/>
    <x v="125"/>
    <x v="0"/>
    <x v="2"/>
    <x v="0"/>
    <x v="0"/>
    <x v="0"/>
    <x v="2"/>
    <x v="0"/>
    <x v="0"/>
    <x v="4"/>
    <x v="568"/>
    <x v="2"/>
    <x v="0"/>
  </r>
  <r>
    <x v="689"/>
    <x v="125"/>
    <x v="0"/>
    <x v="0"/>
    <x v="1"/>
    <x v="3"/>
    <x v="4"/>
    <x v="3"/>
    <x v="3"/>
    <x v="41"/>
    <x v="4"/>
    <x v="124"/>
    <x v="2"/>
    <x v="0"/>
  </r>
  <r>
    <x v="690"/>
    <x v="126"/>
    <x v="1"/>
    <x v="3"/>
    <x v="1"/>
    <x v="4"/>
    <x v="7"/>
    <x v="4"/>
    <x v="4"/>
    <x v="34"/>
    <x v="4"/>
    <x v="569"/>
    <x v="2"/>
    <x v="1"/>
  </r>
  <r>
    <x v="691"/>
    <x v="126"/>
    <x v="3"/>
    <x v="0"/>
    <x v="0"/>
    <x v="4"/>
    <x v="6"/>
    <x v="12"/>
    <x v="4"/>
    <x v="46"/>
    <x v="1"/>
    <x v="570"/>
    <x v="0"/>
    <x v="3"/>
  </r>
  <r>
    <x v="692"/>
    <x v="126"/>
    <x v="1"/>
    <x v="0"/>
    <x v="0"/>
    <x v="2"/>
    <x v="17"/>
    <x v="4"/>
    <x v="5"/>
    <x v="24"/>
    <x v="1"/>
    <x v="25"/>
    <x v="2"/>
    <x v="1"/>
  </r>
  <r>
    <x v="693"/>
    <x v="126"/>
    <x v="4"/>
    <x v="2"/>
    <x v="1"/>
    <x v="4"/>
    <x v="6"/>
    <x v="10"/>
    <x v="3"/>
    <x v="117"/>
    <x v="1"/>
    <x v="510"/>
    <x v="2"/>
    <x v="4"/>
  </r>
  <r>
    <x v="694"/>
    <x v="126"/>
    <x v="4"/>
    <x v="0"/>
    <x v="1"/>
    <x v="5"/>
    <x v="21"/>
    <x v="14"/>
    <x v="3"/>
    <x v="40"/>
    <x v="6"/>
    <x v="404"/>
    <x v="2"/>
    <x v="4"/>
  </r>
  <r>
    <x v="695"/>
    <x v="126"/>
    <x v="4"/>
    <x v="3"/>
    <x v="1"/>
    <x v="5"/>
    <x v="16"/>
    <x v="8"/>
    <x v="3"/>
    <x v="91"/>
    <x v="2"/>
    <x v="571"/>
    <x v="0"/>
    <x v="4"/>
  </r>
  <r>
    <x v="696"/>
    <x v="126"/>
    <x v="1"/>
    <x v="0"/>
    <x v="0"/>
    <x v="0"/>
    <x v="10"/>
    <x v="13"/>
    <x v="1"/>
    <x v="88"/>
    <x v="0"/>
    <x v="63"/>
    <x v="0"/>
    <x v="1"/>
  </r>
  <r>
    <x v="697"/>
    <x v="127"/>
    <x v="3"/>
    <x v="1"/>
    <x v="1"/>
    <x v="4"/>
    <x v="11"/>
    <x v="12"/>
    <x v="4"/>
    <x v="13"/>
    <x v="1"/>
    <x v="176"/>
    <x v="0"/>
    <x v="3"/>
  </r>
  <r>
    <x v="698"/>
    <x v="127"/>
    <x v="2"/>
    <x v="3"/>
    <x v="1"/>
    <x v="5"/>
    <x v="16"/>
    <x v="11"/>
    <x v="3"/>
    <x v="67"/>
    <x v="2"/>
    <x v="387"/>
    <x v="1"/>
    <x v="2"/>
  </r>
  <r>
    <x v="699"/>
    <x v="127"/>
    <x v="4"/>
    <x v="2"/>
    <x v="0"/>
    <x v="5"/>
    <x v="21"/>
    <x v="14"/>
    <x v="3"/>
    <x v="73"/>
    <x v="3"/>
    <x v="572"/>
    <x v="2"/>
    <x v="4"/>
  </r>
  <r>
    <x v="700"/>
    <x v="127"/>
    <x v="2"/>
    <x v="1"/>
    <x v="0"/>
    <x v="3"/>
    <x v="13"/>
    <x v="11"/>
    <x v="2"/>
    <x v="61"/>
    <x v="6"/>
    <x v="573"/>
    <x v="1"/>
    <x v="2"/>
  </r>
  <r>
    <x v="701"/>
    <x v="127"/>
    <x v="3"/>
    <x v="2"/>
    <x v="1"/>
    <x v="2"/>
    <x v="9"/>
    <x v="6"/>
    <x v="1"/>
    <x v="10"/>
    <x v="4"/>
    <x v="12"/>
    <x v="1"/>
    <x v="3"/>
  </r>
  <r>
    <x v="702"/>
    <x v="127"/>
    <x v="4"/>
    <x v="3"/>
    <x v="0"/>
    <x v="5"/>
    <x v="15"/>
    <x v="8"/>
    <x v="3"/>
    <x v="25"/>
    <x v="5"/>
    <x v="574"/>
    <x v="0"/>
    <x v="4"/>
  </r>
  <r>
    <x v="703"/>
    <x v="127"/>
    <x v="2"/>
    <x v="1"/>
    <x v="0"/>
    <x v="2"/>
    <x v="5"/>
    <x v="11"/>
    <x v="4"/>
    <x v="33"/>
    <x v="5"/>
    <x v="191"/>
    <x v="1"/>
    <x v="2"/>
  </r>
  <r>
    <x v="704"/>
    <x v="128"/>
    <x v="2"/>
    <x v="1"/>
    <x v="0"/>
    <x v="4"/>
    <x v="7"/>
    <x v="5"/>
    <x v="5"/>
    <x v="34"/>
    <x v="6"/>
    <x v="575"/>
    <x v="1"/>
    <x v="2"/>
  </r>
  <r>
    <x v="705"/>
    <x v="128"/>
    <x v="1"/>
    <x v="0"/>
    <x v="1"/>
    <x v="0"/>
    <x v="10"/>
    <x v="1"/>
    <x v="4"/>
    <x v="17"/>
    <x v="6"/>
    <x v="576"/>
    <x v="1"/>
    <x v="1"/>
  </r>
  <r>
    <x v="706"/>
    <x v="128"/>
    <x v="0"/>
    <x v="0"/>
    <x v="0"/>
    <x v="1"/>
    <x v="20"/>
    <x v="2"/>
    <x v="3"/>
    <x v="158"/>
    <x v="6"/>
    <x v="55"/>
    <x v="2"/>
    <x v="0"/>
  </r>
  <r>
    <x v="707"/>
    <x v="128"/>
    <x v="3"/>
    <x v="3"/>
    <x v="0"/>
    <x v="4"/>
    <x v="7"/>
    <x v="6"/>
    <x v="5"/>
    <x v="136"/>
    <x v="4"/>
    <x v="509"/>
    <x v="1"/>
    <x v="3"/>
  </r>
  <r>
    <x v="708"/>
    <x v="128"/>
    <x v="4"/>
    <x v="1"/>
    <x v="1"/>
    <x v="2"/>
    <x v="8"/>
    <x v="14"/>
    <x v="1"/>
    <x v="56"/>
    <x v="5"/>
    <x v="126"/>
    <x v="2"/>
    <x v="4"/>
  </r>
  <r>
    <x v="709"/>
    <x v="128"/>
    <x v="3"/>
    <x v="2"/>
    <x v="0"/>
    <x v="2"/>
    <x v="2"/>
    <x v="12"/>
    <x v="0"/>
    <x v="19"/>
    <x v="4"/>
    <x v="577"/>
    <x v="0"/>
    <x v="3"/>
  </r>
  <r>
    <x v="710"/>
    <x v="128"/>
    <x v="1"/>
    <x v="0"/>
    <x v="0"/>
    <x v="0"/>
    <x v="0"/>
    <x v="1"/>
    <x v="5"/>
    <x v="0"/>
    <x v="0"/>
    <x v="578"/>
    <x v="1"/>
    <x v="1"/>
  </r>
  <r>
    <x v="711"/>
    <x v="128"/>
    <x v="4"/>
    <x v="0"/>
    <x v="1"/>
    <x v="1"/>
    <x v="24"/>
    <x v="8"/>
    <x v="0"/>
    <x v="54"/>
    <x v="4"/>
    <x v="385"/>
    <x v="0"/>
    <x v="4"/>
  </r>
  <r>
    <x v="712"/>
    <x v="129"/>
    <x v="2"/>
    <x v="3"/>
    <x v="1"/>
    <x v="5"/>
    <x v="15"/>
    <x v="7"/>
    <x v="3"/>
    <x v="70"/>
    <x v="1"/>
    <x v="294"/>
    <x v="3"/>
    <x v="2"/>
  </r>
  <r>
    <x v="713"/>
    <x v="129"/>
    <x v="4"/>
    <x v="1"/>
    <x v="0"/>
    <x v="2"/>
    <x v="17"/>
    <x v="10"/>
    <x v="3"/>
    <x v="87"/>
    <x v="5"/>
    <x v="579"/>
    <x v="2"/>
    <x v="4"/>
  </r>
  <r>
    <x v="714"/>
    <x v="129"/>
    <x v="4"/>
    <x v="0"/>
    <x v="0"/>
    <x v="2"/>
    <x v="5"/>
    <x v="8"/>
    <x v="4"/>
    <x v="33"/>
    <x v="5"/>
    <x v="191"/>
    <x v="0"/>
    <x v="4"/>
  </r>
  <r>
    <x v="715"/>
    <x v="130"/>
    <x v="3"/>
    <x v="0"/>
    <x v="0"/>
    <x v="4"/>
    <x v="7"/>
    <x v="12"/>
    <x v="5"/>
    <x v="103"/>
    <x v="1"/>
    <x v="236"/>
    <x v="0"/>
    <x v="3"/>
  </r>
  <r>
    <x v="716"/>
    <x v="130"/>
    <x v="1"/>
    <x v="0"/>
    <x v="0"/>
    <x v="2"/>
    <x v="8"/>
    <x v="1"/>
    <x v="1"/>
    <x v="9"/>
    <x v="0"/>
    <x v="580"/>
    <x v="1"/>
    <x v="1"/>
  </r>
  <r>
    <x v="717"/>
    <x v="130"/>
    <x v="1"/>
    <x v="0"/>
    <x v="0"/>
    <x v="4"/>
    <x v="11"/>
    <x v="13"/>
    <x v="2"/>
    <x v="13"/>
    <x v="1"/>
    <x v="263"/>
    <x v="0"/>
    <x v="1"/>
  </r>
  <r>
    <x v="718"/>
    <x v="130"/>
    <x v="4"/>
    <x v="0"/>
    <x v="1"/>
    <x v="3"/>
    <x v="4"/>
    <x v="14"/>
    <x v="2"/>
    <x v="68"/>
    <x v="4"/>
    <x v="581"/>
    <x v="2"/>
    <x v="4"/>
  </r>
  <r>
    <x v="719"/>
    <x v="130"/>
    <x v="2"/>
    <x v="0"/>
    <x v="1"/>
    <x v="4"/>
    <x v="7"/>
    <x v="5"/>
    <x v="0"/>
    <x v="116"/>
    <x v="1"/>
    <x v="582"/>
    <x v="1"/>
    <x v="2"/>
  </r>
  <r>
    <x v="720"/>
    <x v="130"/>
    <x v="4"/>
    <x v="3"/>
    <x v="0"/>
    <x v="3"/>
    <x v="13"/>
    <x v="8"/>
    <x v="0"/>
    <x v="15"/>
    <x v="6"/>
    <x v="583"/>
    <x v="0"/>
    <x v="4"/>
  </r>
  <r>
    <x v="721"/>
    <x v="130"/>
    <x v="2"/>
    <x v="3"/>
    <x v="0"/>
    <x v="2"/>
    <x v="5"/>
    <x v="7"/>
    <x v="1"/>
    <x v="147"/>
    <x v="1"/>
    <x v="584"/>
    <x v="3"/>
    <x v="2"/>
  </r>
  <r>
    <x v="722"/>
    <x v="131"/>
    <x v="1"/>
    <x v="0"/>
    <x v="1"/>
    <x v="2"/>
    <x v="2"/>
    <x v="1"/>
    <x v="0"/>
    <x v="2"/>
    <x v="4"/>
    <x v="81"/>
    <x v="1"/>
    <x v="1"/>
  </r>
  <r>
    <x v="723"/>
    <x v="131"/>
    <x v="4"/>
    <x v="0"/>
    <x v="0"/>
    <x v="2"/>
    <x v="8"/>
    <x v="8"/>
    <x v="10"/>
    <x v="45"/>
    <x v="4"/>
    <x v="585"/>
    <x v="0"/>
    <x v="4"/>
  </r>
  <r>
    <x v="724"/>
    <x v="131"/>
    <x v="0"/>
    <x v="2"/>
    <x v="0"/>
    <x v="2"/>
    <x v="9"/>
    <x v="0"/>
    <x v="3"/>
    <x v="122"/>
    <x v="4"/>
    <x v="586"/>
    <x v="0"/>
    <x v="0"/>
  </r>
  <r>
    <x v="725"/>
    <x v="132"/>
    <x v="4"/>
    <x v="2"/>
    <x v="0"/>
    <x v="0"/>
    <x v="27"/>
    <x v="8"/>
    <x v="2"/>
    <x v="80"/>
    <x v="4"/>
    <x v="379"/>
    <x v="0"/>
    <x v="4"/>
  </r>
  <r>
    <x v="726"/>
    <x v="132"/>
    <x v="0"/>
    <x v="0"/>
    <x v="0"/>
    <x v="0"/>
    <x v="27"/>
    <x v="3"/>
    <x v="2"/>
    <x v="69"/>
    <x v="6"/>
    <x v="587"/>
    <x v="2"/>
    <x v="0"/>
  </r>
  <r>
    <x v="727"/>
    <x v="132"/>
    <x v="2"/>
    <x v="2"/>
    <x v="1"/>
    <x v="4"/>
    <x v="6"/>
    <x v="7"/>
    <x v="1"/>
    <x v="110"/>
    <x v="6"/>
    <x v="588"/>
    <x v="3"/>
    <x v="2"/>
  </r>
  <r>
    <x v="728"/>
    <x v="133"/>
    <x v="1"/>
    <x v="0"/>
    <x v="1"/>
    <x v="2"/>
    <x v="5"/>
    <x v="4"/>
    <x v="1"/>
    <x v="66"/>
    <x v="0"/>
    <x v="589"/>
    <x v="2"/>
    <x v="1"/>
  </r>
  <r>
    <x v="729"/>
    <x v="133"/>
    <x v="2"/>
    <x v="2"/>
    <x v="0"/>
    <x v="5"/>
    <x v="15"/>
    <x v="5"/>
    <x v="3"/>
    <x v="70"/>
    <x v="3"/>
    <x v="99"/>
    <x v="1"/>
    <x v="2"/>
  </r>
  <r>
    <x v="730"/>
    <x v="133"/>
    <x v="2"/>
    <x v="0"/>
    <x v="1"/>
    <x v="2"/>
    <x v="9"/>
    <x v="11"/>
    <x v="3"/>
    <x v="86"/>
    <x v="6"/>
    <x v="590"/>
    <x v="1"/>
    <x v="2"/>
  </r>
  <r>
    <x v="731"/>
    <x v="133"/>
    <x v="2"/>
    <x v="2"/>
    <x v="0"/>
    <x v="3"/>
    <x v="14"/>
    <x v="11"/>
    <x v="3"/>
    <x v="144"/>
    <x v="6"/>
    <x v="387"/>
    <x v="1"/>
    <x v="2"/>
  </r>
  <r>
    <x v="732"/>
    <x v="133"/>
    <x v="1"/>
    <x v="2"/>
    <x v="0"/>
    <x v="0"/>
    <x v="0"/>
    <x v="4"/>
    <x v="1"/>
    <x v="26"/>
    <x v="3"/>
    <x v="591"/>
    <x v="2"/>
    <x v="1"/>
  </r>
  <r>
    <x v="733"/>
    <x v="134"/>
    <x v="0"/>
    <x v="0"/>
    <x v="0"/>
    <x v="1"/>
    <x v="20"/>
    <x v="2"/>
    <x v="5"/>
    <x v="31"/>
    <x v="2"/>
    <x v="592"/>
    <x v="2"/>
    <x v="0"/>
  </r>
  <r>
    <x v="734"/>
    <x v="134"/>
    <x v="0"/>
    <x v="3"/>
    <x v="1"/>
    <x v="5"/>
    <x v="16"/>
    <x v="3"/>
    <x v="3"/>
    <x v="111"/>
    <x v="6"/>
    <x v="593"/>
    <x v="2"/>
    <x v="0"/>
  </r>
  <r>
    <x v="735"/>
    <x v="134"/>
    <x v="1"/>
    <x v="0"/>
    <x v="0"/>
    <x v="2"/>
    <x v="5"/>
    <x v="4"/>
    <x v="3"/>
    <x v="133"/>
    <x v="1"/>
    <x v="440"/>
    <x v="2"/>
    <x v="1"/>
  </r>
  <r>
    <x v="736"/>
    <x v="134"/>
    <x v="3"/>
    <x v="2"/>
    <x v="1"/>
    <x v="0"/>
    <x v="27"/>
    <x v="6"/>
    <x v="5"/>
    <x v="128"/>
    <x v="5"/>
    <x v="594"/>
    <x v="1"/>
    <x v="3"/>
  </r>
  <r>
    <x v="737"/>
    <x v="134"/>
    <x v="3"/>
    <x v="1"/>
    <x v="0"/>
    <x v="1"/>
    <x v="20"/>
    <x v="12"/>
    <x v="2"/>
    <x v="31"/>
    <x v="5"/>
    <x v="595"/>
    <x v="0"/>
    <x v="3"/>
  </r>
  <r>
    <x v="738"/>
    <x v="134"/>
    <x v="0"/>
    <x v="1"/>
    <x v="0"/>
    <x v="5"/>
    <x v="15"/>
    <x v="2"/>
    <x v="3"/>
    <x v="25"/>
    <x v="4"/>
    <x v="294"/>
    <x v="2"/>
    <x v="0"/>
  </r>
  <r>
    <x v="739"/>
    <x v="134"/>
    <x v="1"/>
    <x v="0"/>
    <x v="1"/>
    <x v="4"/>
    <x v="7"/>
    <x v="13"/>
    <x v="0"/>
    <x v="8"/>
    <x v="0"/>
    <x v="385"/>
    <x v="0"/>
    <x v="1"/>
  </r>
  <r>
    <x v="740"/>
    <x v="135"/>
    <x v="1"/>
    <x v="0"/>
    <x v="0"/>
    <x v="1"/>
    <x v="24"/>
    <x v="13"/>
    <x v="5"/>
    <x v="63"/>
    <x v="6"/>
    <x v="495"/>
    <x v="0"/>
    <x v="1"/>
  </r>
  <r>
    <x v="741"/>
    <x v="135"/>
    <x v="1"/>
    <x v="0"/>
    <x v="0"/>
    <x v="3"/>
    <x v="14"/>
    <x v="4"/>
    <x v="5"/>
    <x v="18"/>
    <x v="1"/>
    <x v="596"/>
    <x v="2"/>
    <x v="1"/>
  </r>
  <r>
    <x v="742"/>
    <x v="135"/>
    <x v="1"/>
    <x v="0"/>
    <x v="0"/>
    <x v="2"/>
    <x v="8"/>
    <x v="4"/>
    <x v="0"/>
    <x v="45"/>
    <x v="4"/>
    <x v="597"/>
    <x v="2"/>
    <x v="1"/>
  </r>
  <r>
    <x v="743"/>
    <x v="136"/>
    <x v="3"/>
    <x v="0"/>
    <x v="0"/>
    <x v="3"/>
    <x v="23"/>
    <x v="12"/>
    <x v="3"/>
    <x v="145"/>
    <x v="1"/>
    <x v="598"/>
    <x v="0"/>
    <x v="3"/>
  </r>
  <r>
    <x v="744"/>
    <x v="136"/>
    <x v="3"/>
    <x v="2"/>
    <x v="0"/>
    <x v="3"/>
    <x v="4"/>
    <x v="6"/>
    <x v="5"/>
    <x v="48"/>
    <x v="2"/>
    <x v="599"/>
    <x v="1"/>
    <x v="3"/>
  </r>
  <r>
    <x v="745"/>
    <x v="136"/>
    <x v="4"/>
    <x v="1"/>
    <x v="0"/>
    <x v="2"/>
    <x v="17"/>
    <x v="14"/>
    <x v="3"/>
    <x v="22"/>
    <x v="4"/>
    <x v="600"/>
    <x v="2"/>
    <x v="4"/>
  </r>
  <r>
    <x v="746"/>
    <x v="136"/>
    <x v="0"/>
    <x v="0"/>
    <x v="0"/>
    <x v="0"/>
    <x v="27"/>
    <x v="3"/>
    <x v="3"/>
    <x v="137"/>
    <x v="2"/>
    <x v="601"/>
    <x v="2"/>
    <x v="0"/>
  </r>
  <r>
    <x v="747"/>
    <x v="136"/>
    <x v="0"/>
    <x v="1"/>
    <x v="0"/>
    <x v="1"/>
    <x v="26"/>
    <x v="2"/>
    <x v="4"/>
    <x v="119"/>
    <x v="2"/>
    <x v="602"/>
    <x v="2"/>
    <x v="0"/>
  </r>
  <r>
    <x v="748"/>
    <x v="136"/>
    <x v="3"/>
    <x v="0"/>
    <x v="1"/>
    <x v="4"/>
    <x v="6"/>
    <x v="6"/>
    <x v="5"/>
    <x v="46"/>
    <x v="6"/>
    <x v="152"/>
    <x v="1"/>
    <x v="3"/>
  </r>
  <r>
    <x v="749"/>
    <x v="136"/>
    <x v="0"/>
    <x v="1"/>
    <x v="0"/>
    <x v="5"/>
    <x v="18"/>
    <x v="3"/>
    <x v="3"/>
    <x v="27"/>
    <x v="3"/>
    <x v="321"/>
    <x v="2"/>
    <x v="0"/>
  </r>
  <r>
    <x v="750"/>
    <x v="137"/>
    <x v="2"/>
    <x v="3"/>
    <x v="1"/>
    <x v="4"/>
    <x v="6"/>
    <x v="7"/>
    <x v="0"/>
    <x v="6"/>
    <x v="6"/>
    <x v="603"/>
    <x v="3"/>
    <x v="2"/>
  </r>
  <r>
    <x v="751"/>
    <x v="137"/>
    <x v="4"/>
    <x v="2"/>
    <x v="1"/>
    <x v="0"/>
    <x v="0"/>
    <x v="14"/>
    <x v="3"/>
    <x v="50"/>
    <x v="1"/>
    <x v="94"/>
    <x v="2"/>
    <x v="4"/>
  </r>
  <r>
    <x v="752"/>
    <x v="137"/>
    <x v="1"/>
    <x v="2"/>
    <x v="0"/>
    <x v="2"/>
    <x v="8"/>
    <x v="13"/>
    <x v="1"/>
    <x v="45"/>
    <x v="5"/>
    <x v="604"/>
    <x v="0"/>
    <x v="1"/>
  </r>
  <r>
    <x v="753"/>
    <x v="137"/>
    <x v="2"/>
    <x v="3"/>
    <x v="0"/>
    <x v="5"/>
    <x v="15"/>
    <x v="11"/>
    <x v="3"/>
    <x v="20"/>
    <x v="2"/>
    <x v="21"/>
    <x v="1"/>
    <x v="2"/>
  </r>
  <r>
    <x v="754"/>
    <x v="137"/>
    <x v="1"/>
    <x v="3"/>
    <x v="0"/>
    <x v="5"/>
    <x v="18"/>
    <x v="4"/>
    <x v="3"/>
    <x v="125"/>
    <x v="1"/>
    <x v="515"/>
    <x v="2"/>
    <x v="1"/>
  </r>
  <r>
    <x v="755"/>
    <x v="137"/>
    <x v="4"/>
    <x v="1"/>
    <x v="0"/>
    <x v="0"/>
    <x v="0"/>
    <x v="10"/>
    <x v="0"/>
    <x v="0"/>
    <x v="1"/>
    <x v="406"/>
    <x v="2"/>
    <x v="4"/>
  </r>
  <r>
    <x v="756"/>
    <x v="137"/>
    <x v="4"/>
    <x v="1"/>
    <x v="0"/>
    <x v="1"/>
    <x v="22"/>
    <x v="10"/>
    <x v="5"/>
    <x v="47"/>
    <x v="3"/>
    <x v="499"/>
    <x v="2"/>
    <x v="4"/>
  </r>
  <r>
    <x v="757"/>
    <x v="138"/>
    <x v="1"/>
    <x v="1"/>
    <x v="1"/>
    <x v="4"/>
    <x v="11"/>
    <x v="13"/>
    <x v="3"/>
    <x v="13"/>
    <x v="3"/>
    <x v="605"/>
    <x v="0"/>
    <x v="1"/>
  </r>
  <r>
    <x v="758"/>
    <x v="138"/>
    <x v="1"/>
    <x v="2"/>
    <x v="0"/>
    <x v="0"/>
    <x v="10"/>
    <x v="4"/>
    <x v="6"/>
    <x v="17"/>
    <x v="5"/>
    <x v="606"/>
    <x v="2"/>
    <x v="1"/>
  </r>
  <r>
    <x v="759"/>
    <x v="138"/>
    <x v="0"/>
    <x v="0"/>
    <x v="1"/>
    <x v="3"/>
    <x v="4"/>
    <x v="3"/>
    <x v="0"/>
    <x v="48"/>
    <x v="2"/>
    <x v="607"/>
    <x v="2"/>
    <x v="0"/>
  </r>
  <r>
    <x v="760"/>
    <x v="138"/>
    <x v="3"/>
    <x v="0"/>
    <x v="0"/>
    <x v="5"/>
    <x v="21"/>
    <x v="6"/>
    <x v="0"/>
    <x v="108"/>
    <x v="1"/>
    <x v="608"/>
    <x v="1"/>
    <x v="3"/>
  </r>
  <r>
    <x v="761"/>
    <x v="138"/>
    <x v="0"/>
    <x v="2"/>
    <x v="0"/>
    <x v="2"/>
    <x v="2"/>
    <x v="0"/>
    <x v="2"/>
    <x v="157"/>
    <x v="5"/>
    <x v="609"/>
    <x v="0"/>
    <x v="0"/>
  </r>
  <r>
    <x v="762"/>
    <x v="139"/>
    <x v="1"/>
    <x v="2"/>
    <x v="0"/>
    <x v="5"/>
    <x v="16"/>
    <x v="4"/>
    <x v="3"/>
    <x v="67"/>
    <x v="2"/>
    <x v="387"/>
    <x v="2"/>
    <x v="1"/>
  </r>
  <r>
    <x v="763"/>
    <x v="139"/>
    <x v="1"/>
    <x v="2"/>
    <x v="0"/>
    <x v="2"/>
    <x v="9"/>
    <x v="4"/>
    <x v="0"/>
    <x v="122"/>
    <x v="4"/>
    <x v="389"/>
    <x v="2"/>
    <x v="1"/>
  </r>
  <r>
    <x v="764"/>
    <x v="139"/>
    <x v="3"/>
    <x v="0"/>
    <x v="1"/>
    <x v="4"/>
    <x v="11"/>
    <x v="12"/>
    <x v="1"/>
    <x v="113"/>
    <x v="1"/>
    <x v="610"/>
    <x v="0"/>
    <x v="3"/>
  </r>
  <r>
    <x v="765"/>
    <x v="139"/>
    <x v="4"/>
    <x v="2"/>
    <x v="1"/>
    <x v="2"/>
    <x v="3"/>
    <x v="14"/>
    <x v="3"/>
    <x v="3"/>
    <x v="3"/>
    <x v="55"/>
    <x v="2"/>
    <x v="4"/>
  </r>
  <r>
    <x v="766"/>
    <x v="139"/>
    <x v="3"/>
    <x v="1"/>
    <x v="1"/>
    <x v="0"/>
    <x v="19"/>
    <x v="12"/>
    <x v="6"/>
    <x v="71"/>
    <x v="4"/>
    <x v="611"/>
    <x v="0"/>
    <x v="3"/>
  </r>
  <r>
    <x v="767"/>
    <x v="139"/>
    <x v="1"/>
    <x v="1"/>
    <x v="0"/>
    <x v="2"/>
    <x v="9"/>
    <x v="1"/>
    <x v="3"/>
    <x v="10"/>
    <x v="4"/>
    <x v="612"/>
    <x v="1"/>
    <x v="1"/>
  </r>
  <r>
    <x v="768"/>
    <x v="139"/>
    <x v="0"/>
    <x v="2"/>
    <x v="0"/>
    <x v="0"/>
    <x v="10"/>
    <x v="0"/>
    <x v="1"/>
    <x v="12"/>
    <x v="2"/>
    <x v="613"/>
    <x v="0"/>
    <x v="0"/>
  </r>
  <r>
    <x v="769"/>
    <x v="139"/>
    <x v="4"/>
    <x v="2"/>
    <x v="0"/>
    <x v="3"/>
    <x v="4"/>
    <x v="10"/>
    <x v="3"/>
    <x v="41"/>
    <x v="5"/>
    <x v="48"/>
    <x v="2"/>
    <x v="4"/>
  </r>
  <r>
    <x v="770"/>
    <x v="139"/>
    <x v="2"/>
    <x v="2"/>
    <x v="1"/>
    <x v="5"/>
    <x v="15"/>
    <x v="7"/>
    <x v="0"/>
    <x v="20"/>
    <x v="1"/>
    <x v="158"/>
    <x v="3"/>
    <x v="2"/>
  </r>
  <r>
    <x v="771"/>
    <x v="140"/>
    <x v="1"/>
    <x v="0"/>
    <x v="1"/>
    <x v="3"/>
    <x v="13"/>
    <x v="1"/>
    <x v="3"/>
    <x v="57"/>
    <x v="6"/>
    <x v="614"/>
    <x v="1"/>
    <x v="1"/>
  </r>
  <r>
    <x v="772"/>
    <x v="140"/>
    <x v="3"/>
    <x v="3"/>
    <x v="0"/>
    <x v="0"/>
    <x v="19"/>
    <x v="6"/>
    <x v="12"/>
    <x v="161"/>
    <x v="2"/>
    <x v="615"/>
    <x v="1"/>
    <x v="3"/>
  </r>
  <r>
    <x v="773"/>
    <x v="141"/>
    <x v="3"/>
    <x v="2"/>
    <x v="0"/>
    <x v="1"/>
    <x v="22"/>
    <x v="9"/>
    <x v="0"/>
    <x v="47"/>
    <x v="3"/>
    <x v="616"/>
    <x v="2"/>
    <x v="3"/>
  </r>
  <r>
    <x v="774"/>
    <x v="141"/>
    <x v="2"/>
    <x v="1"/>
    <x v="1"/>
    <x v="2"/>
    <x v="2"/>
    <x v="5"/>
    <x v="5"/>
    <x v="100"/>
    <x v="5"/>
    <x v="617"/>
    <x v="1"/>
    <x v="2"/>
  </r>
  <r>
    <x v="775"/>
    <x v="141"/>
    <x v="2"/>
    <x v="3"/>
    <x v="0"/>
    <x v="2"/>
    <x v="5"/>
    <x v="11"/>
    <x v="2"/>
    <x v="33"/>
    <x v="5"/>
    <x v="618"/>
    <x v="1"/>
    <x v="2"/>
  </r>
  <r>
    <x v="776"/>
    <x v="142"/>
    <x v="3"/>
    <x v="1"/>
    <x v="0"/>
    <x v="1"/>
    <x v="20"/>
    <x v="9"/>
    <x v="3"/>
    <x v="31"/>
    <x v="4"/>
    <x v="619"/>
    <x v="2"/>
    <x v="3"/>
  </r>
  <r>
    <x v="777"/>
    <x v="142"/>
    <x v="2"/>
    <x v="1"/>
    <x v="1"/>
    <x v="4"/>
    <x v="11"/>
    <x v="7"/>
    <x v="3"/>
    <x v="13"/>
    <x v="2"/>
    <x v="620"/>
    <x v="3"/>
    <x v="2"/>
  </r>
  <r>
    <x v="778"/>
    <x v="143"/>
    <x v="2"/>
    <x v="3"/>
    <x v="1"/>
    <x v="1"/>
    <x v="26"/>
    <x v="5"/>
    <x v="2"/>
    <x v="65"/>
    <x v="5"/>
    <x v="64"/>
    <x v="1"/>
    <x v="2"/>
  </r>
  <r>
    <x v="779"/>
    <x v="143"/>
    <x v="2"/>
    <x v="2"/>
    <x v="0"/>
    <x v="5"/>
    <x v="16"/>
    <x v="11"/>
    <x v="3"/>
    <x v="21"/>
    <x v="3"/>
    <x v="621"/>
    <x v="1"/>
    <x v="2"/>
  </r>
  <r>
    <x v="780"/>
    <x v="143"/>
    <x v="2"/>
    <x v="0"/>
    <x v="1"/>
    <x v="3"/>
    <x v="14"/>
    <x v="11"/>
    <x v="3"/>
    <x v="18"/>
    <x v="5"/>
    <x v="622"/>
    <x v="1"/>
    <x v="2"/>
  </r>
  <r>
    <x v="781"/>
    <x v="143"/>
    <x v="3"/>
    <x v="1"/>
    <x v="1"/>
    <x v="2"/>
    <x v="9"/>
    <x v="9"/>
    <x v="5"/>
    <x v="102"/>
    <x v="0"/>
    <x v="623"/>
    <x v="2"/>
    <x v="3"/>
  </r>
  <r>
    <x v="782"/>
    <x v="144"/>
    <x v="0"/>
    <x v="2"/>
    <x v="0"/>
    <x v="2"/>
    <x v="9"/>
    <x v="3"/>
    <x v="2"/>
    <x v="11"/>
    <x v="0"/>
    <x v="413"/>
    <x v="2"/>
    <x v="0"/>
  </r>
  <r>
    <x v="783"/>
    <x v="144"/>
    <x v="3"/>
    <x v="0"/>
    <x v="0"/>
    <x v="2"/>
    <x v="3"/>
    <x v="6"/>
    <x v="3"/>
    <x v="94"/>
    <x v="2"/>
    <x v="213"/>
    <x v="1"/>
    <x v="3"/>
  </r>
  <r>
    <x v="784"/>
    <x v="144"/>
    <x v="4"/>
    <x v="2"/>
    <x v="0"/>
    <x v="4"/>
    <x v="7"/>
    <x v="10"/>
    <x v="0"/>
    <x v="106"/>
    <x v="2"/>
    <x v="3"/>
    <x v="2"/>
    <x v="4"/>
  </r>
  <r>
    <x v="785"/>
    <x v="144"/>
    <x v="0"/>
    <x v="0"/>
    <x v="1"/>
    <x v="2"/>
    <x v="3"/>
    <x v="2"/>
    <x v="1"/>
    <x v="94"/>
    <x v="5"/>
    <x v="624"/>
    <x v="2"/>
    <x v="0"/>
  </r>
  <r>
    <x v="786"/>
    <x v="145"/>
    <x v="0"/>
    <x v="2"/>
    <x v="0"/>
    <x v="2"/>
    <x v="3"/>
    <x v="2"/>
    <x v="1"/>
    <x v="94"/>
    <x v="6"/>
    <x v="159"/>
    <x v="2"/>
    <x v="0"/>
  </r>
  <r>
    <x v="787"/>
    <x v="145"/>
    <x v="0"/>
    <x v="3"/>
    <x v="0"/>
    <x v="2"/>
    <x v="3"/>
    <x v="3"/>
    <x v="13"/>
    <x v="7"/>
    <x v="2"/>
    <x v="625"/>
    <x v="2"/>
    <x v="0"/>
  </r>
  <r>
    <x v="788"/>
    <x v="145"/>
    <x v="4"/>
    <x v="1"/>
    <x v="1"/>
    <x v="2"/>
    <x v="9"/>
    <x v="8"/>
    <x v="0"/>
    <x v="122"/>
    <x v="3"/>
    <x v="626"/>
    <x v="0"/>
    <x v="4"/>
  </r>
  <r>
    <x v="789"/>
    <x v="146"/>
    <x v="4"/>
    <x v="1"/>
    <x v="1"/>
    <x v="2"/>
    <x v="9"/>
    <x v="8"/>
    <x v="0"/>
    <x v="122"/>
    <x v="5"/>
    <x v="627"/>
    <x v="0"/>
    <x v="4"/>
  </r>
  <r>
    <x v="790"/>
    <x v="146"/>
    <x v="4"/>
    <x v="1"/>
    <x v="0"/>
    <x v="5"/>
    <x v="18"/>
    <x v="8"/>
    <x v="3"/>
    <x v="125"/>
    <x v="2"/>
    <x v="268"/>
    <x v="0"/>
    <x v="4"/>
  </r>
  <r>
    <x v="791"/>
    <x v="146"/>
    <x v="2"/>
    <x v="0"/>
    <x v="0"/>
    <x v="3"/>
    <x v="4"/>
    <x v="11"/>
    <x v="0"/>
    <x v="48"/>
    <x v="2"/>
    <x v="607"/>
    <x v="1"/>
    <x v="2"/>
  </r>
  <r>
    <x v="792"/>
    <x v="146"/>
    <x v="4"/>
    <x v="2"/>
    <x v="1"/>
    <x v="3"/>
    <x v="14"/>
    <x v="8"/>
    <x v="3"/>
    <x v="18"/>
    <x v="1"/>
    <x v="19"/>
    <x v="0"/>
    <x v="4"/>
  </r>
  <r>
    <x v="793"/>
    <x v="147"/>
    <x v="3"/>
    <x v="2"/>
    <x v="0"/>
    <x v="4"/>
    <x v="12"/>
    <x v="12"/>
    <x v="2"/>
    <x v="72"/>
    <x v="4"/>
    <x v="628"/>
    <x v="0"/>
    <x v="3"/>
  </r>
  <r>
    <x v="794"/>
    <x v="147"/>
    <x v="4"/>
    <x v="2"/>
    <x v="0"/>
    <x v="2"/>
    <x v="9"/>
    <x v="14"/>
    <x v="2"/>
    <x v="122"/>
    <x v="2"/>
    <x v="629"/>
    <x v="2"/>
    <x v="4"/>
  </r>
  <r>
    <x v="795"/>
    <x v="147"/>
    <x v="0"/>
    <x v="0"/>
    <x v="1"/>
    <x v="0"/>
    <x v="19"/>
    <x v="3"/>
    <x v="0"/>
    <x v="28"/>
    <x v="6"/>
    <x v="400"/>
    <x v="2"/>
    <x v="0"/>
  </r>
  <r>
    <x v="796"/>
    <x v="147"/>
    <x v="0"/>
    <x v="0"/>
    <x v="1"/>
    <x v="2"/>
    <x v="9"/>
    <x v="0"/>
    <x v="3"/>
    <x v="10"/>
    <x v="1"/>
    <x v="358"/>
    <x v="0"/>
    <x v="0"/>
  </r>
  <r>
    <x v="797"/>
    <x v="147"/>
    <x v="2"/>
    <x v="0"/>
    <x v="0"/>
    <x v="3"/>
    <x v="23"/>
    <x v="11"/>
    <x v="3"/>
    <x v="37"/>
    <x v="6"/>
    <x v="231"/>
    <x v="1"/>
    <x v="2"/>
  </r>
  <r>
    <x v="798"/>
    <x v="147"/>
    <x v="1"/>
    <x v="3"/>
    <x v="1"/>
    <x v="2"/>
    <x v="3"/>
    <x v="1"/>
    <x v="7"/>
    <x v="123"/>
    <x v="2"/>
    <x v="630"/>
    <x v="1"/>
    <x v="1"/>
  </r>
  <r>
    <x v="799"/>
    <x v="148"/>
    <x v="3"/>
    <x v="1"/>
    <x v="1"/>
    <x v="3"/>
    <x v="13"/>
    <x v="6"/>
    <x v="0"/>
    <x v="57"/>
    <x v="5"/>
    <x v="631"/>
    <x v="1"/>
    <x v="3"/>
  </r>
  <r>
    <x v="800"/>
    <x v="148"/>
    <x v="3"/>
    <x v="1"/>
    <x v="0"/>
    <x v="2"/>
    <x v="5"/>
    <x v="12"/>
    <x v="1"/>
    <x v="133"/>
    <x v="1"/>
    <x v="376"/>
    <x v="0"/>
    <x v="3"/>
  </r>
  <r>
    <x v="801"/>
    <x v="148"/>
    <x v="4"/>
    <x v="0"/>
    <x v="0"/>
    <x v="5"/>
    <x v="16"/>
    <x v="14"/>
    <x v="3"/>
    <x v="150"/>
    <x v="3"/>
    <x v="632"/>
    <x v="2"/>
    <x v="4"/>
  </r>
  <r>
    <x v="802"/>
    <x v="148"/>
    <x v="1"/>
    <x v="2"/>
    <x v="1"/>
    <x v="2"/>
    <x v="9"/>
    <x v="1"/>
    <x v="2"/>
    <x v="10"/>
    <x v="5"/>
    <x v="31"/>
    <x v="1"/>
    <x v="1"/>
  </r>
  <r>
    <x v="803"/>
    <x v="149"/>
    <x v="4"/>
    <x v="2"/>
    <x v="1"/>
    <x v="5"/>
    <x v="18"/>
    <x v="10"/>
    <x v="0"/>
    <x v="153"/>
    <x v="2"/>
    <x v="633"/>
    <x v="2"/>
    <x v="4"/>
  </r>
  <r>
    <x v="804"/>
    <x v="149"/>
    <x v="4"/>
    <x v="2"/>
    <x v="0"/>
    <x v="3"/>
    <x v="4"/>
    <x v="14"/>
    <x v="0"/>
    <x v="41"/>
    <x v="5"/>
    <x v="634"/>
    <x v="2"/>
    <x v="4"/>
  </r>
  <r>
    <x v="805"/>
    <x v="149"/>
    <x v="2"/>
    <x v="1"/>
    <x v="0"/>
    <x v="2"/>
    <x v="17"/>
    <x v="5"/>
    <x v="5"/>
    <x v="24"/>
    <x v="0"/>
    <x v="635"/>
    <x v="1"/>
    <x v="2"/>
  </r>
  <r>
    <x v="806"/>
    <x v="149"/>
    <x v="1"/>
    <x v="3"/>
    <x v="0"/>
    <x v="4"/>
    <x v="12"/>
    <x v="4"/>
    <x v="1"/>
    <x v="38"/>
    <x v="4"/>
    <x v="636"/>
    <x v="2"/>
    <x v="1"/>
  </r>
  <r>
    <x v="807"/>
    <x v="149"/>
    <x v="4"/>
    <x v="0"/>
    <x v="0"/>
    <x v="4"/>
    <x v="12"/>
    <x v="8"/>
    <x v="0"/>
    <x v="72"/>
    <x v="6"/>
    <x v="637"/>
    <x v="0"/>
    <x v="4"/>
  </r>
  <r>
    <x v="808"/>
    <x v="149"/>
    <x v="4"/>
    <x v="2"/>
    <x v="0"/>
    <x v="5"/>
    <x v="25"/>
    <x v="8"/>
    <x v="3"/>
    <x v="105"/>
    <x v="0"/>
    <x v="194"/>
    <x v="0"/>
    <x v="4"/>
  </r>
  <r>
    <x v="809"/>
    <x v="149"/>
    <x v="3"/>
    <x v="1"/>
    <x v="1"/>
    <x v="0"/>
    <x v="0"/>
    <x v="12"/>
    <x v="3"/>
    <x v="107"/>
    <x v="1"/>
    <x v="503"/>
    <x v="0"/>
    <x v="3"/>
  </r>
  <r>
    <x v="810"/>
    <x v="150"/>
    <x v="4"/>
    <x v="2"/>
    <x v="1"/>
    <x v="1"/>
    <x v="26"/>
    <x v="8"/>
    <x v="5"/>
    <x v="135"/>
    <x v="4"/>
    <x v="638"/>
    <x v="0"/>
    <x v="4"/>
  </r>
  <r>
    <x v="811"/>
    <x v="150"/>
    <x v="0"/>
    <x v="2"/>
    <x v="1"/>
    <x v="0"/>
    <x v="19"/>
    <x v="3"/>
    <x v="2"/>
    <x v="28"/>
    <x v="0"/>
    <x v="639"/>
    <x v="2"/>
    <x v="0"/>
  </r>
  <r>
    <x v="812"/>
    <x v="150"/>
    <x v="1"/>
    <x v="3"/>
    <x v="0"/>
    <x v="5"/>
    <x v="25"/>
    <x v="1"/>
    <x v="3"/>
    <x v="51"/>
    <x v="3"/>
    <x v="66"/>
    <x v="1"/>
    <x v="1"/>
  </r>
  <r>
    <x v="813"/>
    <x v="150"/>
    <x v="2"/>
    <x v="2"/>
    <x v="0"/>
    <x v="5"/>
    <x v="18"/>
    <x v="5"/>
    <x v="3"/>
    <x v="74"/>
    <x v="4"/>
    <x v="640"/>
    <x v="1"/>
    <x v="2"/>
  </r>
  <r>
    <x v="814"/>
    <x v="150"/>
    <x v="1"/>
    <x v="2"/>
    <x v="0"/>
    <x v="4"/>
    <x v="7"/>
    <x v="1"/>
    <x v="3"/>
    <x v="136"/>
    <x v="5"/>
    <x v="411"/>
    <x v="1"/>
    <x v="1"/>
  </r>
  <r>
    <x v="815"/>
    <x v="150"/>
    <x v="4"/>
    <x v="0"/>
    <x v="0"/>
    <x v="0"/>
    <x v="19"/>
    <x v="10"/>
    <x v="0"/>
    <x v="52"/>
    <x v="5"/>
    <x v="641"/>
    <x v="2"/>
    <x v="4"/>
  </r>
  <r>
    <x v="816"/>
    <x v="150"/>
    <x v="0"/>
    <x v="3"/>
    <x v="0"/>
    <x v="3"/>
    <x v="13"/>
    <x v="2"/>
    <x v="2"/>
    <x v="162"/>
    <x v="1"/>
    <x v="642"/>
    <x v="2"/>
    <x v="0"/>
  </r>
  <r>
    <x v="817"/>
    <x v="150"/>
    <x v="3"/>
    <x v="2"/>
    <x v="0"/>
    <x v="3"/>
    <x v="13"/>
    <x v="9"/>
    <x v="3"/>
    <x v="61"/>
    <x v="6"/>
    <x v="481"/>
    <x v="2"/>
    <x v="3"/>
  </r>
  <r>
    <x v="818"/>
    <x v="151"/>
    <x v="0"/>
    <x v="0"/>
    <x v="0"/>
    <x v="0"/>
    <x v="10"/>
    <x v="2"/>
    <x v="6"/>
    <x v="77"/>
    <x v="0"/>
    <x v="591"/>
    <x v="2"/>
    <x v="0"/>
  </r>
  <r>
    <x v="819"/>
    <x v="151"/>
    <x v="2"/>
    <x v="3"/>
    <x v="0"/>
    <x v="3"/>
    <x v="14"/>
    <x v="11"/>
    <x v="3"/>
    <x v="129"/>
    <x v="6"/>
    <x v="561"/>
    <x v="1"/>
    <x v="2"/>
  </r>
  <r>
    <x v="820"/>
    <x v="151"/>
    <x v="3"/>
    <x v="2"/>
    <x v="0"/>
    <x v="1"/>
    <x v="26"/>
    <x v="9"/>
    <x v="3"/>
    <x v="65"/>
    <x v="0"/>
    <x v="643"/>
    <x v="2"/>
    <x v="3"/>
  </r>
  <r>
    <x v="821"/>
    <x v="151"/>
    <x v="3"/>
    <x v="0"/>
    <x v="0"/>
    <x v="0"/>
    <x v="0"/>
    <x v="12"/>
    <x v="4"/>
    <x v="0"/>
    <x v="4"/>
    <x v="644"/>
    <x v="0"/>
    <x v="3"/>
  </r>
  <r>
    <x v="822"/>
    <x v="151"/>
    <x v="4"/>
    <x v="2"/>
    <x v="1"/>
    <x v="1"/>
    <x v="1"/>
    <x v="10"/>
    <x v="5"/>
    <x v="58"/>
    <x v="3"/>
    <x v="645"/>
    <x v="2"/>
    <x v="4"/>
  </r>
  <r>
    <x v="823"/>
    <x v="151"/>
    <x v="4"/>
    <x v="0"/>
    <x v="0"/>
    <x v="1"/>
    <x v="24"/>
    <x v="10"/>
    <x v="1"/>
    <x v="54"/>
    <x v="2"/>
    <x v="9"/>
    <x v="2"/>
    <x v="4"/>
  </r>
  <r>
    <x v="824"/>
    <x v="152"/>
    <x v="4"/>
    <x v="2"/>
    <x v="0"/>
    <x v="2"/>
    <x v="2"/>
    <x v="14"/>
    <x v="6"/>
    <x v="2"/>
    <x v="4"/>
    <x v="646"/>
    <x v="2"/>
    <x v="4"/>
  </r>
  <r>
    <x v="825"/>
    <x v="152"/>
    <x v="4"/>
    <x v="2"/>
    <x v="0"/>
    <x v="0"/>
    <x v="0"/>
    <x v="14"/>
    <x v="3"/>
    <x v="115"/>
    <x v="6"/>
    <x v="241"/>
    <x v="2"/>
    <x v="4"/>
  </r>
  <r>
    <x v="826"/>
    <x v="152"/>
    <x v="3"/>
    <x v="2"/>
    <x v="0"/>
    <x v="2"/>
    <x v="8"/>
    <x v="6"/>
    <x v="5"/>
    <x v="45"/>
    <x v="2"/>
    <x v="647"/>
    <x v="1"/>
    <x v="3"/>
  </r>
  <r>
    <x v="827"/>
    <x v="152"/>
    <x v="4"/>
    <x v="0"/>
    <x v="0"/>
    <x v="0"/>
    <x v="0"/>
    <x v="8"/>
    <x v="2"/>
    <x v="50"/>
    <x v="6"/>
    <x v="648"/>
    <x v="0"/>
    <x v="4"/>
  </r>
  <r>
    <x v="828"/>
    <x v="152"/>
    <x v="3"/>
    <x v="1"/>
    <x v="1"/>
    <x v="1"/>
    <x v="20"/>
    <x v="9"/>
    <x v="0"/>
    <x v="114"/>
    <x v="5"/>
    <x v="649"/>
    <x v="2"/>
    <x v="3"/>
  </r>
  <r>
    <x v="829"/>
    <x v="152"/>
    <x v="0"/>
    <x v="0"/>
    <x v="0"/>
    <x v="2"/>
    <x v="2"/>
    <x v="0"/>
    <x v="0"/>
    <x v="112"/>
    <x v="1"/>
    <x v="650"/>
    <x v="0"/>
    <x v="0"/>
  </r>
  <r>
    <x v="830"/>
    <x v="152"/>
    <x v="0"/>
    <x v="1"/>
    <x v="0"/>
    <x v="0"/>
    <x v="0"/>
    <x v="0"/>
    <x v="3"/>
    <x v="26"/>
    <x v="2"/>
    <x v="317"/>
    <x v="0"/>
    <x v="0"/>
  </r>
  <r>
    <x v="831"/>
    <x v="153"/>
    <x v="0"/>
    <x v="0"/>
    <x v="0"/>
    <x v="3"/>
    <x v="4"/>
    <x v="3"/>
    <x v="0"/>
    <x v="41"/>
    <x v="1"/>
    <x v="651"/>
    <x v="2"/>
    <x v="0"/>
  </r>
  <r>
    <x v="832"/>
    <x v="153"/>
    <x v="4"/>
    <x v="0"/>
    <x v="1"/>
    <x v="2"/>
    <x v="9"/>
    <x v="10"/>
    <x v="3"/>
    <x v="11"/>
    <x v="0"/>
    <x v="652"/>
    <x v="2"/>
    <x v="4"/>
  </r>
  <r>
    <x v="833"/>
    <x v="153"/>
    <x v="4"/>
    <x v="2"/>
    <x v="0"/>
    <x v="5"/>
    <x v="18"/>
    <x v="8"/>
    <x v="0"/>
    <x v="75"/>
    <x v="2"/>
    <x v="653"/>
    <x v="0"/>
    <x v="4"/>
  </r>
  <r>
    <x v="834"/>
    <x v="153"/>
    <x v="4"/>
    <x v="0"/>
    <x v="0"/>
    <x v="2"/>
    <x v="8"/>
    <x v="14"/>
    <x v="0"/>
    <x v="99"/>
    <x v="1"/>
    <x v="654"/>
    <x v="2"/>
    <x v="4"/>
  </r>
  <r>
    <x v="835"/>
    <x v="154"/>
    <x v="4"/>
    <x v="2"/>
    <x v="1"/>
    <x v="2"/>
    <x v="3"/>
    <x v="8"/>
    <x v="3"/>
    <x v="94"/>
    <x v="3"/>
    <x v="655"/>
    <x v="0"/>
    <x v="4"/>
  </r>
  <r>
    <x v="836"/>
    <x v="154"/>
    <x v="3"/>
    <x v="2"/>
    <x v="0"/>
    <x v="5"/>
    <x v="21"/>
    <x v="6"/>
    <x v="0"/>
    <x v="163"/>
    <x v="2"/>
    <x v="656"/>
    <x v="1"/>
    <x v="3"/>
  </r>
  <r>
    <x v="837"/>
    <x v="154"/>
    <x v="2"/>
    <x v="1"/>
    <x v="0"/>
    <x v="3"/>
    <x v="14"/>
    <x v="11"/>
    <x v="3"/>
    <x v="18"/>
    <x v="5"/>
    <x v="622"/>
    <x v="1"/>
    <x v="2"/>
  </r>
  <r>
    <x v="838"/>
    <x v="154"/>
    <x v="2"/>
    <x v="1"/>
    <x v="0"/>
    <x v="5"/>
    <x v="16"/>
    <x v="5"/>
    <x v="0"/>
    <x v="91"/>
    <x v="3"/>
    <x v="657"/>
    <x v="1"/>
    <x v="2"/>
  </r>
  <r>
    <x v="839"/>
    <x v="155"/>
    <x v="3"/>
    <x v="2"/>
    <x v="0"/>
    <x v="1"/>
    <x v="20"/>
    <x v="9"/>
    <x v="4"/>
    <x v="31"/>
    <x v="5"/>
    <x v="658"/>
    <x v="2"/>
    <x v="3"/>
  </r>
  <r>
    <x v="840"/>
    <x v="155"/>
    <x v="3"/>
    <x v="3"/>
    <x v="0"/>
    <x v="0"/>
    <x v="10"/>
    <x v="6"/>
    <x v="2"/>
    <x v="77"/>
    <x v="0"/>
    <x v="659"/>
    <x v="1"/>
    <x v="3"/>
  </r>
  <r>
    <x v="841"/>
    <x v="155"/>
    <x v="4"/>
    <x v="1"/>
    <x v="0"/>
    <x v="3"/>
    <x v="13"/>
    <x v="8"/>
    <x v="5"/>
    <x v="15"/>
    <x v="0"/>
    <x v="660"/>
    <x v="0"/>
    <x v="4"/>
  </r>
  <r>
    <x v="842"/>
    <x v="155"/>
    <x v="3"/>
    <x v="0"/>
    <x v="1"/>
    <x v="1"/>
    <x v="26"/>
    <x v="12"/>
    <x v="6"/>
    <x v="65"/>
    <x v="2"/>
    <x v="661"/>
    <x v="0"/>
    <x v="3"/>
  </r>
  <r>
    <x v="843"/>
    <x v="155"/>
    <x v="0"/>
    <x v="0"/>
    <x v="1"/>
    <x v="3"/>
    <x v="13"/>
    <x v="2"/>
    <x v="3"/>
    <x v="15"/>
    <x v="4"/>
    <x v="662"/>
    <x v="2"/>
    <x v="0"/>
  </r>
  <r>
    <x v="844"/>
    <x v="155"/>
    <x v="0"/>
    <x v="0"/>
    <x v="0"/>
    <x v="2"/>
    <x v="8"/>
    <x v="3"/>
    <x v="6"/>
    <x v="9"/>
    <x v="0"/>
    <x v="63"/>
    <x v="2"/>
    <x v="0"/>
  </r>
  <r>
    <x v="845"/>
    <x v="155"/>
    <x v="4"/>
    <x v="0"/>
    <x v="0"/>
    <x v="3"/>
    <x v="13"/>
    <x v="14"/>
    <x v="0"/>
    <x v="57"/>
    <x v="1"/>
    <x v="663"/>
    <x v="2"/>
    <x v="4"/>
  </r>
  <r>
    <x v="846"/>
    <x v="155"/>
    <x v="1"/>
    <x v="1"/>
    <x v="0"/>
    <x v="0"/>
    <x v="10"/>
    <x v="13"/>
    <x v="2"/>
    <x v="17"/>
    <x v="3"/>
    <x v="664"/>
    <x v="0"/>
    <x v="1"/>
  </r>
  <r>
    <x v="847"/>
    <x v="156"/>
    <x v="3"/>
    <x v="2"/>
    <x v="0"/>
    <x v="0"/>
    <x v="19"/>
    <x v="12"/>
    <x v="3"/>
    <x v="52"/>
    <x v="2"/>
    <x v="665"/>
    <x v="0"/>
    <x v="3"/>
  </r>
  <r>
    <x v="848"/>
    <x v="156"/>
    <x v="0"/>
    <x v="1"/>
    <x v="1"/>
    <x v="0"/>
    <x v="10"/>
    <x v="0"/>
    <x v="0"/>
    <x v="17"/>
    <x v="1"/>
    <x v="241"/>
    <x v="0"/>
    <x v="0"/>
  </r>
  <r>
    <x v="849"/>
    <x v="156"/>
    <x v="4"/>
    <x v="0"/>
    <x v="0"/>
    <x v="3"/>
    <x v="4"/>
    <x v="8"/>
    <x v="1"/>
    <x v="81"/>
    <x v="3"/>
    <x v="666"/>
    <x v="0"/>
    <x v="4"/>
  </r>
  <r>
    <x v="850"/>
    <x v="156"/>
    <x v="1"/>
    <x v="3"/>
    <x v="1"/>
    <x v="5"/>
    <x v="15"/>
    <x v="1"/>
    <x v="3"/>
    <x v="70"/>
    <x v="4"/>
    <x v="667"/>
    <x v="1"/>
    <x v="1"/>
  </r>
  <r>
    <x v="851"/>
    <x v="156"/>
    <x v="0"/>
    <x v="0"/>
    <x v="0"/>
    <x v="2"/>
    <x v="17"/>
    <x v="0"/>
    <x v="5"/>
    <x v="24"/>
    <x v="5"/>
    <x v="668"/>
    <x v="0"/>
    <x v="0"/>
  </r>
  <r>
    <x v="852"/>
    <x v="156"/>
    <x v="3"/>
    <x v="0"/>
    <x v="0"/>
    <x v="3"/>
    <x v="13"/>
    <x v="12"/>
    <x v="3"/>
    <x v="53"/>
    <x v="3"/>
    <x v="669"/>
    <x v="0"/>
    <x v="3"/>
  </r>
  <r>
    <x v="853"/>
    <x v="156"/>
    <x v="2"/>
    <x v="1"/>
    <x v="1"/>
    <x v="0"/>
    <x v="19"/>
    <x v="7"/>
    <x v="1"/>
    <x v="28"/>
    <x v="2"/>
    <x v="508"/>
    <x v="3"/>
    <x v="2"/>
  </r>
  <r>
    <x v="854"/>
    <x v="156"/>
    <x v="0"/>
    <x v="1"/>
    <x v="1"/>
    <x v="3"/>
    <x v="4"/>
    <x v="0"/>
    <x v="0"/>
    <x v="41"/>
    <x v="0"/>
    <x v="508"/>
    <x v="0"/>
    <x v="0"/>
  </r>
  <r>
    <x v="855"/>
    <x v="157"/>
    <x v="1"/>
    <x v="3"/>
    <x v="0"/>
    <x v="5"/>
    <x v="21"/>
    <x v="1"/>
    <x v="3"/>
    <x v="141"/>
    <x v="5"/>
    <x v="670"/>
    <x v="1"/>
    <x v="1"/>
  </r>
  <r>
    <x v="856"/>
    <x v="157"/>
    <x v="3"/>
    <x v="0"/>
    <x v="0"/>
    <x v="5"/>
    <x v="25"/>
    <x v="6"/>
    <x v="3"/>
    <x v="101"/>
    <x v="5"/>
    <x v="177"/>
    <x v="1"/>
    <x v="3"/>
  </r>
  <r>
    <x v="857"/>
    <x v="157"/>
    <x v="4"/>
    <x v="3"/>
    <x v="1"/>
    <x v="2"/>
    <x v="2"/>
    <x v="14"/>
    <x v="5"/>
    <x v="157"/>
    <x v="2"/>
    <x v="671"/>
    <x v="2"/>
    <x v="4"/>
  </r>
  <r>
    <x v="858"/>
    <x v="157"/>
    <x v="0"/>
    <x v="0"/>
    <x v="0"/>
    <x v="2"/>
    <x v="2"/>
    <x v="2"/>
    <x v="0"/>
    <x v="120"/>
    <x v="0"/>
    <x v="672"/>
    <x v="2"/>
    <x v="0"/>
  </r>
  <r>
    <x v="859"/>
    <x v="158"/>
    <x v="3"/>
    <x v="1"/>
    <x v="0"/>
    <x v="4"/>
    <x v="7"/>
    <x v="12"/>
    <x v="2"/>
    <x v="34"/>
    <x v="0"/>
    <x v="673"/>
    <x v="0"/>
    <x v="3"/>
  </r>
  <r>
    <x v="860"/>
    <x v="158"/>
    <x v="4"/>
    <x v="1"/>
    <x v="1"/>
    <x v="2"/>
    <x v="3"/>
    <x v="10"/>
    <x v="0"/>
    <x v="3"/>
    <x v="1"/>
    <x v="674"/>
    <x v="2"/>
    <x v="4"/>
  </r>
  <r>
    <x v="861"/>
    <x v="158"/>
    <x v="0"/>
    <x v="0"/>
    <x v="0"/>
    <x v="5"/>
    <x v="18"/>
    <x v="0"/>
    <x v="3"/>
    <x v="27"/>
    <x v="1"/>
    <x v="120"/>
    <x v="0"/>
    <x v="0"/>
  </r>
  <r>
    <x v="862"/>
    <x v="158"/>
    <x v="0"/>
    <x v="0"/>
    <x v="0"/>
    <x v="2"/>
    <x v="3"/>
    <x v="2"/>
    <x v="3"/>
    <x v="7"/>
    <x v="0"/>
    <x v="28"/>
    <x v="2"/>
    <x v="0"/>
  </r>
  <r>
    <x v="863"/>
    <x v="158"/>
    <x v="0"/>
    <x v="2"/>
    <x v="1"/>
    <x v="3"/>
    <x v="14"/>
    <x v="2"/>
    <x v="1"/>
    <x v="144"/>
    <x v="2"/>
    <x v="675"/>
    <x v="2"/>
    <x v="0"/>
  </r>
  <r>
    <x v="864"/>
    <x v="158"/>
    <x v="2"/>
    <x v="1"/>
    <x v="0"/>
    <x v="0"/>
    <x v="19"/>
    <x v="5"/>
    <x v="3"/>
    <x v="28"/>
    <x v="2"/>
    <x v="676"/>
    <x v="1"/>
    <x v="2"/>
  </r>
  <r>
    <x v="865"/>
    <x v="158"/>
    <x v="2"/>
    <x v="3"/>
    <x v="0"/>
    <x v="3"/>
    <x v="14"/>
    <x v="7"/>
    <x v="0"/>
    <x v="129"/>
    <x v="2"/>
    <x v="297"/>
    <x v="3"/>
    <x v="2"/>
  </r>
  <r>
    <x v="866"/>
    <x v="158"/>
    <x v="3"/>
    <x v="1"/>
    <x v="1"/>
    <x v="0"/>
    <x v="0"/>
    <x v="6"/>
    <x v="5"/>
    <x v="50"/>
    <x v="6"/>
    <x v="677"/>
    <x v="1"/>
    <x v="3"/>
  </r>
  <r>
    <x v="867"/>
    <x v="159"/>
    <x v="1"/>
    <x v="0"/>
    <x v="0"/>
    <x v="0"/>
    <x v="10"/>
    <x v="13"/>
    <x v="0"/>
    <x v="17"/>
    <x v="2"/>
    <x v="678"/>
    <x v="0"/>
    <x v="1"/>
  </r>
  <r>
    <x v="868"/>
    <x v="160"/>
    <x v="3"/>
    <x v="1"/>
    <x v="0"/>
    <x v="3"/>
    <x v="4"/>
    <x v="6"/>
    <x v="0"/>
    <x v="41"/>
    <x v="1"/>
    <x v="651"/>
    <x v="1"/>
    <x v="3"/>
  </r>
  <r>
    <x v="869"/>
    <x v="160"/>
    <x v="1"/>
    <x v="0"/>
    <x v="1"/>
    <x v="5"/>
    <x v="21"/>
    <x v="13"/>
    <x v="3"/>
    <x v="163"/>
    <x v="1"/>
    <x v="537"/>
    <x v="0"/>
    <x v="1"/>
  </r>
  <r>
    <x v="870"/>
    <x v="160"/>
    <x v="3"/>
    <x v="0"/>
    <x v="1"/>
    <x v="1"/>
    <x v="24"/>
    <x v="9"/>
    <x v="0"/>
    <x v="54"/>
    <x v="4"/>
    <x v="385"/>
    <x v="2"/>
    <x v="3"/>
  </r>
  <r>
    <x v="871"/>
    <x v="160"/>
    <x v="3"/>
    <x v="0"/>
    <x v="1"/>
    <x v="1"/>
    <x v="22"/>
    <x v="9"/>
    <x v="1"/>
    <x v="156"/>
    <x v="3"/>
    <x v="679"/>
    <x v="2"/>
    <x v="3"/>
  </r>
  <r>
    <x v="872"/>
    <x v="161"/>
    <x v="1"/>
    <x v="3"/>
    <x v="1"/>
    <x v="3"/>
    <x v="14"/>
    <x v="4"/>
    <x v="0"/>
    <x v="129"/>
    <x v="6"/>
    <x v="680"/>
    <x v="2"/>
    <x v="1"/>
  </r>
  <r>
    <x v="873"/>
    <x v="161"/>
    <x v="4"/>
    <x v="0"/>
    <x v="1"/>
    <x v="0"/>
    <x v="27"/>
    <x v="8"/>
    <x v="0"/>
    <x v="85"/>
    <x v="1"/>
    <x v="681"/>
    <x v="0"/>
    <x v="4"/>
  </r>
  <r>
    <x v="874"/>
    <x v="161"/>
    <x v="4"/>
    <x v="1"/>
    <x v="0"/>
    <x v="4"/>
    <x v="12"/>
    <x v="10"/>
    <x v="0"/>
    <x v="39"/>
    <x v="0"/>
    <x v="682"/>
    <x v="2"/>
    <x v="4"/>
  </r>
  <r>
    <x v="875"/>
    <x v="161"/>
    <x v="0"/>
    <x v="3"/>
    <x v="0"/>
    <x v="0"/>
    <x v="27"/>
    <x v="2"/>
    <x v="10"/>
    <x v="69"/>
    <x v="1"/>
    <x v="632"/>
    <x v="2"/>
    <x v="0"/>
  </r>
  <r>
    <x v="876"/>
    <x v="161"/>
    <x v="4"/>
    <x v="3"/>
    <x v="0"/>
    <x v="3"/>
    <x v="23"/>
    <x v="8"/>
    <x v="3"/>
    <x v="98"/>
    <x v="2"/>
    <x v="683"/>
    <x v="0"/>
    <x v="4"/>
  </r>
  <r>
    <x v="877"/>
    <x v="161"/>
    <x v="4"/>
    <x v="0"/>
    <x v="0"/>
    <x v="3"/>
    <x v="13"/>
    <x v="14"/>
    <x v="0"/>
    <x v="15"/>
    <x v="5"/>
    <x v="58"/>
    <x v="2"/>
    <x v="4"/>
  </r>
  <r>
    <x v="878"/>
    <x v="161"/>
    <x v="1"/>
    <x v="0"/>
    <x v="0"/>
    <x v="3"/>
    <x v="13"/>
    <x v="1"/>
    <x v="3"/>
    <x v="57"/>
    <x v="5"/>
    <x v="684"/>
    <x v="1"/>
    <x v="1"/>
  </r>
  <r>
    <x v="879"/>
    <x v="161"/>
    <x v="0"/>
    <x v="0"/>
    <x v="0"/>
    <x v="1"/>
    <x v="20"/>
    <x v="2"/>
    <x v="2"/>
    <x v="160"/>
    <x v="2"/>
    <x v="424"/>
    <x v="2"/>
    <x v="0"/>
  </r>
  <r>
    <x v="880"/>
    <x v="161"/>
    <x v="2"/>
    <x v="0"/>
    <x v="1"/>
    <x v="5"/>
    <x v="25"/>
    <x v="5"/>
    <x v="2"/>
    <x v="101"/>
    <x v="4"/>
    <x v="685"/>
    <x v="1"/>
    <x v="2"/>
  </r>
  <r>
    <x v="881"/>
    <x v="161"/>
    <x v="1"/>
    <x v="1"/>
    <x v="1"/>
    <x v="0"/>
    <x v="19"/>
    <x v="1"/>
    <x v="2"/>
    <x v="52"/>
    <x v="1"/>
    <x v="686"/>
    <x v="1"/>
    <x v="1"/>
  </r>
  <r>
    <x v="882"/>
    <x v="162"/>
    <x v="4"/>
    <x v="1"/>
    <x v="0"/>
    <x v="4"/>
    <x v="7"/>
    <x v="8"/>
    <x v="5"/>
    <x v="116"/>
    <x v="5"/>
    <x v="687"/>
    <x v="0"/>
    <x v="4"/>
  </r>
  <r>
    <x v="883"/>
    <x v="162"/>
    <x v="0"/>
    <x v="1"/>
    <x v="0"/>
    <x v="3"/>
    <x v="4"/>
    <x v="2"/>
    <x v="5"/>
    <x v="68"/>
    <x v="1"/>
    <x v="688"/>
    <x v="2"/>
    <x v="0"/>
  </r>
  <r>
    <x v="884"/>
    <x v="162"/>
    <x v="3"/>
    <x v="0"/>
    <x v="0"/>
    <x v="2"/>
    <x v="9"/>
    <x v="6"/>
    <x v="3"/>
    <x v="10"/>
    <x v="4"/>
    <x v="612"/>
    <x v="1"/>
    <x v="3"/>
  </r>
  <r>
    <x v="885"/>
    <x v="162"/>
    <x v="1"/>
    <x v="0"/>
    <x v="0"/>
    <x v="4"/>
    <x v="12"/>
    <x v="1"/>
    <x v="6"/>
    <x v="14"/>
    <x v="5"/>
    <x v="689"/>
    <x v="1"/>
    <x v="1"/>
  </r>
  <r>
    <x v="886"/>
    <x v="163"/>
    <x v="2"/>
    <x v="2"/>
    <x v="1"/>
    <x v="2"/>
    <x v="8"/>
    <x v="7"/>
    <x v="0"/>
    <x v="99"/>
    <x v="2"/>
    <x v="690"/>
    <x v="3"/>
    <x v="2"/>
  </r>
  <r>
    <x v="887"/>
    <x v="163"/>
    <x v="4"/>
    <x v="2"/>
    <x v="0"/>
    <x v="1"/>
    <x v="22"/>
    <x v="8"/>
    <x v="0"/>
    <x v="36"/>
    <x v="4"/>
    <x v="691"/>
    <x v="0"/>
    <x v="4"/>
  </r>
  <r>
    <x v="888"/>
    <x v="163"/>
    <x v="1"/>
    <x v="0"/>
    <x v="0"/>
    <x v="0"/>
    <x v="27"/>
    <x v="4"/>
    <x v="3"/>
    <x v="69"/>
    <x v="5"/>
    <x v="543"/>
    <x v="2"/>
    <x v="1"/>
  </r>
  <r>
    <x v="889"/>
    <x v="163"/>
    <x v="4"/>
    <x v="1"/>
    <x v="1"/>
    <x v="4"/>
    <x v="11"/>
    <x v="8"/>
    <x v="3"/>
    <x v="83"/>
    <x v="5"/>
    <x v="692"/>
    <x v="0"/>
    <x v="4"/>
  </r>
  <r>
    <x v="890"/>
    <x v="163"/>
    <x v="1"/>
    <x v="1"/>
    <x v="0"/>
    <x v="1"/>
    <x v="22"/>
    <x v="13"/>
    <x v="1"/>
    <x v="64"/>
    <x v="4"/>
    <x v="693"/>
    <x v="0"/>
    <x v="1"/>
  </r>
  <r>
    <x v="891"/>
    <x v="163"/>
    <x v="0"/>
    <x v="3"/>
    <x v="0"/>
    <x v="0"/>
    <x v="0"/>
    <x v="0"/>
    <x v="13"/>
    <x v="50"/>
    <x v="1"/>
    <x v="694"/>
    <x v="0"/>
    <x v="0"/>
  </r>
  <r>
    <x v="892"/>
    <x v="163"/>
    <x v="0"/>
    <x v="3"/>
    <x v="1"/>
    <x v="0"/>
    <x v="19"/>
    <x v="2"/>
    <x v="4"/>
    <x v="28"/>
    <x v="2"/>
    <x v="695"/>
    <x v="2"/>
    <x v="0"/>
  </r>
  <r>
    <x v="893"/>
    <x v="164"/>
    <x v="4"/>
    <x v="3"/>
    <x v="0"/>
    <x v="5"/>
    <x v="16"/>
    <x v="10"/>
    <x v="3"/>
    <x v="67"/>
    <x v="4"/>
    <x v="696"/>
    <x v="2"/>
    <x v="4"/>
  </r>
  <r>
    <x v="894"/>
    <x v="164"/>
    <x v="2"/>
    <x v="3"/>
    <x v="0"/>
    <x v="0"/>
    <x v="10"/>
    <x v="11"/>
    <x v="2"/>
    <x v="109"/>
    <x v="6"/>
    <x v="697"/>
    <x v="1"/>
    <x v="2"/>
  </r>
  <r>
    <x v="895"/>
    <x v="164"/>
    <x v="0"/>
    <x v="0"/>
    <x v="1"/>
    <x v="3"/>
    <x v="4"/>
    <x v="0"/>
    <x v="3"/>
    <x v="48"/>
    <x v="2"/>
    <x v="698"/>
    <x v="0"/>
    <x v="0"/>
  </r>
  <r>
    <x v="896"/>
    <x v="164"/>
    <x v="0"/>
    <x v="3"/>
    <x v="0"/>
    <x v="5"/>
    <x v="25"/>
    <x v="0"/>
    <x v="3"/>
    <x v="101"/>
    <x v="1"/>
    <x v="442"/>
    <x v="0"/>
    <x v="0"/>
  </r>
  <r>
    <x v="897"/>
    <x v="164"/>
    <x v="4"/>
    <x v="1"/>
    <x v="1"/>
    <x v="1"/>
    <x v="24"/>
    <x v="8"/>
    <x v="3"/>
    <x v="63"/>
    <x v="5"/>
    <x v="699"/>
    <x v="0"/>
    <x v="4"/>
  </r>
  <r>
    <x v="898"/>
    <x v="164"/>
    <x v="4"/>
    <x v="2"/>
    <x v="0"/>
    <x v="3"/>
    <x v="23"/>
    <x v="8"/>
    <x v="0"/>
    <x v="90"/>
    <x v="5"/>
    <x v="700"/>
    <x v="0"/>
    <x v="4"/>
  </r>
  <r>
    <x v="899"/>
    <x v="164"/>
    <x v="4"/>
    <x v="0"/>
    <x v="0"/>
    <x v="1"/>
    <x v="26"/>
    <x v="14"/>
    <x v="3"/>
    <x v="135"/>
    <x v="0"/>
    <x v="701"/>
    <x v="2"/>
    <x v="4"/>
  </r>
  <r>
    <x v="900"/>
    <x v="165"/>
    <x v="1"/>
    <x v="1"/>
    <x v="0"/>
    <x v="1"/>
    <x v="24"/>
    <x v="1"/>
    <x v="0"/>
    <x v="159"/>
    <x v="2"/>
    <x v="702"/>
    <x v="1"/>
    <x v="1"/>
  </r>
  <r>
    <x v="901"/>
    <x v="165"/>
    <x v="3"/>
    <x v="2"/>
    <x v="0"/>
    <x v="1"/>
    <x v="26"/>
    <x v="12"/>
    <x v="3"/>
    <x v="65"/>
    <x v="4"/>
    <x v="703"/>
    <x v="0"/>
    <x v="3"/>
  </r>
  <r>
    <x v="902"/>
    <x v="165"/>
    <x v="3"/>
    <x v="0"/>
    <x v="0"/>
    <x v="4"/>
    <x v="12"/>
    <x v="6"/>
    <x v="2"/>
    <x v="14"/>
    <x v="3"/>
    <x v="704"/>
    <x v="1"/>
    <x v="3"/>
  </r>
  <r>
    <x v="903"/>
    <x v="165"/>
    <x v="1"/>
    <x v="0"/>
    <x v="0"/>
    <x v="1"/>
    <x v="20"/>
    <x v="13"/>
    <x v="3"/>
    <x v="59"/>
    <x v="3"/>
    <x v="705"/>
    <x v="0"/>
    <x v="1"/>
  </r>
  <r>
    <x v="904"/>
    <x v="165"/>
    <x v="0"/>
    <x v="0"/>
    <x v="1"/>
    <x v="3"/>
    <x v="23"/>
    <x v="3"/>
    <x v="3"/>
    <x v="90"/>
    <x v="2"/>
    <x v="706"/>
    <x v="2"/>
    <x v="0"/>
  </r>
  <r>
    <x v="905"/>
    <x v="165"/>
    <x v="1"/>
    <x v="0"/>
    <x v="0"/>
    <x v="0"/>
    <x v="10"/>
    <x v="4"/>
    <x v="5"/>
    <x v="17"/>
    <x v="1"/>
    <x v="553"/>
    <x v="2"/>
    <x v="1"/>
  </r>
  <r>
    <x v="906"/>
    <x v="165"/>
    <x v="0"/>
    <x v="0"/>
    <x v="0"/>
    <x v="5"/>
    <x v="18"/>
    <x v="3"/>
    <x v="3"/>
    <x v="139"/>
    <x v="4"/>
    <x v="483"/>
    <x v="2"/>
    <x v="0"/>
  </r>
  <r>
    <x v="907"/>
    <x v="166"/>
    <x v="2"/>
    <x v="0"/>
    <x v="0"/>
    <x v="2"/>
    <x v="17"/>
    <x v="11"/>
    <x v="2"/>
    <x v="24"/>
    <x v="0"/>
    <x v="353"/>
    <x v="1"/>
    <x v="2"/>
  </r>
  <r>
    <x v="908"/>
    <x v="166"/>
    <x v="0"/>
    <x v="3"/>
    <x v="0"/>
    <x v="2"/>
    <x v="8"/>
    <x v="2"/>
    <x v="10"/>
    <x v="56"/>
    <x v="4"/>
    <x v="707"/>
    <x v="2"/>
    <x v="0"/>
  </r>
  <r>
    <x v="909"/>
    <x v="166"/>
    <x v="1"/>
    <x v="0"/>
    <x v="1"/>
    <x v="3"/>
    <x v="13"/>
    <x v="1"/>
    <x v="3"/>
    <x v="61"/>
    <x v="6"/>
    <x v="481"/>
    <x v="1"/>
    <x v="1"/>
  </r>
  <r>
    <x v="910"/>
    <x v="166"/>
    <x v="0"/>
    <x v="0"/>
    <x v="0"/>
    <x v="0"/>
    <x v="0"/>
    <x v="3"/>
    <x v="3"/>
    <x v="107"/>
    <x v="6"/>
    <x v="203"/>
    <x v="2"/>
    <x v="0"/>
  </r>
  <r>
    <x v="911"/>
    <x v="166"/>
    <x v="4"/>
    <x v="2"/>
    <x v="1"/>
    <x v="0"/>
    <x v="10"/>
    <x v="8"/>
    <x v="3"/>
    <x v="55"/>
    <x v="5"/>
    <x v="708"/>
    <x v="0"/>
    <x v="4"/>
  </r>
  <r>
    <x v="912"/>
    <x v="166"/>
    <x v="0"/>
    <x v="1"/>
    <x v="0"/>
    <x v="2"/>
    <x v="8"/>
    <x v="3"/>
    <x v="1"/>
    <x v="45"/>
    <x v="3"/>
    <x v="289"/>
    <x v="2"/>
    <x v="0"/>
  </r>
  <r>
    <x v="913"/>
    <x v="166"/>
    <x v="1"/>
    <x v="0"/>
    <x v="0"/>
    <x v="3"/>
    <x v="14"/>
    <x v="1"/>
    <x v="0"/>
    <x v="124"/>
    <x v="5"/>
    <x v="709"/>
    <x v="1"/>
    <x v="1"/>
  </r>
  <r>
    <x v="914"/>
    <x v="166"/>
    <x v="4"/>
    <x v="3"/>
    <x v="0"/>
    <x v="3"/>
    <x v="13"/>
    <x v="10"/>
    <x v="3"/>
    <x v="57"/>
    <x v="2"/>
    <x v="710"/>
    <x v="2"/>
    <x v="4"/>
  </r>
  <r>
    <x v="915"/>
    <x v="166"/>
    <x v="3"/>
    <x v="1"/>
    <x v="0"/>
    <x v="2"/>
    <x v="17"/>
    <x v="9"/>
    <x v="6"/>
    <x v="24"/>
    <x v="6"/>
    <x v="711"/>
    <x v="2"/>
    <x v="3"/>
  </r>
  <r>
    <x v="916"/>
    <x v="166"/>
    <x v="3"/>
    <x v="0"/>
    <x v="1"/>
    <x v="2"/>
    <x v="3"/>
    <x v="6"/>
    <x v="3"/>
    <x v="92"/>
    <x v="5"/>
    <x v="498"/>
    <x v="1"/>
    <x v="3"/>
  </r>
  <r>
    <x v="917"/>
    <x v="166"/>
    <x v="0"/>
    <x v="3"/>
    <x v="1"/>
    <x v="0"/>
    <x v="10"/>
    <x v="0"/>
    <x v="0"/>
    <x v="77"/>
    <x v="5"/>
    <x v="712"/>
    <x v="0"/>
    <x v="0"/>
  </r>
  <r>
    <x v="918"/>
    <x v="167"/>
    <x v="0"/>
    <x v="0"/>
    <x v="0"/>
    <x v="5"/>
    <x v="16"/>
    <x v="0"/>
    <x v="3"/>
    <x v="67"/>
    <x v="1"/>
    <x v="345"/>
    <x v="0"/>
    <x v="0"/>
  </r>
  <r>
    <x v="919"/>
    <x v="167"/>
    <x v="0"/>
    <x v="0"/>
    <x v="0"/>
    <x v="0"/>
    <x v="0"/>
    <x v="0"/>
    <x v="6"/>
    <x v="50"/>
    <x v="4"/>
    <x v="713"/>
    <x v="0"/>
    <x v="0"/>
  </r>
  <r>
    <x v="920"/>
    <x v="167"/>
    <x v="0"/>
    <x v="0"/>
    <x v="0"/>
    <x v="5"/>
    <x v="21"/>
    <x v="3"/>
    <x v="3"/>
    <x v="35"/>
    <x v="1"/>
    <x v="714"/>
    <x v="2"/>
    <x v="0"/>
  </r>
  <r>
    <x v="921"/>
    <x v="167"/>
    <x v="3"/>
    <x v="3"/>
    <x v="0"/>
    <x v="5"/>
    <x v="16"/>
    <x v="9"/>
    <x v="3"/>
    <x v="67"/>
    <x v="1"/>
    <x v="345"/>
    <x v="2"/>
    <x v="3"/>
  </r>
  <r>
    <x v="922"/>
    <x v="167"/>
    <x v="2"/>
    <x v="0"/>
    <x v="1"/>
    <x v="2"/>
    <x v="3"/>
    <x v="5"/>
    <x v="3"/>
    <x v="92"/>
    <x v="0"/>
    <x v="715"/>
    <x v="1"/>
    <x v="2"/>
  </r>
  <r>
    <x v="923"/>
    <x v="168"/>
    <x v="4"/>
    <x v="3"/>
    <x v="1"/>
    <x v="5"/>
    <x v="15"/>
    <x v="14"/>
    <x v="3"/>
    <x v="25"/>
    <x v="3"/>
    <x v="716"/>
    <x v="2"/>
    <x v="4"/>
  </r>
  <r>
    <x v="924"/>
    <x v="168"/>
    <x v="1"/>
    <x v="0"/>
    <x v="0"/>
    <x v="0"/>
    <x v="10"/>
    <x v="4"/>
    <x v="2"/>
    <x v="88"/>
    <x v="0"/>
    <x v="717"/>
    <x v="2"/>
    <x v="1"/>
  </r>
  <r>
    <x v="925"/>
    <x v="168"/>
    <x v="3"/>
    <x v="3"/>
    <x v="0"/>
    <x v="5"/>
    <x v="15"/>
    <x v="6"/>
    <x v="3"/>
    <x v="20"/>
    <x v="2"/>
    <x v="21"/>
    <x v="1"/>
    <x v="3"/>
  </r>
  <r>
    <x v="926"/>
    <x v="168"/>
    <x v="0"/>
    <x v="1"/>
    <x v="0"/>
    <x v="2"/>
    <x v="2"/>
    <x v="3"/>
    <x v="6"/>
    <x v="112"/>
    <x v="2"/>
    <x v="718"/>
    <x v="2"/>
    <x v="0"/>
  </r>
  <r>
    <x v="927"/>
    <x v="168"/>
    <x v="3"/>
    <x v="2"/>
    <x v="0"/>
    <x v="3"/>
    <x v="13"/>
    <x v="9"/>
    <x v="2"/>
    <x v="53"/>
    <x v="4"/>
    <x v="719"/>
    <x v="2"/>
    <x v="3"/>
  </r>
  <r>
    <x v="928"/>
    <x v="168"/>
    <x v="3"/>
    <x v="0"/>
    <x v="0"/>
    <x v="0"/>
    <x v="0"/>
    <x v="9"/>
    <x v="2"/>
    <x v="30"/>
    <x v="1"/>
    <x v="720"/>
    <x v="2"/>
    <x v="3"/>
  </r>
  <r>
    <x v="929"/>
    <x v="168"/>
    <x v="0"/>
    <x v="1"/>
    <x v="1"/>
    <x v="3"/>
    <x v="23"/>
    <x v="0"/>
    <x v="3"/>
    <x v="90"/>
    <x v="5"/>
    <x v="103"/>
    <x v="0"/>
    <x v="0"/>
  </r>
  <r>
    <x v="930"/>
    <x v="168"/>
    <x v="3"/>
    <x v="0"/>
    <x v="0"/>
    <x v="1"/>
    <x v="1"/>
    <x v="6"/>
    <x v="2"/>
    <x v="1"/>
    <x v="5"/>
    <x v="721"/>
    <x v="1"/>
    <x v="3"/>
  </r>
  <r>
    <x v="931"/>
    <x v="168"/>
    <x v="1"/>
    <x v="3"/>
    <x v="0"/>
    <x v="1"/>
    <x v="22"/>
    <x v="1"/>
    <x v="8"/>
    <x v="148"/>
    <x v="0"/>
    <x v="722"/>
    <x v="1"/>
    <x v="1"/>
  </r>
  <r>
    <x v="932"/>
    <x v="168"/>
    <x v="1"/>
    <x v="3"/>
    <x v="0"/>
    <x v="3"/>
    <x v="13"/>
    <x v="4"/>
    <x v="3"/>
    <x v="61"/>
    <x v="0"/>
    <x v="723"/>
    <x v="2"/>
    <x v="1"/>
  </r>
  <r>
    <x v="933"/>
    <x v="168"/>
    <x v="3"/>
    <x v="0"/>
    <x v="1"/>
    <x v="1"/>
    <x v="26"/>
    <x v="9"/>
    <x v="3"/>
    <x v="65"/>
    <x v="2"/>
    <x v="724"/>
    <x v="2"/>
    <x v="3"/>
  </r>
  <r>
    <x v="934"/>
    <x v="168"/>
    <x v="4"/>
    <x v="0"/>
    <x v="0"/>
    <x v="4"/>
    <x v="11"/>
    <x v="8"/>
    <x v="6"/>
    <x v="95"/>
    <x v="1"/>
    <x v="190"/>
    <x v="0"/>
    <x v="4"/>
  </r>
  <r>
    <x v="935"/>
    <x v="168"/>
    <x v="3"/>
    <x v="0"/>
    <x v="1"/>
    <x v="1"/>
    <x v="20"/>
    <x v="9"/>
    <x v="0"/>
    <x v="31"/>
    <x v="1"/>
    <x v="526"/>
    <x v="2"/>
    <x v="3"/>
  </r>
  <r>
    <x v="936"/>
    <x v="168"/>
    <x v="3"/>
    <x v="0"/>
    <x v="0"/>
    <x v="2"/>
    <x v="5"/>
    <x v="12"/>
    <x v="4"/>
    <x v="133"/>
    <x v="5"/>
    <x v="725"/>
    <x v="0"/>
    <x v="3"/>
  </r>
  <r>
    <x v="937"/>
    <x v="169"/>
    <x v="1"/>
    <x v="2"/>
    <x v="1"/>
    <x v="2"/>
    <x v="9"/>
    <x v="1"/>
    <x v="4"/>
    <x v="102"/>
    <x v="5"/>
    <x v="726"/>
    <x v="1"/>
    <x v="1"/>
  </r>
  <r>
    <x v="938"/>
    <x v="169"/>
    <x v="3"/>
    <x v="2"/>
    <x v="0"/>
    <x v="0"/>
    <x v="0"/>
    <x v="9"/>
    <x v="2"/>
    <x v="0"/>
    <x v="1"/>
    <x v="198"/>
    <x v="2"/>
    <x v="3"/>
  </r>
  <r>
    <x v="939"/>
    <x v="169"/>
    <x v="3"/>
    <x v="0"/>
    <x v="0"/>
    <x v="2"/>
    <x v="8"/>
    <x v="9"/>
    <x v="2"/>
    <x v="99"/>
    <x v="0"/>
    <x v="727"/>
    <x v="2"/>
    <x v="3"/>
  </r>
  <r>
    <x v="940"/>
    <x v="169"/>
    <x v="2"/>
    <x v="2"/>
    <x v="1"/>
    <x v="3"/>
    <x v="4"/>
    <x v="7"/>
    <x v="2"/>
    <x v="41"/>
    <x v="2"/>
    <x v="728"/>
    <x v="3"/>
    <x v="2"/>
  </r>
  <r>
    <x v="941"/>
    <x v="169"/>
    <x v="0"/>
    <x v="0"/>
    <x v="0"/>
    <x v="5"/>
    <x v="16"/>
    <x v="2"/>
    <x v="3"/>
    <x v="67"/>
    <x v="2"/>
    <x v="387"/>
    <x v="2"/>
    <x v="0"/>
  </r>
  <r>
    <x v="942"/>
    <x v="169"/>
    <x v="1"/>
    <x v="1"/>
    <x v="0"/>
    <x v="5"/>
    <x v="25"/>
    <x v="4"/>
    <x v="0"/>
    <x v="97"/>
    <x v="0"/>
    <x v="729"/>
    <x v="2"/>
    <x v="1"/>
  </r>
  <r>
    <x v="943"/>
    <x v="169"/>
    <x v="4"/>
    <x v="0"/>
    <x v="1"/>
    <x v="4"/>
    <x v="12"/>
    <x v="14"/>
    <x v="3"/>
    <x v="72"/>
    <x v="4"/>
    <x v="360"/>
    <x v="2"/>
    <x v="4"/>
  </r>
  <r>
    <x v="944"/>
    <x v="169"/>
    <x v="1"/>
    <x v="1"/>
    <x v="0"/>
    <x v="2"/>
    <x v="17"/>
    <x v="1"/>
    <x v="1"/>
    <x v="87"/>
    <x v="0"/>
    <x v="730"/>
    <x v="1"/>
    <x v="1"/>
  </r>
  <r>
    <x v="945"/>
    <x v="169"/>
    <x v="0"/>
    <x v="3"/>
    <x v="1"/>
    <x v="4"/>
    <x v="6"/>
    <x v="0"/>
    <x v="4"/>
    <x v="117"/>
    <x v="5"/>
    <x v="731"/>
    <x v="0"/>
    <x v="0"/>
  </r>
  <r>
    <x v="946"/>
    <x v="169"/>
    <x v="4"/>
    <x v="3"/>
    <x v="1"/>
    <x v="4"/>
    <x v="12"/>
    <x v="8"/>
    <x v="0"/>
    <x v="39"/>
    <x v="2"/>
    <x v="732"/>
    <x v="0"/>
    <x v="4"/>
  </r>
  <r>
    <x v="947"/>
    <x v="169"/>
    <x v="2"/>
    <x v="0"/>
    <x v="0"/>
    <x v="0"/>
    <x v="19"/>
    <x v="7"/>
    <x v="2"/>
    <x v="155"/>
    <x v="0"/>
    <x v="733"/>
    <x v="3"/>
    <x v="2"/>
  </r>
  <r>
    <x v="948"/>
    <x v="169"/>
    <x v="1"/>
    <x v="0"/>
    <x v="0"/>
    <x v="3"/>
    <x v="14"/>
    <x v="4"/>
    <x v="5"/>
    <x v="151"/>
    <x v="6"/>
    <x v="734"/>
    <x v="2"/>
    <x v="1"/>
  </r>
  <r>
    <x v="949"/>
    <x v="169"/>
    <x v="2"/>
    <x v="0"/>
    <x v="0"/>
    <x v="4"/>
    <x v="6"/>
    <x v="11"/>
    <x v="3"/>
    <x v="46"/>
    <x v="6"/>
    <x v="198"/>
    <x v="1"/>
    <x v="2"/>
  </r>
  <r>
    <x v="950"/>
    <x v="169"/>
    <x v="1"/>
    <x v="1"/>
    <x v="0"/>
    <x v="2"/>
    <x v="17"/>
    <x v="4"/>
    <x v="5"/>
    <x v="93"/>
    <x v="0"/>
    <x v="735"/>
    <x v="2"/>
    <x v="1"/>
  </r>
  <r>
    <x v="951"/>
    <x v="169"/>
    <x v="2"/>
    <x v="1"/>
    <x v="1"/>
    <x v="2"/>
    <x v="8"/>
    <x v="5"/>
    <x v="3"/>
    <x v="45"/>
    <x v="1"/>
    <x v="736"/>
    <x v="1"/>
    <x v="2"/>
  </r>
  <r>
    <x v="952"/>
    <x v="170"/>
    <x v="0"/>
    <x v="2"/>
    <x v="1"/>
    <x v="2"/>
    <x v="3"/>
    <x v="2"/>
    <x v="0"/>
    <x v="94"/>
    <x v="5"/>
    <x v="288"/>
    <x v="2"/>
    <x v="0"/>
  </r>
  <r>
    <x v="953"/>
    <x v="170"/>
    <x v="2"/>
    <x v="1"/>
    <x v="0"/>
    <x v="2"/>
    <x v="9"/>
    <x v="5"/>
    <x v="6"/>
    <x v="10"/>
    <x v="0"/>
    <x v="104"/>
    <x v="1"/>
    <x v="2"/>
  </r>
  <r>
    <x v="954"/>
    <x v="170"/>
    <x v="0"/>
    <x v="1"/>
    <x v="0"/>
    <x v="2"/>
    <x v="17"/>
    <x v="2"/>
    <x v="1"/>
    <x v="24"/>
    <x v="3"/>
    <x v="737"/>
    <x v="2"/>
    <x v="0"/>
  </r>
  <r>
    <x v="955"/>
    <x v="170"/>
    <x v="4"/>
    <x v="0"/>
    <x v="0"/>
    <x v="1"/>
    <x v="26"/>
    <x v="10"/>
    <x v="3"/>
    <x v="118"/>
    <x v="5"/>
    <x v="738"/>
    <x v="2"/>
    <x v="4"/>
  </r>
  <r>
    <x v="956"/>
    <x v="170"/>
    <x v="2"/>
    <x v="3"/>
    <x v="0"/>
    <x v="3"/>
    <x v="4"/>
    <x v="11"/>
    <x v="5"/>
    <x v="68"/>
    <x v="1"/>
    <x v="688"/>
    <x v="1"/>
    <x v="2"/>
  </r>
  <r>
    <x v="957"/>
    <x v="170"/>
    <x v="4"/>
    <x v="1"/>
    <x v="0"/>
    <x v="2"/>
    <x v="8"/>
    <x v="14"/>
    <x v="0"/>
    <x v="56"/>
    <x v="5"/>
    <x v="739"/>
    <x v="2"/>
    <x v="4"/>
  </r>
  <r>
    <x v="958"/>
    <x v="170"/>
    <x v="1"/>
    <x v="2"/>
    <x v="1"/>
    <x v="1"/>
    <x v="26"/>
    <x v="4"/>
    <x v="2"/>
    <x v="65"/>
    <x v="6"/>
    <x v="740"/>
    <x v="2"/>
    <x v="1"/>
  </r>
  <r>
    <x v="959"/>
    <x v="170"/>
    <x v="1"/>
    <x v="1"/>
    <x v="0"/>
    <x v="2"/>
    <x v="9"/>
    <x v="4"/>
    <x v="3"/>
    <x v="10"/>
    <x v="5"/>
    <x v="195"/>
    <x v="2"/>
    <x v="1"/>
  </r>
  <r>
    <x v="960"/>
    <x v="170"/>
    <x v="2"/>
    <x v="1"/>
    <x v="0"/>
    <x v="3"/>
    <x v="14"/>
    <x v="7"/>
    <x v="3"/>
    <x v="124"/>
    <x v="5"/>
    <x v="741"/>
    <x v="3"/>
    <x v="2"/>
  </r>
  <r>
    <x v="961"/>
    <x v="170"/>
    <x v="4"/>
    <x v="1"/>
    <x v="0"/>
    <x v="0"/>
    <x v="10"/>
    <x v="8"/>
    <x v="2"/>
    <x v="55"/>
    <x v="2"/>
    <x v="364"/>
    <x v="0"/>
    <x v="4"/>
  </r>
  <r>
    <x v="962"/>
    <x v="170"/>
    <x v="0"/>
    <x v="0"/>
    <x v="1"/>
    <x v="2"/>
    <x v="8"/>
    <x v="0"/>
    <x v="0"/>
    <x v="45"/>
    <x v="5"/>
    <x v="227"/>
    <x v="0"/>
    <x v="0"/>
  </r>
  <r>
    <x v="963"/>
    <x v="170"/>
    <x v="3"/>
    <x v="0"/>
    <x v="0"/>
    <x v="2"/>
    <x v="8"/>
    <x v="12"/>
    <x v="1"/>
    <x v="99"/>
    <x v="1"/>
    <x v="197"/>
    <x v="0"/>
    <x v="3"/>
  </r>
  <r>
    <x v="964"/>
    <x v="170"/>
    <x v="0"/>
    <x v="1"/>
    <x v="0"/>
    <x v="0"/>
    <x v="19"/>
    <x v="3"/>
    <x v="2"/>
    <x v="28"/>
    <x v="0"/>
    <x v="639"/>
    <x v="2"/>
    <x v="0"/>
  </r>
  <r>
    <x v="965"/>
    <x v="170"/>
    <x v="2"/>
    <x v="0"/>
    <x v="0"/>
    <x v="5"/>
    <x v="18"/>
    <x v="11"/>
    <x v="0"/>
    <x v="27"/>
    <x v="4"/>
    <x v="742"/>
    <x v="1"/>
    <x v="2"/>
  </r>
  <r>
    <x v="966"/>
    <x v="171"/>
    <x v="3"/>
    <x v="0"/>
    <x v="1"/>
    <x v="2"/>
    <x v="5"/>
    <x v="9"/>
    <x v="3"/>
    <x v="33"/>
    <x v="5"/>
    <x v="743"/>
    <x v="2"/>
    <x v="3"/>
  </r>
  <r>
    <x v="967"/>
    <x v="171"/>
    <x v="0"/>
    <x v="0"/>
    <x v="0"/>
    <x v="0"/>
    <x v="10"/>
    <x v="0"/>
    <x v="2"/>
    <x v="88"/>
    <x v="3"/>
    <x v="744"/>
    <x v="0"/>
    <x v="0"/>
  </r>
  <r>
    <x v="968"/>
    <x v="171"/>
    <x v="2"/>
    <x v="1"/>
    <x v="1"/>
    <x v="0"/>
    <x v="10"/>
    <x v="7"/>
    <x v="5"/>
    <x v="17"/>
    <x v="0"/>
    <x v="745"/>
    <x v="3"/>
    <x v="2"/>
  </r>
  <r>
    <x v="969"/>
    <x v="171"/>
    <x v="2"/>
    <x v="0"/>
    <x v="0"/>
    <x v="2"/>
    <x v="2"/>
    <x v="5"/>
    <x v="0"/>
    <x v="2"/>
    <x v="2"/>
    <x v="746"/>
    <x v="1"/>
    <x v="2"/>
  </r>
  <r>
    <x v="970"/>
    <x v="172"/>
    <x v="4"/>
    <x v="3"/>
    <x v="0"/>
    <x v="4"/>
    <x v="11"/>
    <x v="10"/>
    <x v="5"/>
    <x v="83"/>
    <x v="5"/>
    <x v="747"/>
    <x v="2"/>
    <x v="4"/>
  </r>
  <r>
    <x v="971"/>
    <x v="172"/>
    <x v="4"/>
    <x v="1"/>
    <x v="1"/>
    <x v="2"/>
    <x v="2"/>
    <x v="14"/>
    <x v="4"/>
    <x v="157"/>
    <x v="5"/>
    <x v="748"/>
    <x v="2"/>
    <x v="4"/>
  </r>
  <r>
    <x v="972"/>
    <x v="172"/>
    <x v="3"/>
    <x v="0"/>
    <x v="1"/>
    <x v="1"/>
    <x v="1"/>
    <x v="9"/>
    <x v="5"/>
    <x v="154"/>
    <x v="2"/>
    <x v="749"/>
    <x v="2"/>
    <x v="3"/>
  </r>
  <r>
    <x v="973"/>
    <x v="173"/>
    <x v="3"/>
    <x v="1"/>
    <x v="0"/>
    <x v="5"/>
    <x v="15"/>
    <x v="9"/>
    <x v="3"/>
    <x v="20"/>
    <x v="3"/>
    <x v="750"/>
    <x v="2"/>
    <x v="3"/>
  </r>
  <r>
    <x v="974"/>
    <x v="173"/>
    <x v="2"/>
    <x v="0"/>
    <x v="0"/>
    <x v="1"/>
    <x v="1"/>
    <x v="11"/>
    <x v="3"/>
    <x v="127"/>
    <x v="6"/>
    <x v="751"/>
    <x v="1"/>
    <x v="2"/>
  </r>
  <r>
    <x v="975"/>
    <x v="173"/>
    <x v="1"/>
    <x v="2"/>
    <x v="0"/>
    <x v="0"/>
    <x v="0"/>
    <x v="1"/>
    <x v="4"/>
    <x v="107"/>
    <x v="1"/>
    <x v="752"/>
    <x v="1"/>
    <x v="1"/>
  </r>
  <r>
    <x v="976"/>
    <x v="173"/>
    <x v="1"/>
    <x v="3"/>
    <x v="0"/>
    <x v="5"/>
    <x v="21"/>
    <x v="1"/>
    <x v="3"/>
    <x v="73"/>
    <x v="1"/>
    <x v="753"/>
    <x v="1"/>
    <x v="1"/>
  </r>
  <r>
    <x v="977"/>
    <x v="173"/>
    <x v="1"/>
    <x v="2"/>
    <x v="0"/>
    <x v="5"/>
    <x v="25"/>
    <x v="4"/>
    <x v="3"/>
    <x v="101"/>
    <x v="6"/>
    <x v="754"/>
    <x v="2"/>
    <x v="1"/>
  </r>
  <r>
    <x v="978"/>
    <x v="173"/>
    <x v="2"/>
    <x v="1"/>
    <x v="0"/>
    <x v="1"/>
    <x v="1"/>
    <x v="11"/>
    <x v="2"/>
    <x v="154"/>
    <x v="6"/>
    <x v="755"/>
    <x v="1"/>
    <x v="2"/>
  </r>
  <r>
    <x v="979"/>
    <x v="173"/>
    <x v="3"/>
    <x v="2"/>
    <x v="1"/>
    <x v="3"/>
    <x v="4"/>
    <x v="9"/>
    <x v="3"/>
    <x v="41"/>
    <x v="6"/>
    <x v="756"/>
    <x v="2"/>
    <x v="3"/>
  </r>
  <r>
    <x v="980"/>
    <x v="173"/>
    <x v="4"/>
    <x v="0"/>
    <x v="0"/>
    <x v="0"/>
    <x v="10"/>
    <x v="10"/>
    <x v="0"/>
    <x v="55"/>
    <x v="3"/>
    <x v="757"/>
    <x v="2"/>
    <x v="4"/>
  </r>
  <r>
    <x v="981"/>
    <x v="173"/>
    <x v="2"/>
    <x v="0"/>
    <x v="0"/>
    <x v="0"/>
    <x v="27"/>
    <x v="7"/>
    <x v="3"/>
    <x v="69"/>
    <x v="0"/>
    <x v="758"/>
    <x v="3"/>
    <x v="2"/>
  </r>
  <r>
    <x v="982"/>
    <x v="174"/>
    <x v="2"/>
    <x v="2"/>
    <x v="1"/>
    <x v="0"/>
    <x v="19"/>
    <x v="5"/>
    <x v="5"/>
    <x v="155"/>
    <x v="6"/>
    <x v="508"/>
    <x v="1"/>
    <x v="2"/>
  </r>
  <r>
    <x v="983"/>
    <x v="174"/>
    <x v="3"/>
    <x v="2"/>
    <x v="0"/>
    <x v="5"/>
    <x v="25"/>
    <x v="6"/>
    <x v="5"/>
    <x v="101"/>
    <x v="3"/>
    <x v="759"/>
    <x v="1"/>
    <x v="3"/>
  </r>
  <r>
    <x v="984"/>
    <x v="174"/>
    <x v="4"/>
    <x v="0"/>
    <x v="0"/>
    <x v="4"/>
    <x v="12"/>
    <x v="10"/>
    <x v="2"/>
    <x v="72"/>
    <x v="1"/>
    <x v="760"/>
    <x v="2"/>
    <x v="4"/>
  </r>
  <r>
    <x v="985"/>
    <x v="174"/>
    <x v="2"/>
    <x v="0"/>
    <x v="0"/>
    <x v="5"/>
    <x v="18"/>
    <x v="5"/>
    <x v="5"/>
    <x v="125"/>
    <x v="4"/>
    <x v="761"/>
    <x v="1"/>
    <x v="2"/>
  </r>
  <r>
    <x v="986"/>
    <x v="174"/>
    <x v="3"/>
    <x v="2"/>
    <x v="0"/>
    <x v="1"/>
    <x v="22"/>
    <x v="9"/>
    <x v="5"/>
    <x v="47"/>
    <x v="0"/>
    <x v="355"/>
    <x v="2"/>
    <x v="3"/>
  </r>
  <r>
    <x v="987"/>
    <x v="174"/>
    <x v="4"/>
    <x v="0"/>
    <x v="0"/>
    <x v="4"/>
    <x v="12"/>
    <x v="10"/>
    <x v="3"/>
    <x v="140"/>
    <x v="1"/>
    <x v="762"/>
    <x v="2"/>
    <x v="4"/>
  </r>
  <r>
    <x v="988"/>
    <x v="174"/>
    <x v="0"/>
    <x v="0"/>
    <x v="0"/>
    <x v="3"/>
    <x v="4"/>
    <x v="0"/>
    <x v="3"/>
    <x v="68"/>
    <x v="4"/>
    <x v="763"/>
    <x v="0"/>
    <x v="0"/>
  </r>
  <r>
    <x v="989"/>
    <x v="174"/>
    <x v="4"/>
    <x v="3"/>
    <x v="1"/>
    <x v="0"/>
    <x v="0"/>
    <x v="14"/>
    <x v="6"/>
    <x v="0"/>
    <x v="4"/>
    <x v="764"/>
    <x v="2"/>
    <x v="4"/>
  </r>
  <r>
    <x v="990"/>
    <x v="174"/>
    <x v="4"/>
    <x v="1"/>
    <x v="0"/>
    <x v="2"/>
    <x v="5"/>
    <x v="10"/>
    <x v="4"/>
    <x v="33"/>
    <x v="5"/>
    <x v="191"/>
    <x v="2"/>
    <x v="4"/>
  </r>
  <r>
    <x v="991"/>
    <x v="175"/>
    <x v="3"/>
    <x v="0"/>
    <x v="0"/>
    <x v="2"/>
    <x v="9"/>
    <x v="6"/>
    <x v="3"/>
    <x v="86"/>
    <x v="4"/>
    <x v="765"/>
    <x v="1"/>
    <x v="3"/>
  </r>
  <r>
    <x v="992"/>
    <x v="175"/>
    <x v="2"/>
    <x v="3"/>
    <x v="1"/>
    <x v="4"/>
    <x v="12"/>
    <x v="5"/>
    <x v="8"/>
    <x v="38"/>
    <x v="5"/>
    <x v="766"/>
    <x v="1"/>
    <x v="2"/>
  </r>
  <r>
    <x v="993"/>
    <x v="175"/>
    <x v="4"/>
    <x v="0"/>
    <x v="0"/>
    <x v="2"/>
    <x v="9"/>
    <x v="8"/>
    <x v="3"/>
    <x v="10"/>
    <x v="0"/>
    <x v="84"/>
    <x v="0"/>
    <x v="4"/>
  </r>
  <r>
    <x v="994"/>
    <x v="175"/>
    <x v="0"/>
    <x v="2"/>
    <x v="0"/>
    <x v="5"/>
    <x v="18"/>
    <x v="3"/>
    <x v="2"/>
    <x v="27"/>
    <x v="1"/>
    <x v="767"/>
    <x v="2"/>
    <x v="0"/>
  </r>
  <r>
    <x v="995"/>
    <x v="175"/>
    <x v="4"/>
    <x v="3"/>
    <x v="0"/>
    <x v="4"/>
    <x v="6"/>
    <x v="8"/>
    <x v="7"/>
    <x v="6"/>
    <x v="4"/>
    <x v="768"/>
    <x v="0"/>
    <x v="4"/>
  </r>
  <r>
    <x v="996"/>
    <x v="175"/>
    <x v="2"/>
    <x v="0"/>
    <x v="1"/>
    <x v="3"/>
    <x v="4"/>
    <x v="11"/>
    <x v="5"/>
    <x v="62"/>
    <x v="0"/>
    <x v="299"/>
    <x v="1"/>
    <x v="2"/>
  </r>
  <r>
    <x v="997"/>
    <x v="175"/>
    <x v="1"/>
    <x v="0"/>
    <x v="0"/>
    <x v="5"/>
    <x v="18"/>
    <x v="4"/>
    <x v="3"/>
    <x v="74"/>
    <x v="0"/>
    <x v="769"/>
    <x v="2"/>
    <x v="1"/>
  </r>
  <r>
    <x v="998"/>
    <x v="175"/>
    <x v="4"/>
    <x v="1"/>
    <x v="1"/>
    <x v="0"/>
    <x v="27"/>
    <x v="14"/>
    <x v="5"/>
    <x v="137"/>
    <x v="1"/>
    <x v="333"/>
    <x v="2"/>
    <x v="4"/>
  </r>
  <r>
    <x v="999"/>
    <x v="175"/>
    <x v="4"/>
    <x v="0"/>
    <x v="0"/>
    <x v="3"/>
    <x v="23"/>
    <x v="14"/>
    <x v="3"/>
    <x v="131"/>
    <x v="0"/>
    <x v="770"/>
    <x v="2"/>
    <x v="4"/>
  </r>
  <r>
    <x v="1000"/>
    <x v="176"/>
    <x v="4"/>
    <x v="2"/>
    <x v="0"/>
    <x v="4"/>
    <x v="11"/>
    <x v="10"/>
    <x v="4"/>
    <x v="113"/>
    <x v="1"/>
    <x v="771"/>
    <x v="2"/>
    <x v="4"/>
  </r>
  <r>
    <x v="1001"/>
    <x v="176"/>
    <x v="2"/>
    <x v="0"/>
    <x v="1"/>
    <x v="3"/>
    <x v="4"/>
    <x v="11"/>
    <x v="3"/>
    <x v="81"/>
    <x v="2"/>
    <x v="772"/>
    <x v="1"/>
    <x v="2"/>
  </r>
  <r>
    <x v="1002"/>
    <x v="176"/>
    <x v="0"/>
    <x v="1"/>
    <x v="0"/>
    <x v="0"/>
    <x v="0"/>
    <x v="2"/>
    <x v="2"/>
    <x v="30"/>
    <x v="5"/>
    <x v="773"/>
    <x v="2"/>
    <x v="0"/>
  </r>
  <r>
    <x v="1003"/>
    <x v="176"/>
    <x v="0"/>
    <x v="0"/>
    <x v="0"/>
    <x v="2"/>
    <x v="17"/>
    <x v="3"/>
    <x v="2"/>
    <x v="24"/>
    <x v="0"/>
    <x v="353"/>
    <x v="2"/>
    <x v="0"/>
  </r>
  <r>
    <x v="1004"/>
    <x v="176"/>
    <x v="3"/>
    <x v="3"/>
    <x v="0"/>
    <x v="1"/>
    <x v="24"/>
    <x v="6"/>
    <x v="0"/>
    <x v="49"/>
    <x v="0"/>
    <x v="774"/>
    <x v="1"/>
    <x v="3"/>
  </r>
  <r>
    <x v="1005"/>
    <x v="176"/>
    <x v="4"/>
    <x v="1"/>
    <x v="1"/>
    <x v="1"/>
    <x v="20"/>
    <x v="10"/>
    <x v="4"/>
    <x v="31"/>
    <x v="0"/>
    <x v="775"/>
    <x v="2"/>
    <x v="4"/>
  </r>
  <r>
    <x v="1006"/>
    <x v="177"/>
    <x v="4"/>
    <x v="2"/>
    <x v="1"/>
    <x v="0"/>
    <x v="27"/>
    <x v="8"/>
    <x v="2"/>
    <x v="137"/>
    <x v="2"/>
    <x v="776"/>
    <x v="0"/>
    <x v="4"/>
  </r>
  <r>
    <x v="1007"/>
    <x v="177"/>
    <x v="1"/>
    <x v="2"/>
    <x v="0"/>
    <x v="0"/>
    <x v="0"/>
    <x v="4"/>
    <x v="2"/>
    <x v="0"/>
    <x v="4"/>
    <x v="240"/>
    <x v="2"/>
    <x v="1"/>
  </r>
  <r>
    <x v="1008"/>
    <x v="177"/>
    <x v="3"/>
    <x v="1"/>
    <x v="0"/>
    <x v="5"/>
    <x v="16"/>
    <x v="6"/>
    <x v="0"/>
    <x v="21"/>
    <x v="5"/>
    <x v="777"/>
    <x v="1"/>
    <x v="3"/>
  </r>
  <r>
    <x v="1009"/>
    <x v="177"/>
    <x v="4"/>
    <x v="3"/>
    <x v="0"/>
    <x v="5"/>
    <x v="25"/>
    <x v="14"/>
    <x v="3"/>
    <x v="101"/>
    <x v="3"/>
    <x v="778"/>
    <x v="2"/>
    <x v="4"/>
  </r>
  <r>
    <x v="1010"/>
    <x v="177"/>
    <x v="1"/>
    <x v="0"/>
    <x v="0"/>
    <x v="5"/>
    <x v="21"/>
    <x v="1"/>
    <x v="3"/>
    <x v="141"/>
    <x v="5"/>
    <x v="670"/>
    <x v="1"/>
    <x v="1"/>
  </r>
  <r>
    <x v="1011"/>
    <x v="178"/>
    <x v="3"/>
    <x v="1"/>
    <x v="0"/>
    <x v="4"/>
    <x v="11"/>
    <x v="9"/>
    <x v="6"/>
    <x v="113"/>
    <x v="5"/>
    <x v="779"/>
    <x v="2"/>
    <x v="3"/>
  </r>
  <r>
    <x v="1012"/>
    <x v="178"/>
    <x v="0"/>
    <x v="1"/>
    <x v="0"/>
    <x v="1"/>
    <x v="20"/>
    <x v="0"/>
    <x v="0"/>
    <x v="160"/>
    <x v="5"/>
    <x v="780"/>
    <x v="0"/>
    <x v="0"/>
  </r>
  <r>
    <x v="1013"/>
    <x v="178"/>
    <x v="1"/>
    <x v="3"/>
    <x v="0"/>
    <x v="3"/>
    <x v="23"/>
    <x v="13"/>
    <x v="0"/>
    <x v="90"/>
    <x v="4"/>
    <x v="781"/>
    <x v="0"/>
    <x v="1"/>
  </r>
  <r>
    <x v="1014"/>
    <x v="178"/>
    <x v="1"/>
    <x v="2"/>
    <x v="1"/>
    <x v="4"/>
    <x v="6"/>
    <x v="13"/>
    <x v="4"/>
    <x v="44"/>
    <x v="6"/>
    <x v="782"/>
    <x v="0"/>
    <x v="1"/>
  </r>
  <r>
    <x v="1015"/>
    <x v="178"/>
    <x v="4"/>
    <x v="0"/>
    <x v="0"/>
    <x v="4"/>
    <x v="6"/>
    <x v="10"/>
    <x v="0"/>
    <x v="110"/>
    <x v="2"/>
    <x v="783"/>
    <x v="2"/>
    <x v="4"/>
  </r>
  <r>
    <x v="1016"/>
    <x v="178"/>
    <x v="3"/>
    <x v="0"/>
    <x v="0"/>
    <x v="5"/>
    <x v="21"/>
    <x v="9"/>
    <x v="0"/>
    <x v="40"/>
    <x v="5"/>
    <x v="784"/>
    <x v="2"/>
    <x v="3"/>
  </r>
  <r>
    <x v="1017"/>
    <x v="178"/>
    <x v="3"/>
    <x v="0"/>
    <x v="1"/>
    <x v="0"/>
    <x v="10"/>
    <x v="6"/>
    <x v="1"/>
    <x v="17"/>
    <x v="1"/>
    <x v="198"/>
    <x v="1"/>
    <x v="3"/>
  </r>
  <r>
    <x v="1018"/>
    <x v="178"/>
    <x v="0"/>
    <x v="0"/>
    <x v="1"/>
    <x v="5"/>
    <x v="15"/>
    <x v="2"/>
    <x v="3"/>
    <x v="70"/>
    <x v="5"/>
    <x v="785"/>
    <x v="2"/>
    <x v="0"/>
  </r>
  <r>
    <x v="1019"/>
    <x v="178"/>
    <x v="0"/>
    <x v="1"/>
    <x v="0"/>
    <x v="2"/>
    <x v="2"/>
    <x v="2"/>
    <x v="3"/>
    <x v="2"/>
    <x v="1"/>
    <x v="76"/>
    <x v="2"/>
    <x v="0"/>
  </r>
  <r>
    <x v="1020"/>
    <x v="178"/>
    <x v="0"/>
    <x v="2"/>
    <x v="0"/>
    <x v="5"/>
    <x v="18"/>
    <x v="3"/>
    <x v="0"/>
    <x v="27"/>
    <x v="0"/>
    <x v="786"/>
    <x v="2"/>
    <x v="0"/>
  </r>
  <r>
    <x v="1021"/>
    <x v="178"/>
    <x v="4"/>
    <x v="0"/>
    <x v="0"/>
    <x v="3"/>
    <x v="13"/>
    <x v="14"/>
    <x v="3"/>
    <x v="57"/>
    <x v="0"/>
    <x v="787"/>
    <x v="2"/>
    <x v="4"/>
  </r>
  <r>
    <x v="1022"/>
    <x v="179"/>
    <x v="3"/>
    <x v="1"/>
    <x v="0"/>
    <x v="2"/>
    <x v="8"/>
    <x v="6"/>
    <x v="10"/>
    <x v="134"/>
    <x v="0"/>
    <x v="788"/>
    <x v="1"/>
    <x v="3"/>
  </r>
  <r>
    <x v="1023"/>
    <x v="179"/>
    <x v="3"/>
    <x v="3"/>
    <x v="0"/>
    <x v="3"/>
    <x v="4"/>
    <x v="6"/>
    <x v="0"/>
    <x v="62"/>
    <x v="5"/>
    <x v="789"/>
    <x v="1"/>
    <x v="3"/>
  </r>
  <r>
    <x v="1024"/>
    <x v="180"/>
    <x v="1"/>
    <x v="0"/>
    <x v="0"/>
    <x v="5"/>
    <x v="25"/>
    <x v="4"/>
    <x v="3"/>
    <x v="78"/>
    <x v="1"/>
    <x v="121"/>
    <x v="2"/>
    <x v="1"/>
  </r>
  <r>
    <x v="1025"/>
    <x v="180"/>
    <x v="4"/>
    <x v="2"/>
    <x v="1"/>
    <x v="3"/>
    <x v="4"/>
    <x v="8"/>
    <x v="0"/>
    <x v="4"/>
    <x v="0"/>
    <x v="790"/>
    <x v="0"/>
    <x v="4"/>
  </r>
  <r>
    <x v="1026"/>
    <x v="180"/>
    <x v="0"/>
    <x v="0"/>
    <x v="0"/>
    <x v="0"/>
    <x v="0"/>
    <x v="0"/>
    <x v="3"/>
    <x v="0"/>
    <x v="1"/>
    <x v="241"/>
    <x v="0"/>
    <x v="0"/>
  </r>
  <r>
    <x v="1027"/>
    <x v="180"/>
    <x v="2"/>
    <x v="0"/>
    <x v="0"/>
    <x v="0"/>
    <x v="10"/>
    <x v="11"/>
    <x v="0"/>
    <x v="12"/>
    <x v="5"/>
    <x v="439"/>
    <x v="1"/>
    <x v="2"/>
  </r>
  <r>
    <x v="1028"/>
    <x v="180"/>
    <x v="0"/>
    <x v="2"/>
    <x v="0"/>
    <x v="4"/>
    <x v="6"/>
    <x v="2"/>
    <x v="0"/>
    <x v="6"/>
    <x v="0"/>
    <x v="791"/>
    <x v="2"/>
    <x v="0"/>
  </r>
  <r>
    <x v="1029"/>
    <x v="181"/>
    <x v="0"/>
    <x v="2"/>
    <x v="0"/>
    <x v="5"/>
    <x v="16"/>
    <x v="0"/>
    <x v="3"/>
    <x v="67"/>
    <x v="1"/>
    <x v="345"/>
    <x v="0"/>
    <x v="0"/>
  </r>
  <r>
    <x v="1030"/>
    <x v="181"/>
    <x v="0"/>
    <x v="1"/>
    <x v="1"/>
    <x v="2"/>
    <x v="5"/>
    <x v="3"/>
    <x v="2"/>
    <x v="5"/>
    <x v="2"/>
    <x v="792"/>
    <x v="2"/>
    <x v="0"/>
  </r>
  <r>
    <x v="1031"/>
    <x v="181"/>
    <x v="4"/>
    <x v="0"/>
    <x v="0"/>
    <x v="1"/>
    <x v="24"/>
    <x v="10"/>
    <x v="5"/>
    <x v="79"/>
    <x v="4"/>
    <x v="793"/>
    <x v="2"/>
    <x v="4"/>
  </r>
  <r>
    <x v="1032"/>
    <x v="181"/>
    <x v="1"/>
    <x v="0"/>
    <x v="0"/>
    <x v="0"/>
    <x v="19"/>
    <x v="4"/>
    <x v="5"/>
    <x v="28"/>
    <x v="1"/>
    <x v="794"/>
    <x v="2"/>
    <x v="1"/>
  </r>
  <r>
    <x v="1033"/>
    <x v="181"/>
    <x v="1"/>
    <x v="0"/>
    <x v="1"/>
    <x v="1"/>
    <x v="26"/>
    <x v="1"/>
    <x v="10"/>
    <x v="118"/>
    <x v="5"/>
    <x v="795"/>
    <x v="1"/>
    <x v="1"/>
  </r>
  <r>
    <x v="1034"/>
    <x v="182"/>
    <x v="3"/>
    <x v="1"/>
    <x v="0"/>
    <x v="2"/>
    <x v="8"/>
    <x v="12"/>
    <x v="0"/>
    <x v="56"/>
    <x v="1"/>
    <x v="796"/>
    <x v="0"/>
    <x v="3"/>
  </r>
  <r>
    <x v="1035"/>
    <x v="182"/>
    <x v="3"/>
    <x v="1"/>
    <x v="0"/>
    <x v="0"/>
    <x v="19"/>
    <x v="6"/>
    <x v="0"/>
    <x v="82"/>
    <x v="0"/>
    <x v="127"/>
    <x v="1"/>
    <x v="3"/>
  </r>
  <r>
    <x v="1036"/>
    <x v="182"/>
    <x v="0"/>
    <x v="2"/>
    <x v="0"/>
    <x v="2"/>
    <x v="8"/>
    <x v="2"/>
    <x v="3"/>
    <x v="45"/>
    <x v="0"/>
    <x v="797"/>
    <x v="2"/>
    <x v="0"/>
  </r>
  <r>
    <x v="1037"/>
    <x v="182"/>
    <x v="4"/>
    <x v="0"/>
    <x v="0"/>
    <x v="4"/>
    <x v="7"/>
    <x v="14"/>
    <x v="3"/>
    <x v="116"/>
    <x v="0"/>
    <x v="487"/>
    <x v="2"/>
    <x v="4"/>
  </r>
  <r>
    <x v="1038"/>
    <x v="182"/>
    <x v="0"/>
    <x v="0"/>
    <x v="1"/>
    <x v="0"/>
    <x v="10"/>
    <x v="3"/>
    <x v="3"/>
    <x v="88"/>
    <x v="3"/>
    <x v="798"/>
    <x v="2"/>
    <x v="0"/>
  </r>
  <r>
    <x v="1039"/>
    <x v="183"/>
    <x v="4"/>
    <x v="1"/>
    <x v="1"/>
    <x v="2"/>
    <x v="9"/>
    <x v="10"/>
    <x v="4"/>
    <x v="102"/>
    <x v="2"/>
    <x v="799"/>
    <x v="2"/>
    <x v="4"/>
  </r>
  <r>
    <x v="1040"/>
    <x v="183"/>
    <x v="0"/>
    <x v="2"/>
    <x v="1"/>
    <x v="3"/>
    <x v="13"/>
    <x v="3"/>
    <x v="2"/>
    <x v="15"/>
    <x v="6"/>
    <x v="800"/>
    <x v="2"/>
    <x v="0"/>
  </r>
  <r>
    <x v="1041"/>
    <x v="183"/>
    <x v="0"/>
    <x v="3"/>
    <x v="1"/>
    <x v="5"/>
    <x v="15"/>
    <x v="2"/>
    <x v="3"/>
    <x v="164"/>
    <x v="1"/>
    <x v="801"/>
    <x v="2"/>
    <x v="0"/>
  </r>
  <r>
    <x v="1042"/>
    <x v="183"/>
    <x v="2"/>
    <x v="3"/>
    <x v="0"/>
    <x v="4"/>
    <x v="6"/>
    <x v="7"/>
    <x v="1"/>
    <x v="117"/>
    <x v="1"/>
    <x v="448"/>
    <x v="3"/>
    <x v="2"/>
  </r>
  <r>
    <x v="1043"/>
    <x v="184"/>
    <x v="3"/>
    <x v="0"/>
    <x v="0"/>
    <x v="2"/>
    <x v="9"/>
    <x v="9"/>
    <x v="3"/>
    <x v="86"/>
    <x v="1"/>
    <x v="339"/>
    <x v="2"/>
    <x v="3"/>
  </r>
  <r>
    <x v="1044"/>
    <x v="184"/>
    <x v="4"/>
    <x v="0"/>
    <x v="0"/>
    <x v="3"/>
    <x v="23"/>
    <x v="8"/>
    <x v="3"/>
    <x v="90"/>
    <x v="5"/>
    <x v="103"/>
    <x v="0"/>
    <x v="4"/>
  </r>
  <r>
    <x v="1045"/>
    <x v="184"/>
    <x v="2"/>
    <x v="0"/>
    <x v="0"/>
    <x v="5"/>
    <x v="25"/>
    <x v="7"/>
    <x v="0"/>
    <x v="101"/>
    <x v="0"/>
    <x v="802"/>
    <x v="3"/>
    <x v="2"/>
  </r>
  <r>
    <x v="1046"/>
    <x v="185"/>
    <x v="4"/>
    <x v="2"/>
    <x v="0"/>
    <x v="2"/>
    <x v="17"/>
    <x v="14"/>
    <x v="0"/>
    <x v="93"/>
    <x v="2"/>
    <x v="803"/>
    <x v="2"/>
    <x v="4"/>
  </r>
  <r>
    <x v="1047"/>
    <x v="185"/>
    <x v="1"/>
    <x v="0"/>
    <x v="0"/>
    <x v="4"/>
    <x v="7"/>
    <x v="13"/>
    <x v="0"/>
    <x v="106"/>
    <x v="1"/>
    <x v="804"/>
    <x v="0"/>
    <x v="1"/>
  </r>
  <r>
    <x v="1048"/>
    <x v="185"/>
    <x v="4"/>
    <x v="0"/>
    <x v="1"/>
    <x v="0"/>
    <x v="10"/>
    <x v="14"/>
    <x v="1"/>
    <x v="17"/>
    <x v="5"/>
    <x v="805"/>
    <x v="2"/>
    <x v="4"/>
  </r>
  <r>
    <x v="1049"/>
    <x v="185"/>
    <x v="4"/>
    <x v="1"/>
    <x v="0"/>
    <x v="2"/>
    <x v="3"/>
    <x v="14"/>
    <x v="5"/>
    <x v="7"/>
    <x v="5"/>
    <x v="806"/>
    <x v="2"/>
    <x v="4"/>
  </r>
  <r>
    <x v="1050"/>
    <x v="185"/>
    <x v="2"/>
    <x v="2"/>
    <x v="1"/>
    <x v="2"/>
    <x v="2"/>
    <x v="5"/>
    <x v="5"/>
    <x v="120"/>
    <x v="6"/>
    <x v="807"/>
    <x v="1"/>
    <x v="2"/>
  </r>
  <r>
    <x v="1051"/>
    <x v="185"/>
    <x v="3"/>
    <x v="2"/>
    <x v="0"/>
    <x v="5"/>
    <x v="21"/>
    <x v="12"/>
    <x v="3"/>
    <x v="35"/>
    <x v="5"/>
    <x v="279"/>
    <x v="0"/>
    <x v="3"/>
  </r>
  <r>
    <x v="1052"/>
    <x v="186"/>
    <x v="1"/>
    <x v="2"/>
    <x v="0"/>
    <x v="1"/>
    <x v="20"/>
    <x v="4"/>
    <x v="0"/>
    <x v="160"/>
    <x v="6"/>
    <x v="808"/>
    <x v="2"/>
    <x v="1"/>
  </r>
  <r>
    <x v="1053"/>
    <x v="186"/>
    <x v="1"/>
    <x v="0"/>
    <x v="1"/>
    <x v="4"/>
    <x v="6"/>
    <x v="1"/>
    <x v="6"/>
    <x v="44"/>
    <x v="5"/>
    <x v="809"/>
    <x v="1"/>
    <x v="1"/>
  </r>
  <r>
    <x v="1054"/>
    <x v="186"/>
    <x v="0"/>
    <x v="1"/>
    <x v="1"/>
    <x v="5"/>
    <x v="15"/>
    <x v="0"/>
    <x v="3"/>
    <x v="25"/>
    <x v="4"/>
    <x v="294"/>
    <x v="0"/>
    <x v="0"/>
  </r>
  <r>
    <x v="1055"/>
    <x v="186"/>
    <x v="4"/>
    <x v="1"/>
    <x v="0"/>
    <x v="0"/>
    <x v="27"/>
    <x v="14"/>
    <x v="3"/>
    <x v="80"/>
    <x v="1"/>
    <x v="810"/>
    <x v="2"/>
    <x v="4"/>
  </r>
  <r>
    <x v="1056"/>
    <x v="187"/>
    <x v="1"/>
    <x v="3"/>
    <x v="1"/>
    <x v="5"/>
    <x v="25"/>
    <x v="1"/>
    <x v="3"/>
    <x v="165"/>
    <x v="1"/>
    <x v="811"/>
    <x v="1"/>
    <x v="1"/>
  </r>
  <r>
    <x v="1057"/>
    <x v="187"/>
    <x v="2"/>
    <x v="2"/>
    <x v="0"/>
    <x v="1"/>
    <x v="22"/>
    <x v="7"/>
    <x v="2"/>
    <x v="47"/>
    <x v="6"/>
    <x v="499"/>
    <x v="3"/>
    <x v="2"/>
  </r>
  <r>
    <x v="1058"/>
    <x v="188"/>
    <x v="4"/>
    <x v="2"/>
    <x v="1"/>
    <x v="3"/>
    <x v="13"/>
    <x v="14"/>
    <x v="1"/>
    <x v="162"/>
    <x v="2"/>
    <x v="812"/>
    <x v="2"/>
    <x v="4"/>
  </r>
  <r>
    <x v="1059"/>
    <x v="188"/>
    <x v="0"/>
    <x v="1"/>
    <x v="0"/>
    <x v="3"/>
    <x v="4"/>
    <x v="3"/>
    <x v="2"/>
    <x v="81"/>
    <x v="2"/>
    <x v="813"/>
    <x v="2"/>
    <x v="0"/>
  </r>
  <r>
    <x v="1060"/>
    <x v="188"/>
    <x v="0"/>
    <x v="0"/>
    <x v="0"/>
    <x v="2"/>
    <x v="9"/>
    <x v="3"/>
    <x v="0"/>
    <x v="10"/>
    <x v="0"/>
    <x v="69"/>
    <x v="2"/>
    <x v="0"/>
  </r>
  <r>
    <x v="1061"/>
    <x v="188"/>
    <x v="3"/>
    <x v="2"/>
    <x v="0"/>
    <x v="0"/>
    <x v="0"/>
    <x v="6"/>
    <x v="2"/>
    <x v="50"/>
    <x v="1"/>
    <x v="70"/>
    <x v="1"/>
    <x v="3"/>
  </r>
  <r>
    <x v="1062"/>
    <x v="188"/>
    <x v="0"/>
    <x v="2"/>
    <x v="1"/>
    <x v="1"/>
    <x v="26"/>
    <x v="0"/>
    <x v="1"/>
    <x v="138"/>
    <x v="5"/>
    <x v="814"/>
    <x v="0"/>
    <x v="0"/>
  </r>
  <r>
    <x v="1063"/>
    <x v="189"/>
    <x v="4"/>
    <x v="0"/>
    <x v="0"/>
    <x v="3"/>
    <x v="13"/>
    <x v="8"/>
    <x v="3"/>
    <x v="15"/>
    <x v="1"/>
    <x v="815"/>
    <x v="0"/>
    <x v="4"/>
  </r>
  <r>
    <x v="1064"/>
    <x v="189"/>
    <x v="2"/>
    <x v="0"/>
    <x v="0"/>
    <x v="4"/>
    <x v="7"/>
    <x v="11"/>
    <x v="5"/>
    <x v="106"/>
    <x v="4"/>
    <x v="816"/>
    <x v="1"/>
    <x v="2"/>
  </r>
  <r>
    <x v="1065"/>
    <x v="190"/>
    <x v="3"/>
    <x v="2"/>
    <x v="0"/>
    <x v="5"/>
    <x v="15"/>
    <x v="9"/>
    <x v="3"/>
    <x v="20"/>
    <x v="0"/>
    <x v="366"/>
    <x v="2"/>
    <x v="3"/>
  </r>
  <r>
    <x v="1066"/>
    <x v="190"/>
    <x v="3"/>
    <x v="1"/>
    <x v="1"/>
    <x v="2"/>
    <x v="8"/>
    <x v="9"/>
    <x v="3"/>
    <x v="56"/>
    <x v="4"/>
    <x v="817"/>
    <x v="2"/>
    <x v="3"/>
  </r>
  <r>
    <x v="1067"/>
    <x v="190"/>
    <x v="4"/>
    <x v="2"/>
    <x v="0"/>
    <x v="5"/>
    <x v="16"/>
    <x v="10"/>
    <x v="3"/>
    <x v="21"/>
    <x v="6"/>
    <x v="410"/>
    <x v="2"/>
    <x v="4"/>
  </r>
  <r>
    <x v="1068"/>
    <x v="190"/>
    <x v="2"/>
    <x v="2"/>
    <x v="0"/>
    <x v="2"/>
    <x v="2"/>
    <x v="5"/>
    <x v="2"/>
    <x v="19"/>
    <x v="1"/>
    <x v="818"/>
    <x v="1"/>
    <x v="2"/>
  </r>
  <r>
    <x v="1069"/>
    <x v="190"/>
    <x v="2"/>
    <x v="0"/>
    <x v="0"/>
    <x v="4"/>
    <x v="6"/>
    <x v="11"/>
    <x v="3"/>
    <x v="44"/>
    <x v="3"/>
    <x v="819"/>
    <x v="1"/>
    <x v="2"/>
  </r>
  <r>
    <x v="1070"/>
    <x v="190"/>
    <x v="4"/>
    <x v="0"/>
    <x v="0"/>
    <x v="3"/>
    <x v="13"/>
    <x v="10"/>
    <x v="2"/>
    <x v="61"/>
    <x v="5"/>
    <x v="820"/>
    <x v="2"/>
    <x v="4"/>
  </r>
  <r>
    <x v="1071"/>
    <x v="190"/>
    <x v="1"/>
    <x v="2"/>
    <x v="1"/>
    <x v="1"/>
    <x v="26"/>
    <x v="13"/>
    <x v="3"/>
    <x v="65"/>
    <x v="6"/>
    <x v="821"/>
    <x v="0"/>
    <x v="1"/>
  </r>
  <r>
    <x v="1072"/>
    <x v="191"/>
    <x v="4"/>
    <x v="0"/>
    <x v="0"/>
    <x v="3"/>
    <x v="23"/>
    <x v="8"/>
    <x v="0"/>
    <x v="90"/>
    <x v="1"/>
    <x v="141"/>
    <x v="0"/>
    <x v="4"/>
  </r>
  <r>
    <x v="1073"/>
    <x v="191"/>
    <x v="2"/>
    <x v="0"/>
    <x v="0"/>
    <x v="5"/>
    <x v="18"/>
    <x v="5"/>
    <x v="3"/>
    <x v="125"/>
    <x v="4"/>
    <x v="822"/>
    <x v="1"/>
    <x v="2"/>
  </r>
  <r>
    <x v="1074"/>
    <x v="191"/>
    <x v="4"/>
    <x v="0"/>
    <x v="0"/>
    <x v="5"/>
    <x v="16"/>
    <x v="8"/>
    <x v="3"/>
    <x v="67"/>
    <x v="1"/>
    <x v="345"/>
    <x v="0"/>
    <x v="4"/>
  </r>
  <r>
    <x v="1075"/>
    <x v="191"/>
    <x v="3"/>
    <x v="1"/>
    <x v="0"/>
    <x v="3"/>
    <x v="13"/>
    <x v="6"/>
    <x v="3"/>
    <x v="61"/>
    <x v="5"/>
    <x v="167"/>
    <x v="1"/>
    <x v="3"/>
  </r>
  <r>
    <x v="1076"/>
    <x v="191"/>
    <x v="3"/>
    <x v="0"/>
    <x v="1"/>
    <x v="0"/>
    <x v="27"/>
    <x v="6"/>
    <x v="3"/>
    <x v="69"/>
    <x v="0"/>
    <x v="758"/>
    <x v="1"/>
    <x v="3"/>
  </r>
  <r>
    <x v="1077"/>
    <x v="192"/>
    <x v="4"/>
    <x v="1"/>
    <x v="0"/>
    <x v="4"/>
    <x v="11"/>
    <x v="14"/>
    <x v="6"/>
    <x v="32"/>
    <x v="6"/>
    <x v="823"/>
    <x v="2"/>
    <x v="4"/>
  </r>
  <r>
    <x v="1078"/>
    <x v="192"/>
    <x v="3"/>
    <x v="0"/>
    <x v="1"/>
    <x v="2"/>
    <x v="5"/>
    <x v="9"/>
    <x v="3"/>
    <x v="147"/>
    <x v="2"/>
    <x v="824"/>
    <x v="2"/>
    <x v="3"/>
  </r>
  <r>
    <x v="1079"/>
    <x v="192"/>
    <x v="3"/>
    <x v="0"/>
    <x v="0"/>
    <x v="0"/>
    <x v="27"/>
    <x v="9"/>
    <x v="2"/>
    <x v="149"/>
    <x v="4"/>
    <x v="402"/>
    <x v="2"/>
    <x v="3"/>
  </r>
  <r>
    <x v="1080"/>
    <x v="192"/>
    <x v="1"/>
    <x v="0"/>
    <x v="0"/>
    <x v="0"/>
    <x v="0"/>
    <x v="4"/>
    <x v="3"/>
    <x v="26"/>
    <x v="0"/>
    <x v="825"/>
    <x v="2"/>
    <x v="1"/>
  </r>
  <r>
    <x v="1081"/>
    <x v="192"/>
    <x v="3"/>
    <x v="0"/>
    <x v="1"/>
    <x v="2"/>
    <x v="5"/>
    <x v="12"/>
    <x v="3"/>
    <x v="147"/>
    <x v="4"/>
    <x v="826"/>
    <x v="0"/>
    <x v="3"/>
  </r>
  <r>
    <x v="1082"/>
    <x v="193"/>
    <x v="2"/>
    <x v="1"/>
    <x v="0"/>
    <x v="5"/>
    <x v="21"/>
    <x v="7"/>
    <x v="0"/>
    <x v="73"/>
    <x v="4"/>
    <x v="464"/>
    <x v="3"/>
    <x v="2"/>
  </r>
  <r>
    <x v="1083"/>
    <x v="193"/>
    <x v="3"/>
    <x v="0"/>
    <x v="1"/>
    <x v="0"/>
    <x v="10"/>
    <x v="6"/>
    <x v="2"/>
    <x v="109"/>
    <x v="6"/>
    <x v="697"/>
    <x v="1"/>
    <x v="3"/>
  </r>
  <r>
    <x v="1084"/>
    <x v="193"/>
    <x v="3"/>
    <x v="2"/>
    <x v="0"/>
    <x v="2"/>
    <x v="2"/>
    <x v="12"/>
    <x v="1"/>
    <x v="100"/>
    <x v="6"/>
    <x v="827"/>
    <x v="0"/>
    <x v="3"/>
  </r>
  <r>
    <x v="1085"/>
    <x v="193"/>
    <x v="2"/>
    <x v="2"/>
    <x v="0"/>
    <x v="1"/>
    <x v="20"/>
    <x v="7"/>
    <x v="3"/>
    <x v="31"/>
    <x v="6"/>
    <x v="655"/>
    <x v="3"/>
    <x v="2"/>
  </r>
  <r>
    <x v="1086"/>
    <x v="193"/>
    <x v="1"/>
    <x v="3"/>
    <x v="1"/>
    <x v="3"/>
    <x v="23"/>
    <x v="13"/>
    <x v="2"/>
    <x v="90"/>
    <x v="4"/>
    <x v="337"/>
    <x v="0"/>
    <x v="1"/>
  </r>
  <r>
    <x v="1087"/>
    <x v="193"/>
    <x v="2"/>
    <x v="0"/>
    <x v="0"/>
    <x v="3"/>
    <x v="14"/>
    <x v="7"/>
    <x v="3"/>
    <x v="76"/>
    <x v="3"/>
    <x v="828"/>
    <x v="3"/>
    <x v="2"/>
  </r>
  <r>
    <x v="1088"/>
    <x v="193"/>
    <x v="0"/>
    <x v="0"/>
    <x v="1"/>
    <x v="2"/>
    <x v="9"/>
    <x v="2"/>
    <x v="4"/>
    <x v="122"/>
    <x v="1"/>
    <x v="829"/>
    <x v="2"/>
    <x v="0"/>
  </r>
  <r>
    <x v="1089"/>
    <x v="193"/>
    <x v="1"/>
    <x v="0"/>
    <x v="0"/>
    <x v="5"/>
    <x v="16"/>
    <x v="4"/>
    <x v="3"/>
    <x v="67"/>
    <x v="5"/>
    <x v="281"/>
    <x v="2"/>
    <x v="1"/>
  </r>
  <r>
    <x v="1090"/>
    <x v="194"/>
    <x v="3"/>
    <x v="3"/>
    <x v="0"/>
    <x v="3"/>
    <x v="14"/>
    <x v="9"/>
    <x v="3"/>
    <x v="151"/>
    <x v="2"/>
    <x v="830"/>
    <x v="2"/>
    <x v="3"/>
  </r>
  <r>
    <x v="1091"/>
    <x v="194"/>
    <x v="2"/>
    <x v="3"/>
    <x v="0"/>
    <x v="4"/>
    <x v="12"/>
    <x v="7"/>
    <x v="0"/>
    <x v="140"/>
    <x v="0"/>
    <x v="831"/>
    <x v="3"/>
    <x v="2"/>
  </r>
  <r>
    <x v="1092"/>
    <x v="195"/>
    <x v="1"/>
    <x v="1"/>
    <x v="1"/>
    <x v="2"/>
    <x v="8"/>
    <x v="13"/>
    <x v="3"/>
    <x v="45"/>
    <x v="5"/>
    <x v="624"/>
    <x v="0"/>
    <x v="1"/>
  </r>
  <r>
    <x v="1093"/>
    <x v="195"/>
    <x v="4"/>
    <x v="1"/>
    <x v="0"/>
    <x v="0"/>
    <x v="27"/>
    <x v="14"/>
    <x v="3"/>
    <x v="69"/>
    <x v="4"/>
    <x v="244"/>
    <x v="2"/>
    <x v="4"/>
  </r>
  <r>
    <x v="1094"/>
    <x v="195"/>
    <x v="3"/>
    <x v="0"/>
    <x v="0"/>
    <x v="5"/>
    <x v="25"/>
    <x v="12"/>
    <x v="2"/>
    <x v="165"/>
    <x v="4"/>
    <x v="832"/>
    <x v="0"/>
    <x v="3"/>
  </r>
  <r>
    <x v="1095"/>
    <x v="195"/>
    <x v="0"/>
    <x v="2"/>
    <x v="0"/>
    <x v="3"/>
    <x v="23"/>
    <x v="0"/>
    <x v="0"/>
    <x v="90"/>
    <x v="1"/>
    <x v="141"/>
    <x v="0"/>
    <x v="0"/>
  </r>
  <r>
    <x v="1096"/>
    <x v="195"/>
    <x v="3"/>
    <x v="1"/>
    <x v="1"/>
    <x v="2"/>
    <x v="9"/>
    <x v="6"/>
    <x v="2"/>
    <x v="23"/>
    <x v="6"/>
    <x v="833"/>
    <x v="1"/>
    <x v="3"/>
  </r>
  <r>
    <x v="1097"/>
    <x v="195"/>
    <x v="0"/>
    <x v="3"/>
    <x v="0"/>
    <x v="3"/>
    <x v="13"/>
    <x v="0"/>
    <x v="3"/>
    <x v="61"/>
    <x v="1"/>
    <x v="834"/>
    <x v="0"/>
    <x v="0"/>
  </r>
  <r>
    <x v="1098"/>
    <x v="196"/>
    <x v="2"/>
    <x v="0"/>
    <x v="1"/>
    <x v="0"/>
    <x v="19"/>
    <x v="7"/>
    <x v="3"/>
    <x v="28"/>
    <x v="0"/>
    <x v="835"/>
    <x v="3"/>
    <x v="2"/>
  </r>
  <r>
    <x v="1099"/>
    <x v="196"/>
    <x v="2"/>
    <x v="0"/>
    <x v="1"/>
    <x v="2"/>
    <x v="3"/>
    <x v="11"/>
    <x v="2"/>
    <x v="94"/>
    <x v="4"/>
    <x v="36"/>
    <x v="1"/>
    <x v="2"/>
  </r>
  <r>
    <x v="1100"/>
    <x v="196"/>
    <x v="0"/>
    <x v="1"/>
    <x v="0"/>
    <x v="3"/>
    <x v="13"/>
    <x v="2"/>
    <x v="3"/>
    <x v="57"/>
    <x v="6"/>
    <x v="614"/>
    <x v="2"/>
    <x v="0"/>
  </r>
  <r>
    <x v="1101"/>
    <x v="196"/>
    <x v="3"/>
    <x v="2"/>
    <x v="1"/>
    <x v="4"/>
    <x v="6"/>
    <x v="9"/>
    <x v="0"/>
    <x v="6"/>
    <x v="6"/>
    <x v="603"/>
    <x v="2"/>
    <x v="3"/>
  </r>
  <r>
    <x v="1102"/>
    <x v="197"/>
    <x v="0"/>
    <x v="2"/>
    <x v="0"/>
    <x v="2"/>
    <x v="2"/>
    <x v="3"/>
    <x v="0"/>
    <x v="120"/>
    <x v="0"/>
    <x v="672"/>
    <x v="2"/>
    <x v="0"/>
  </r>
  <r>
    <x v="1103"/>
    <x v="197"/>
    <x v="2"/>
    <x v="1"/>
    <x v="1"/>
    <x v="0"/>
    <x v="10"/>
    <x v="7"/>
    <x v="6"/>
    <x v="55"/>
    <x v="0"/>
    <x v="836"/>
    <x v="3"/>
    <x v="2"/>
  </r>
  <r>
    <x v="1104"/>
    <x v="197"/>
    <x v="1"/>
    <x v="1"/>
    <x v="0"/>
    <x v="1"/>
    <x v="26"/>
    <x v="4"/>
    <x v="0"/>
    <x v="65"/>
    <x v="0"/>
    <x v="115"/>
    <x v="2"/>
    <x v="1"/>
  </r>
  <r>
    <x v="1105"/>
    <x v="197"/>
    <x v="4"/>
    <x v="3"/>
    <x v="1"/>
    <x v="3"/>
    <x v="4"/>
    <x v="10"/>
    <x v="5"/>
    <x v="81"/>
    <x v="4"/>
    <x v="837"/>
    <x v="2"/>
    <x v="4"/>
  </r>
  <r>
    <x v="1106"/>
    <x v="197"/>
    <x v="4"/>
    <x v="2"/>
    <x v="0"/>
    <x v="5"/>
    <x v="21"/>
    <x v="14"/>
    <x v="3"/>
    <x v="141"/>
    <x v="0"/>
    <x v="838"/>
    <x v="2"/>
    <x v="4"/>
  </r>
  <r>
    <x v="1107"/>
    <x v="197"/>
    <x v="0"/>
    <x v="0"/>
    <x v="0"/>
    <x v="4"/>
    <x v="12"/>
    <x v="0"/>
    <x v="5"/>
    <x v="72"/>
    <x v="1"/>
    <x v="231"/>
    <x v="0"/>
    <x v="0"/>
  </r>
  <r>
    <x v="1108"/>
    <x v="197"/>
    <x v="0"/>
    <x v="0"/>
    <x v="0"/>
    <x v="5"/>
    <x v="15"/>
    <x v="0"/>
    <x v="2"/>
    <x v="164"/>
    <x v="1"/>
    <x v="839"/>
    <x v="0"/>
    <x v="0"/>
  </r>
  <r>
    <x v="1109"/>
    <x v="198"/>
    <x v="0"/>
    <x v="3"/>
    <x v="0"/>
    <x v="5"/>
    <x v="18"/>
    <x v="2"/>
    <x v="3"/>
    <x v="125"/>
    <x v="1"/>
    <x v="515"/>
    <x v="2"/>
    <x v="0"/>
  </r>
  <r>
    <x v="1110"/>
    <x v="198"/>
    <x v="2"/>
    <x v="3"/>
    <x v="0"/>
    <x v="5"/>
    <x v="16"/>
    <x v="7"/>
    <x v="0"/>
    <x v="150"/>
    <x v="0"/>
    <x v="840"/>
    <x v="3"/>
    <x v="2"/>
  </r>
  <r>
    <x v="1111"/>
    <x v="198"/>
    <x v="0"/>
    <x v="1"/>
    <x v="0"/>
    <x v="2"/>
    <x v="9"/>
    <x v="0"/>
    <x v="0"/>
    <x v="10"/>
    <x v="6"/>
    <x v="136"/>
    <x v="0"/>
    <x v="0"/>
  </r>
  <r>
    <x v="1112"/>
    <x v="198"/>
    <x v="4"/>
    <x v="2"/>
    <x v="0"/>
    <x v="3"/>
    <x v="13"/>
    <x v="14"/>
    <x v="0"/>
    <x v="57"/>
    <x v="3"/>
    <x v="841"/>
    <x v="2"/>
    <x v="4"/>
  </r>
  <r>
    <x v="1113"/>
    <x v="198"/>
    <x v="1"/>
    <x v="1"/>
    <x v="1"/>
    <x v="2"/>
    <x v="2"/>
    <x v="1"/>
    <x v="3"/>
    <x v="2"/>
    <x v="0"/>
    <x v="153"/>
    <x v="1"/>
    <x v="1"/>
  </r>
  <r>
    <x v="1114"/>
    <x v="198"/>
    <x v="3"/>
    <x v="2"/>
    <x v="0"/>
    <x v="3"/>
    <x v="23"/>
    <x v="9"/>
    <x v="2"/>
    <x v="98"/>
    <x v="4"/>
    <x v="842"/>
    <x v="2"/>
    <x v="3"/>
  </r>
  <r>
    <x v="1115"/>
    <x v="198"/>
    <x v="0"/>
    <x v="2"/>
    <x v="0"/>
    <x v="5"/>
    <x v="25"/>
    <x v="3"/>
    <x v="3"/>
    <x v="101"/>
    <x v="1"/>
    <x v="442"/>
    <x v="2"/>
    <x v="0"/>
  </r>
  <r>
    <x v="1116"/>
    <x v="198"/>
    <x v="4"/>
    <x v="3"/>
    <x v="1"/>
    <x v="3"/>
    <x v="23"/>
    <x v="14"/>
    <x v="3"/>
    <x v="145"/>
    <x v="5"/>
    <x v="843"/>
    <x v="2"/>
    <x v="4"/>
  </r>
  <r>
    <x v="1117"/>
    <x v="198"/>
    <x v="1"/>
    <x v="0"/>
    <x v="1"/>
    <x v="2"/>
    <x v="8"/>
    <x v="4"/>
    <x v="2"/>
    <x v="99"/>
    <x v="5"/>
    <x v="222"/>
    <x v="2"/>
    <x v="1"/>
  </r>
  <r>
    <x v="1118"/>
    <x v="198"/>
    <x v="4"/>
    <x v="0"/>
    <x v="0"/>
    <x v="2"/>
    <x v="8"/>
    <x v="10"/>
    <x v="0"/>
    <x v="45"/>
    <x v="0"/>
    <x v="844"/>
    <x v="2"/>
    <x v="4"/>
  </r>
  <r>
    <x v="1119"/>
    <x v="198"/>
    <x v="1"/>
    <x v="2"/>
    <x v="0"/>
    <x v="1"/>
    <x v="24"/>
    <x v="4"/>
    <x v="0"/>
    <x v="159"/>
    <x v="3"/>
    <x v="845"/>
    <x v="2"/>
    <x v="1"/>
  </r>
  <r>
    <x v="1120"/>
    <x v="198"/>
    <x v="0"/>
    <x v="3"/>
    <x v="0"/>
    <x v="3"/>
    <x v="14"/>
    <x v="3"/>
    <x v="2"/>
    <x v="129"/>
    <x v="1"/>
    <x v="120"/>
    <x v="2"/>
    <x v="0"/>
  </r>
  <r>
    <x v="1121"/>
    <x v="198"/>
    <x v="4"/>
    <x v="0"/>
    <x v="0"/>
    <x v="0"/>
    <x v="0"/>
    <x v="8"/>
    <x v="0"/>
    <x v="0"/>
    <x v="0"/>
    <x v="0"/>
    <x v="0"/>
    <x v="4"/>
  </r>
  <r>
    <x v="1122"/>
    <x v="198"/>
    <x v="0"/>
    <x v="1"/>
    <x v="0"/>
    <x v="2"/>
    <x v="17"/>
    <x v="0"/>
    <x v="6"/>
    <x v="24"/>
    <x v="6"/>
    <x v="711"/>
    <x v="0"/>
    <x v="0"/>
  </r>
  <r>
    <x v="1123"/>
    <x v="199"/>
    <x v="2"/>
    <x v="3"/>
    <x v="0"/>
    <x v="1"/>
    <x v="24"/>
    <x v="11"/>
    <x v="14"/>
    <x v="54"/>
    <x v="2"/>
    <x v="168"/>
    <x v="1"/>
    <x v="2"/>
  </r>
  <r>
    <x v="1124"/>
    <x v="199"/>
    <x v="4"/>
    <x v="2"/>
    <x v="1"/>
    <x v="3"/>
    <x v="13"/>
    <x v="14"/>
    <x v="3"/>
    <x v="15"/>
    <x v="0"/>
    <x v="846"/>
    <x v="2"/>
    <x v="4"/>
  </r>
  <r>
    <x v="1125"/>
    <x v="199"/>
    <x v="2"/>
    <x v="3"/>
    <x v="1"/>
    <x v="3"/>
    <x v="13"/>
    <x v="5"/>
    <x v="3"/>
    <x v="84"/>
    <x v="6"/>
    <x v="847"/>
    <x v="1"/>
    <x v="2"/>
  </r>
  <r>
    <x v="1126"/>
    <x v="200"/>
    <x v="4"/>
    <x v="0"/>
    <x v="0"/>
    <x v="0"/>
    <x v="27"/>
    <x v="8"/>
    <x v="3"/>
    <x v="80"/>
    <x v="4"/>
    <x v="848"/>
    <x v="0"/>
    <x v="4"/>
  </r>
  <r>
    <x v="1127"/>
    <x v="200"/>
    <x v="4"/>
    <x v="3"/>
    <x v="0"/>
    <x v="3"/>
    <x v="4"/>
    <x v="10"/>
    <x v="3"/>
    <x v="41"/>
    <x v="5"/>
    <x v="48"/>
    <x v="2"/>
    <x v="4"/>
  </r>
  <r>
    <x v="1128"/>
    <x v="200"/>
    <x v="2"/>
    <x v="2"/>
    <x v="1"/>
    <x v="2"/>
    <x v="8"/>
    <x v="5"/>
    <x v="0"/>
    <x v="43"/>
    <x v="6"/>
    <x v="516"/>
    <x v="1"/>
    <x v="2"/>
  </r>
  <r>
    <x v="1129"/>
    <x v="201"/>
    <x v="1"/>
    <x v="1"/>
    <x v="1"/>
    <x v="1"/>
    <x v="20"/>
    <x v="4"/>
    <x v="3"/>
    <x v="114"/>
    <x v="3"/>
    <x v="849"/>
    <x v="2"/>
    <x v="1"/>
  </r>
  <r>
    <x v="1130"/>
    <x v="201"/>
    <x v="4"/>
    <x v="1"/>
    <x v="0"/>
    <x v="2"/>
    <x v="3"/>
    <x v="8"/>
    <x v="1"/>
    <x v="94"/>
    <x v="4"/>
    <x v="354"/>
    <x v="0"/>
    <x v="4"/>
  </r>
  <r>
    <x v="1131"/>
    <x v="201"/>
    <x v="3"/>
    <x v="0"/>
    <x v="0"/>
    <x v="0"/>
    <x v="19"/>
    <x v="12"/>
    <x v="1"/>
    <x v="28"/>
    <x v="2"/>
    <x v="508"/>
    <x v="0"/>
    <x v="3"/>
  </r>
  <r>
    <x v="1132"/>
    <x v="201"/>
    <x v="2"/>
    <x v="1"/>
    <x v="0"/>
    <x v="0"/>
    <x v="0"/>
    <x v="11"/>
    <x v="3"/>
    <x v="0"/>
    <x v="5"/>
    <x v="850"/>
    <x v="1"/>
    <x v="2"/>
  </r>
  <r>
    <x v="1133"/>
    <x v="201"/>
    <x v="0"/>
    <x v="2"/>
    <x v="0"/>
    <x v="4"/>
    <x v="7"/>
    <x v="2"/>
    <x v="2"/>
    <x v="106"/>
    <x v="0"/>
    <x v="84"/>
    <x v="2"/>
    <x v="0"/>
  </r>
  <r>
    <x v="1134"/>
    <x v="201"/>
    <x v="0"/>
    <x v="0"/>
    <x v="1"/>
    <x v="3"/>
    <x v="13"/>
    <x v="3"/>
    <x v="0"/>
    <x v="15"/>
    <x v="5"/>
    <x v="58"/>
    <x v="2"/>
    <x v="0"/>
  </r>
  <r>
    <x v="1135"/>
    <x v="201"/>
    <x v="3"/>
    <x v="3"/>
    <x v="1"/>
    <x v="4"/>
    <x v="6"/>
    <x v="6"/>
    <x v="2"/>
    <x v="117"/>
    <x v="0"/>
    <x v="851"/>
    <x v="1"/>
    <x v="3"/>
  </r>
  <r>
    <x v="1136"/>
    <x v="201"/>
    <x v="1"/>
    <x v="3"/>
    <x v="1"/>
    <x v="5"/>
    <x v="21"/>
    <x v="13"/>
    <x v="0"/>
    <x v="141"/>
    <x v="0"/>
    <x v="852"/>
    <x v="0"/>
    <x v="1"/>
  </r>
  <r>
    <x v="1137"/>
    <x v="201"/>
    <x v="1"/>
    <x v="0"/>
    <x v="1"/>
    <x v="2"/>
    <x v="2"/>
    <x v="4"/>
    <x v="5"/>
    <x v="19"/>
    <x v="1"/>
    <x v="853"/>
    <x v="2"/>
    <x v="1"/>
  </r>
  <r>
    <x v="1138"/>
    <x v="202"/>
    <x v="2"/>
    <x v="0"/>
    <x v="0"/>
    <x v="1"/>
    <x v="24"/>
    <x v="7"/>
    <x v="3"/>
    <x v="54"/>
    <x v="6"/>
    <x v="355"/>
    <x v="3"/>
    <x v="2"/>
  </r>
  <r>
    <x v="1139"/>
    <x v="202"/>
    <x v="4"/>
    <x v="1"/>
    <x v="0"/>
    <x v="3"/>
    <x v="14"/>
    <x v="10"/>
    <x v="3"/>
    <x v="151"/>
    <x v="6"/>
    <x v="854"/>
    <x v="2"/>
    <x v="4"/>
  </r>
  <r>
    <x v="1140"/>
    <x v="202"/>
    <x v="3"/>
    <x v="1"/>
    <x v="0"/>
    <x v="0"/>
    <x v="27"/>
    <x v="9"/>
    <x v="2"/>
    <x v="69"/>
    <x v="5"/>
    <x v="855"/>
    <x v="2"/>
    <x v="3"/>
  </r>
  <r>
    <x v="1141"/>
    <x v="203"/>
    <x v="4"/>
    <x v="2"/>
    <x v="1"/>
    <x v="4"/>
    <x v="11"/>
    <x v="10"/>
    <x v="4"/>
    <x v="13"/>
    <x v="4"/>
    <x v="856"/>
    <x v="2"/>
    <x v="4"/>
  </r>
  <r>
    <x v="1142"/>
    <x v="203"/>
    <x v="3"/>
    <x v="2"/>
    <x v="0"/>
    <x v="2"/>
    <x v="3"/>
    <x v="12"/>
    <x v="0"/>
    <x v="3"/>
    <x v="0"/>
    <x v="242"/>
    <x v="0"/>
    <x v="3"/>
  </r>
  <r>
    <x v="1143"/>
    <x v="203"/>
    <x v="3"/>
    <x v="0"/>
    <x v="0"/>
    <x v="2"/>
    <x v="5"/>
    <x v="12"/>
    <x v="5"/>
    <x v="33"/>
    <x v="5"/>
    <x v="857"/>
    <x v="0"/>
    <x v="3"/>
  </r>
  <r>
    <x v="1144"/>
    <x v="203"/>
    <x v="3"/>
    <x v="0"/>
    <x v="0"/>
    <x v="5"/>
    <x v="15"/>
    <x v="12"/>
    <x v="3"/>
    <x v="20"/>
    <x v="6"/>
    <x v="246"/>
    <x v="0"/>
    <x v="3"/>
  </r>
  <r>
    <x v="1145"/>
    <x v="203"/>
    <x v="1"/>
    <x v="2"/>
    <x v="0"/>
    <x v="4"/>
    <x v="12"/>
    <x v="1"/>
    <x v="2"/>
    <x v="121"/>
    <x v="0"/>
    <x v="858"/>
    <x v="1"/>
    <x v="1"/>
  </r>
  <r>
    <x v="1146"/>
    <x v="203"/>
    <x v="3"/>
    <x v="1"/>
    <x v="1"/>
    <x v="2"/>
    <x v="9"/>
    <x v="9"/>
    <x v="0"/>
    <x v="10"/>
    <x v="0"/>
    <x v="69"/>
    <x v="2"/>
    <x v="3"/>
  </r>
  <r>
    <x v="1147"/>
    <x v="204"/>
    <x v="1"/>
    <x v="2"/>
    <x v="1"/>
    <x v="3"/>
    <x v="4"/>
    <x v="13"/>
    <x v="1"/>
    <x v="41"/>
    <x v="3"/>
    <x v="859"/>
    <x v="0"/>
    <x v="1"/>
  </r>
  <r>
    <x v="1148"/>
    <x v="204"/>
    <x v="4"/>
    <x v="0"/>
    <x v="0"/>
    <x v="0"/>
    <x v="19"/>
    <x v="10"/>
    <x v="3"/>
    <x v="28"/>
    <x v="6"/>
    <x v="147"/>
    <x v="2"/>
    <x v="4"/>
  </r>
  <r>
    <x v="1149"/>
    <x v="204"/>
    <x v="3"/>
    <x v="2"/>
    <x v="0"/>
    <x v="1"/>
    <x v="22"/>
    <x v="9"/>
    <x v="3"/>
    <x v="47"/>
    <x v="6"/>
    <x v="860"/>
    <x v="2"/>
    <x v="3"/>
  </r>
  <r>
    <x v="1150"/>
    <x v="204"/>
    <x v="4"/>
    <x v="1"/>
    <x v="0"/>
    <x v="1"/>
    <x v="1"/>
    <x v="14"/>
    <x v="3"/>
    <x v="166"/>
    <x v="1"/>
    <x v="861"/>
    <x v="2"/>
    <x v="4"/>
  </r>
  <r>
    <x v="1151"/>
    <x v="205"/>
    <x v="2"/>
    <x v="2"/>
    <x v="0"/>
    <x v="1"/>
    <x v="22"/>
    <x v="7"/>
    <x v="5"/>
    <x v="156"/>
    <x v="6"/>
    <x v="862"/>
    <x v="3"/>
    <x v="2"/>
  </r>
  <r>
    <x v="1152"/>
    <x v="205"/>
    <x v="4"/>
    <x v="1"/>
    <x v="0"/>
    <x v="3"/>
    <x v="4"/>
    <x v="14"/>
    <x v="3"/>
    <x v="81"/>
    <x v="1"/>
    <x v="234"/>
    <x v="2"/>
    <x v="4"/>
  </r>
  <r>
    <x v="1153"/>
    <x v="205"/>
    <x v="4"/>
    <x v="1"/>
    <x v="0"/>
    <x v="0"/>
    <x v="0"/>
    <x v="14"/>
    <x v="0"/>
    <x v="107"/>
    <x v="2"/>
    <x v="863"/>
    <x v="2"/>
    <x v="4"/>
  </r>
  <r>
    <x v="1154"/>
    <x v="205"/>
    <x v="4"/>
    <x v="0"/>
    <x v="1"/>
    <x v="4"/>
    <x v="6"/>
    <x v="10"/>
    <x v="2"/>
    <x v="104"/>
    <x v="0"/>
    <x v="362"/>
    <x v="2"/>
    <x v="4"/>
  </r>
  <r>
    <x v="1155"/>
    <x v="206"/>
    <x v="2"/>
    <x v="0"/>
    <x v="0"/>
    <x v="5"/>
    <x v="18"/>
    <x v="11"/>
    <x v="3"/>
    <x v="27"/>
    <x v="4"/>
    <x v="29"/>
    <x v="1"/>
    <x v="2"/>
  </r>
  <r>
    <x v="1156"/>
    <x v="206"/>
    <x v="3"/>
    <x v="2"/>
    <x v="0"/>
    <x v="1"/>
    <x v="24"/>
    <x v="12"/>
    <x v="2"/>
    <x v="54"/>
    <x v="0"/>
    <x v="864"/>
    <x v="0"/>
    <x v="3"/>
  </r>
  <r>
    <x v="1157"/>
    <x v="206"/>
    <x v="1"/>
    <x v="1"/>
    <x v="1"/>
    <x v="0"/>
    <x v="27"/>
    <x v="13"/>
    <x v="4"/>
    <x v="149"/>
    <x v="0"/>
    <x v="865"/>
    <x v="0"/>
    <x v="1"/>
  </r>
  <r>
    <x v="1158"/>
    <x v="207"/>
    <x v="0"/>
    <x v="3"/>
    <x v="1"/>
    <x v="0"/>
    <x v="19"/>
    <x v="2"/>
    <x v="11"/>
    <x v="28"/>
    <x v="5"/>
    <x v="866"/>
    <x v="2"/>
    <x v="0"/>
  </r>
  <r>
    <x v="1159"/>
    <x v="207"/>
    <x v="3"/>
    <x v="0"/>
    <x v="0"/>
    <x v="2"/>
    <x v="3"/>
    <x v="6"/>
    <x v="3"/>
    <x v="3"/>
    <x v="6"/>
    <x v="867"/>
    <x v="1"/>
    <x v="3"/>
  </r>
  <r>
    <x v="1160"/>
    <x v="208"/>
    <x v="1"/>
    <x v="3"/>
    <x v="0"/>
    <x v="5"/>
    <x v="25"/>
    <x v="13"/>
    <x v="3"/>
    <x v="101"/>
    <x v="0"/>
    <x v="377"/>
    <x v="0"/>
    <x v="1"/>
  </r>
  <r>
    <x v="1161"/>
    <x v="208"/>
    <x v="3"/>
    <x v="3"/>
    <x v="0"/>
    <x v="4"/>
    <x v="11"/>
    <x v="6"/>
    <x v="6"/>
    <x v="113"/>
    <x v="4"/>
    <x v="640"/>
    <x v="1"/>
    <x v="3"/>
  </r>
  <r>
    <x v="1162"/>
    <x v="209"/>
    <x v="2"/>
    <x v="0"/>
    <x v="0"/>
    <x v="4"/>
    <x v="12"/>
    <x v="7"/>
    <x v="2"/>
    <x v="121"/>
    <x v="0"/>
    <x v="858"/>
    <x v="3"/>
    <x v="2"/>
  </r>
  <r>
    <x v="1163"/>
    <x v="209"/>
    <x v="0"/>
    <x v="0"/>
    <x v="1"/>
    <x v="4"/>
    <x v="6"/>
    <x v="0"/>
    <x v="3"/>
    <x v="6"/>
    <x v="4"/>
    <x v="240"/>
    <x v="0"/>
    <x v="0"/>
  </r>
  <r>
    <x v="1164"/>
    <x v="209"/>
    <x v="1"/>
    <x v="0"/>
    <x v="1"/>
    <x v="2"/>
    <x v="5"/>
    <x v="4"/>
    <x v="0"/>
    <x v="33"/>
    <x v="1"/>
    <x v="447"/>
    <x v="2"/>
    <x v="1"/>
  </r>
  <r>
    <x v="1165"/>
    <x v="209"/>
    <x v="2"/>
    <x v="1"/>
    <x v="1"/>
    <x v="1"/>
    <x v="26"/>
    <x v="7"/>
    <x v="5"/>
    <x v="146"/>
    <x v="3"/>
    <x v="569"/>
    <x v="3"/>
    <x v="2"/>
  </r>
  <r>
    <x v="1166"/>
    <x v="209"/>
    <x v="1"/>
    <x v="2"/>
    <x v="1"/>
    <x v="4"/>
    <x v="6"/>
    <x v="4"/>
    <x v="3"/>
    <x v="6"/>
    <x v="6"/>
    <x v="35"/>
    <x v="2"/>
    <x v="1"/>
  </r>
  <r>
    <x v="1167"/>
    <x v="209"/>
    <x v="1"/>
    <x v="3"/>
    <x v="0"/>
    <x v="3"/>
    <x v="14"/>
    <x v="13"/>
    <x v="3"/>
    <x v="18"/>
    <x v="6"/>
    <x v="868"/>
    <x v="0"/>
    <x v="1"/>
  </r>
  <r>
    <x v="1168"/>
    <x v="210"/>
    <x v="1"/>
    <x v="0"/>
    <x v="0"/>
    <x v="4"/>
    <x v="11"/>
    <x v="4"/>
    <x v="5"/>
    <x v="130"/>
    <x v="4"/>
    <x v="869"/>
    <x v="2"/>
    <x v="1"/>
  </r>
  <r>
    <x v="1169"/>
    <x v="210"/>
    <x v="4"/>
    <x v="3"/>
    <x v="0"/>
    <x v="5"/>
    <x v="21"/>
    <x v="10"/>
    <x v="0"/>
    <x v="40"/>
    <x v="1"/>
    <x v="596"/>
    <x v="2"/>
    <x v="4"/>
  </r>
  <r>
    <x v="1170"/>
    <x v="210"/>
    <x v="4"/>
    <x v="0"/>
    <x v="0"/>
    <x v="2"/>
    <x v="2"/>
    <x v="14"/>
    <x v="5"/>
    <x v="19"/>
    <x v="2"/>
    <x v="870"/>
    <x v="2"/>
    <x v="4"/>
  </r>
  <r>
    <x v="1171"/>
    <x v="211"/>
    <x v="3"/>
    <x v="3"/>
    <x v="0"/>
    <x v="3"/>
    <x v="4"/>
    <x v="12"/>
    <x v="3"/>
    <x v="81"/>
    <x v="4"/>
    <x v="871"/>
    <x v="0"/>
    <x v="3"/>
  </r>
  <r>
    <x v="1172"/>
    <x v="211"/>
    <x v="4"/>
    <x v="0"/>
    <x v="0"/>
    <x v="0"/>
    <x v="10"/>
    <x v="8"/>
    <x v="3"/>
    <x v="109"/>
    <x v="2"/>
    <x v="872"/>
    <x v="0"/>
    <x v="4"/>
  </r>
  <r>
    <x v="1173"/>
    <x v="211"/>
    <x v="0"/>
    <x v="1"/>
    <x v="1"/>
    <x v="2"/>
    <x v="9"/>
    <x v="3"/>
    <x v="0"/>
    <x v="10"/>
    <x v="1"/>
    <x v="74"/>
    <x v="2"/>
    <x v="0"/>
  </r>
  <r>
    <x v="1174"/>
    <x v="211"/>
    <x v="3"/>
    <x v="1"/>
    <x v="1"/>
    <x v="1"/>
    <x v="20"/>
    <x v="9"/>
    <x v="4"/>
    <x v="158"/>
    <x v="5"/>
    <x v="873"/>
    <x v="2"/>
    <x v="3"/>
  </r>
  <r>
    <x v="1175"/>
    <x v="211"/>
    <x v="2"/>
    <x v="0"/>
    <x v="0"/>
    <x v="1"/>
    <x v="20"/>
    <x v="7"/>
    <x v="0"/>
    <x v="31"/>
    <x v="6"/>
    <x v="355"/>
    <x v="3"/>
    <x v="2"/>
  </r>
  <r>
    <x v="1176"/>
    <x v="211"/>
    <x v="4"/>
    <x v="0"/>
    <x v="0"/>
    <x v="5"/>
    <x v="25"/>
    <x v="14"/>
    <x v="3"/>
    <x v="101"/>
    <x v="1"/>
    <x v="442"/>
    <x v="2"/>
    <x v="4"/>
  </r>
  <r>
    <x v="1177"/>
    <x v="211"/>
    <x v="1"/>
    <x v="3"/>
    <x v="0"/>
    <x v="1"/>
    <x v="26"/>
    <x v="1"/>
    <x v="4"/>
    <x v="65"/>
    <x v="1"/>
    <x v="874"/>
    <x v="1"/>
    <x v="1"/>
  </r>
  <r>
    <x v="1178"/>
    <x v="211"/>
    <x v="2"/>
    <x v="0"/>
    <x v="0"/>
    <x v="1"/>
    <x v="20"/>
    <x v="5"/>
    <x v="4"/>
    <x v="31"/>
    <x v="6"/>
    <x v="875"/>
    <x v="1"/>
    <x v="2"/>
  </r>
  <r>
    <x v="1179"/>
    <x v="211"/>
    <x v="3"/>
    <x v="3"/>
    <x v="0"/>
    <x v="1"/>
    <x v="26"/>
    <x v="12"/>
    <x v="12"/>
    <x v="65"/>
    <x v="3"/>
    <x v="876"/>
    <x v="0"/>
    <x v="3"/>
  </r>
  <r>
    <x v="1180"/>
    <x v="212"/>
    <x v="4"/>
    <x v="0"/>
    <x v="0"/>
    <x v="0"/>
    <x v="0"/>
    <x v="14"/>
    <x v="2"/>
    <x v="0"/>
    <x v="6"/>
    <x v="35"/>
    <x v="2"/>
    <x v="4"/>
  </r>
  <r>
    <x v="1181"/>
    <x v="212"/>
    <x v="1"/>
    <x v="2"/>
    <x v="1"/>
    <x v="3"/>
    <x v="23"/>
    <x v="13"/>
    <x v="0"/>
    <x v="37"/>
    <x v="3"/>
    <x v="134"/>
    <x v="0"/>
    <x v="1"/>
  </r>
  <r>
    <x v="1182"/>
    <x v="212"/>
    <x v="1"/>
    <x v="0"/>
    <x v="1"/>
    <x v="1"/>
    <x v="20"/>
    <x v="1"/>
    <x v="0"/>
    <x v="114"/>
    <x v="6"/>
    <x v="877"/>
    <x v="1"/>
    <x v="1"/>
  </r>
  <r>
    <x v="1183"/>
    <x v="212"/>
    <x v="4"/>
    <x v="2"/>
    <x v="1"/>
    <x v="2"/>
    <x v="8"/>
    <x v="10"/>
    <x v="0"/>
    <x v="56"/>
    <x v="2"/>
    <x v="878"/>
    <x v="2"/>
    <x v="4"/>
  </r>
  <r>
    <x v="1184"/>
    <x v="213"/>
    <x v="4"/>
    <x v="2"/>
    <x v="0"/>
    <x v="3"/>
    <x v="4"/>
    <x v="10"/>
    <x v="3"/>
    <x v="62"/>
    <x v="6"/>
    <x v="380"/>
    <x v="2"/>
    <x v="4"/>
  </r>
  <r>
    <x v="1185"/>
    <x v="213"/>
    <x v="3"/>
    <x v="0"/>
    <x v="0"/>
    <x v="1"/>
    <x v="22"/>
    <x v="12"/>
    <x v="5"/>
    <x v="156"/>
    <x v="6"/>
    <x v="862"/>
    <x v="0"/>
    <x v="3"/>
  </r>
  <r>
    <x v="1186"/>
    <x v="213"/>
    <x v="0"/>
    <x v="1"/>
    <x v="0"/>
    <x v="2"/>
    <x v="3"/>
    <x v="2"/>
    <x v="3"/>
    <x v="132"/>
    <x v="4"/>
    <x v="879"/>
    <x v="2"/>
    <x v="0"/>
  </r>
  <r>
    <x v="1187"/>
    <x v="214"/>
    <x v="1"/>
    <x v="2"/>
    <x v="1"/>
    <x v="1"/>
    <x v="20"/>
    <x v="4"/>
    <x v="2"/>
    <x v="114"/>
    <x v="5"/>
    <x v="880"/>
    <x v="2"/>
    <x v="1"/>
  </r>
  <r>
    <x v="1188"/>
    <x v="214"/>
    <x v="4"/>
    <x v="0"/>
    <x v="0"/>
    <x v="1"/>
    <x v="24"/>
    <x v="10"/>
    <x v="2"/>
    <x v="159"/>
    <x v="0"/>
    <x v="881"/>
    <x v="2"/>
    <x v="4"/>
  </r>
  <r>
    <x v="1189"/>
    <x v="214"/>
    <x v="3"/>
    <x v="3"/>
    <x v="1"/>
    <x v="5"/>
    <x v="16"/>
    <x v="6"/>
    <x v="3"/>
    <x v="67"/>
    <x v="1"/>
    <x v="345"/>
    <x v="1"/>
    <x v="3"/>
  </r>
  <r>
    <x v="1190"/>
    <x v="214"/>
    <x v="4"/>
    <x v="2"/>
    <x v="0"/>
    <x v="2"/>
    <x v="9"/>
    <x v="10"/>
    <x v="0"/>
    <x v="10"/>
    <x v="0"/>
    <x v="69"/>
    <x v="2"/>
    <x v="4"/>
  </r>
  <r>
    <x v="1191"/>
    <x v="214"/>
    <x v="4"/>
    <x v="0"/>
    <x v="0"/>
    <x v="1"/>
    <x v="20"/>
    <x v="10"/>
    <x v="5"/>
    <x v="143"/>
    <x v="1"/>
    <x v="582"/>
    <x v="2"/>
    <x v="4"/>
  </r>
  <r>
    <x v="1192"/>
    <x v="215"/>
    <x v="4"/>
    <x v="0"/>
    <x v="0"/>
    <x v="5"/>
    <x v="25"/>
    <x v="14"/>
    <x v="3"/>
    <x v="101"/>
    <x v="5"/>
    <x v="177"/>
    <x v="2"/>
    <x v="4"/>
  </r>
  <r>
    <x v="1193"/>
    <x v="215"/>
    <x v="1"/>
    <x v="3"/>
    <x v="0"/>
    <x v="4"/>
    <x v="11"/>
    <x v="4"/>
    <x v="5"/>
    <x v="95"/>
    <x v="5"/>
    <x v="882"/>
    <x v="2"/>
    <x v="1"/>
  </r>
  <r>
    <x v="1194"/>
    <x v="215"/>
    <x v="1"/>
    <x v="1"/>
    <x v="0"/>
    <x v="5"/>
    <x v="18"/>
    <x v="1"/>
    <x v="3"/>
    <x v="125"/>
    <x v="0"/>
    <x v="883"/>
    <x v="1"/>
    <x v="1"/>
  </r>
  <r>
    <x v="1195"/>
    <x v="215"/>
    <x v="0"/>
    <x v="3"/>
    <x v="0"/>
    <x v="5"/>
    <x v="25"/>
    <x v="2"/>
    <x v="0"/>
    <x v="97"/>
    <x v="6"/>
    <x v="884"/>
    <x v="2"/>
    <x v="0"/>
  </r>
  <r>
    <x v="1196"/>
    <x v="215"/>
    <x v="1"/>
    <x v="3"/>
    <x v="1"/>
    <x v="3"/>
    <x v="4"/>
    <x v="13"/>
    <x v="2"/>
    <x v="48"/>
    <x v="2"/>
    <x v="885"/>
    <x v="0"/>
    <x v="1"/>
  </r>
  <r>
    <x v="1197"/>
    <x v="216"/>
    <x v="0"/>
    <x v="1"/>
    <x v="0"/>
    <x v="3"/>
    <x v="4"/>
    <x v="0"/>
    <x v="2"/>
    <x v="41"/>
    <x v="4"/>
    <x v="886"/>
    <x v="0"/>
    <x v="0"/>
  </r>
  <r>
    <x v="1198"/>
    <x v="216"/>
    <x v="2"/>
    <x v="0"/>
    <x v="1"/>
    <x v="0"/>
    <x v="19"/>
    <x v="7"/>
    <x v="3"/>
    <x v="71"/>
    <x v="6"/>
    <x v="887"/>
    <x v="3"/>
    <x v="2"/>
  </r>
  <r>
    <x v="1199"/>
    <x v="216"/>
    <x v="0"/>
    <x v="3"/>
    <x v="0"/>
    <x v="4"/>
    <x v="11"/>
    <x v="0"/>
    <x v="6"/>
    <x v="113"/>
    <x v="1"/>
    <x v="888"/>
    <x v="0"/>
    <x v="0"/>
  </r>
  <r>
    <x v="1200"/>
    <x v="216"/>
    <x v="0"/>
    <x v="1"/>
    <x v="1"/>
    <x v="0"/>
    <x v="10"/>
    <x v="0"/>
    <x v="0"/>
    <x v="109"/>
    <x v="0"/>
    <x v="727"/>
    <x v="0"/>
    <x v="0"/>
  </r>
  <r>
    <x v="1201"/>
    <x v="217"/>
    <x v="4"/>
    <x v="2"/>
    <x v="0"/>
    <x v="2"/>
    <x v="8"/>
    <x v="8"/>
    <x v="0"/>
    <x v="56"/>
    <x v="4"/>
    <x v="889"/>
    <x v="0"/>
    <x v="4"/>
  </r>
  <r>
    <x v="1202"/>
    <x v="217"/>
    <x v="4"/>
    <x v="3"/>
    <x v="1"/>
    <x v="5"/>
    <x v="15"/>
    <x v="10"/>
    <x v="3"/>
    <x v="25"/>
    <x v="1"/>
    <x v="139"/>
    <x v="2"/>
    <x v="4"/>
  </r>
  <r>
    <x v="1203"/>
    <x v="218"/>
    <x v="2"/>
    <x v="3"/>
    <x v="0"/>
    <x v="3"/>
    <x v="4"/>
    <x v="7"/>
    <x v="0"/>
    <x v="81"/>
    <x v="1"/>
    <x v="383"/>
    <x v="3"/>
    <x v="2"/>
  </r>
  <r>
    <x v="1204"/>
    <x v="218"/>
    <x v="4"/>
    <x v="3"/>
    <x v="0"/>
    <x v="4"/>
    <x v="6"/>
    <x v="8"/>
    <x v="9"/>
    <x v="44"/>
    <x v="6"/>
    <x v="890"/>
    <x v="0"/>
    <x v="4"/>
  </r>
  <r>
    <x v="1205"/>
    <x v="218"/>
    <x v="1"/>
    <x v="0"/>
    <x v="0"/>
    <x v="4"/>
    <x v="11"/>
    <x v="13"/>
    <x v="5"/>
    <x v="13"/>
    <x v="6"/>
    <x v="891"/>
    <x v="0"/>
    <x v="1"/>
  </r>
  <r>
    <x v="1206"/>
    <x v="218"/>
    <x v="4"/>
    <x v="2"/>
    <x v="0"/>
    <x v="5"/>
    <x v="16"/>
    <x v="10"/>
    <x v="3"/>
    <x v="67"/>
    <x v="4"/>
    <x v="696"/>
    <x v="2"/>
    <x v="4"/>
  </r>
  <r>
    <x v="1207"/>
    <x v="218"/>
    <x v="3"/>
    <x v="0"/>
    <x v="0"/>
    <x v="4"/>
    <x v="6"/>
    <x v="9"/>
    <x v="0"/>
    <x v="117"/>
    <x v="5"/>
    <x v="892"/>
    <x v="2"/>
    <x v="3"/>
  </r>
  <r>
    <x v="1208"/>
    <x v="218"/>
    <x v="0"/>
    <x v="1"/>
    <x v="0"/>
    <x v="2"/>
    <x v="9"/>
    <x v="2"/>
    <x v="0"/>
    <x v="10"/>
    <x v="3"/>
    <x v="893"/>
    <x v="2"/>
    <x v="0"/>
  </r>
  <r>
    <x v="1209"/>
    <x v="218"/>
    <x v="1"/>
    <x v="1"/>
    <x v="0"/>
    <x v="0"/>
    <x v="19"/>
    <x v="13"/>
    <x v="3"/>
    <x v="28"/>
    <x v="0"/>
    <x v="835"/>
    <x v="0"/>
    <x v="1"/>
  </r>
  <r>
    <x v="1210"/>
    <x v="219"/>
    <x v="3"/>
    <x v="0"/>
    <x v="0"/>
    <x v="3"/>
    <x v="23"/>
    <x v="6"/>
    <x v="2"/>
    <x v="145"/>
    <x v="1"/>
    <x v="894"/>
    <x v="1"/>
    <x v="3"/>
  </r>
  <r>
    <x v="1211"/>
    <x v="219"/>
    <x v="3"/>
    <x v="0"/>
    <x v="0"/>
    <x v="3"/>
    <x v="4"/>
    <x v="9"/>
    <x v="2"/>
    <x v="81"/>
    <x v="6"/>
    <x v="886"/>
    <x v="2"/>
    <x v="3"/>
  </r>
  <r>
    <x v="1212"/>
    <x v="219"/>
    <x v="4"/>
    <x v="2"/>
    <x v="0"/>
    <x v="5"/>
    <x v="16"/>
    <x v="10"/>
    <x v="3"/>
    <x v="91"/>
    <x v="0"/>
    <x v="895"/>
    <x v="2"/>
    <x v="4"/>
  </r>
  <r>
    <x v="1213"/>
    <x v="219"/>
    <x v="3"/>
    <x v="0"/>
    <x v="0"/>
    <x v="3"/>
    <x v="14"/>
    <x v="9"/>
    <x v="3"/>
    <x v="76"/>
    <x v="5"/>
    <x v="338"/>
    <x v="2"/>
    <x v="3"/>
  </r>
  <r>
    <x v="1214"/>
    <x v="219"/>
    <x v="3"/>
    <x v="2"/>
    <x v="1"/>
    <x v="3"/>
    <x v="23"/>
    <x v="6"/>
    <x v="3"/>
    <x v="98"/>
    <x v="0"/>
    <x v="782"/>
    <x v="1"/>
    <x v="3"/>
  </r>
  <r>
    <x v="1215"/>
    <x v="220"/>
    <x v="4"/>
    <x v="0"/>
    <x v="0"/>
    <x v="2"/>
    <x v="9"/>
    <x v="10"/>
    <x v="3"/>
    <x v="10"/>
    <x v="4"/>
    <x v="612"/>
    <x v="2"/>
    <x v="4"/>
  </r>
  <r>
    <x v="1216"/>
    <x v="220"/>
    <x v="4"/>
    <x v="2"/>
    <x v="0"/>
    <x v="3"/>
    <x v="4"/>
    <x v="14"/>
    <x v="3"/>
    <x v="41"/>
    <x v="3"/>
    <x v="896"/>
    <x v="2"/>
    <x v="4"/>
  </r>
  <r>
    <x v="1217"/>
    <x v="220"/>
    <x v="4"/>
    <x v="2"/>
    <x v="0"/>
    <x v="5"/>
    <x v="16"/>
    <x v="14"/>
    <x v="3"/>
    <x v="21"/>
    <x v="2"/>
    <x v="897"/>
    <x v="2"/>
    <x v="4"/>
  </r>
  <r>
    <x v="1218"/>
    <x v="220"/>
    <x v="3"/>
    <x v="0"/>
    <x v="0"/>
    <x v="2"/>
    <x v="17"/>
    <x v="9"/>
    <x v="5"/>
    <x v="24"/>
    <x v="0"/>
    <x v="635"/>
    <x v="2"/>
    <x v="3"/>
  </r>
  <r>
    <x v="1219"/>
    <x v="220"/>
    <x v="4"/>
    <x v="2"/>
    <x v="0"/>
    <x v="1"/>
    <x v="22"/>
    <x v="8"/>
    <x v="0"/>
    <x v="148"/>
    <x v="3"/>
    <x v="849"/>
    <x v="0"/>
    <x v="4"/>
  </r>
  <r>
    <x v="1220"/>
    <x v="220"/>
    <x v="4"/>
    <x v="0"/>
    <x v="0"/>
    <x v="3"/>
    <x v="14"/>
    <x v="14"/>
    <x v="3"/>
    <x v="129"/>
    <x v="1"/>
    <x v="263"/>
    <x v="2"/>
    <x v="4"/>
  </r>
  <r>
    <x v="1221"/>
    <x v="221"/>
    <x v="0"/>
    <x v="0"/>
    <x v="0"/>
    <x v="4"/>
    <x v="12"/>
    <x v="0"/>
    <x v="2"/>
    <x v="38"/>
    <x v="1"/>
    <x v="898"/>
    <x v="0"/>
    <x v="0"/>
  </r>
  <r>
    <x v="1222"/>
    <x v="221"/>
    <x v="3"/>
    <x v="0"/>
    <x v="0"/>
    <x v="2"/>
    <x v="2"/>
    <x v="9"/>
    <x v="2"/>
    <x v="2"/>
    <x v="0"/>
    <x v="899"/>
    <x v="2"/>
    <x v="3"/>
  </r>
  <r>
    <x v="1223"/>
    <x v="221"/>
    <x v="4"/>
    <x v="2"/>
    <x v="0"/>
    <x v="0"/>
    <x v="0"/>
    <x v="10"/>
    <x v="0"/>
    <x v="107"/>
    <x v="3"/>
    <x v="900"/>
    <x v="2"/>
    <x v="4"/>
  </r>
  <r>
    <x v="1224"/>
    <x v="221"/>
    <x v="4"/>
    <x v="0"/>
    <x v="0"/>
    <x v="2"/>
    <x v="8"/>
    <x v="14"/>
    <x v="1"/>
    <x v="43"/>
    <x v="0"/>
    <x v="901"/>
    <x v="2"/>
    <x v="4"/>
  </r>
  <r>
    <x v="1225"/>
    <x v="221"/>
    <x v="0"/>
    <x v="3"/>
    <x v="1"/>
    <x v="4"/>
    <x v="11"/>
    <x v="0"/>
    <x v="1"/>
    <x v="130"/>
    <x v="1"/>
    <x v="902"/>
    <x v="0"/>
    <x v="0"/>
  </r>
  <r>
    <x v="1226"/>
    <x v="221"/>
    <x v="3"/>
    <x v="0"/>
    <x v="0"/>
    <x v="2"/>
    <x v="9"/>
    <x v="9"/>
    <x v="3"/>
    <x v="102"/>
    <x v="0"/>
    <x v="903"/>
    <x v="2"/>
    <x v="3"/>
  </r>
  <r>
    <x v="1227"/>
    <x v="221"/>
    <x v="0"/>
    <x v="3"/>
    <x v="1"/>
    <x v="1"/>
    <x v="24"/>
    <x v="3"/>
    <x v="9"/>
    <x v="54"/>
    <x v="5"/>
    <x v="904"/>
    <x v="2"/>
    <x v="0"/>
  </r>
  <r>
    <x v="1228"/>
    <x v="221"/>
    <x v="4"/>
    <x v="2"/>
    <x v="1"/>
    <x v="0"/>
    <x v="19"/>
    <x v="14"/>
    <x v="4"/>
    <x v="28"/>
    <x v="6"/>
    <x v="905"/>
    <x v="2"/>
    <x v="4"/>
  </r>
  <r>
    <x v="1229"/>
    <x v="222"/>
    <x v="1"/>
    <x v="1"/>
    <x v="0"/>
    <x v="5"/>
    <x v="25"/>
    <x v="1"/>
    <x v="3"/>
    <x v="78"/>
    <x v="1"/>
    <x v="121"/>
    <x v="1"/>
    <x v="1"/>
  </r>
  <r>
    <x v="1230"/>
    <x v="222"/>
    <x v="2"/>
    <x v="0"/>
    <x v="1"/>
    <x v="4"/>
    <x v="7"/>
    <x v="11"/>
    <x v="0"/>
    <x v="136"/>
    <x v="6"/>
    <x v="144"/>
    <x v="1"/>
    <x v="2"/>
  </r>
  <r>
    <x v="1231"/>
    <x v="222"/>
    <x v="2"/>
    <x v="2"/>
    <x v="0"/>
    <x v="2"/>
    <x v="9"/>
    <x v="5"/>
    <x v="1"/>
    <x v="10"/>
    <x v="1"/>
    <x v="906"/>
    <x v="1"/>
    <x v="2"/>
  </r>
  <r>
    <x v="1232"/>
    <x v="223"/>
    <x v="0"/>
    <x v="2"/>
    <x v="0"/>
    <x v="1"/>
    <x v="26"/>
    <x v="3"/>
    <x v="5"/>
    <x v="119"/>
    <x v="4"/>
    <x v="907"/>
    <x v="2"/>
    <x v="0"/>
  </r>
  <r>
    <x v="1233"/>
    <x v="223"/>
    <x v="0"/>
    <x v="2"/>
    <x v="0"/>
    <x v="2"/>
    <x v="3"/>
    <x v="2"/>
    <x v="5"/>
    <x v="94"/>
    <x v="1"/>
    <x v="908"/>
    <x v="2"/>
    <x v="0"/>
  </r>
  <r>
    <x v="1234"/>
    <x v="223"/>
    <x v="4"/>
    <x v="3"/>
    <x v="1"/>
    <x v="2"/>
    <x v="17"/>
    <x v="8"/>
    <x v="1"/>
    <x v="87"/>
    <x v="5"/>
    <x v="909"/>
    <x v="0"/>
    <x v="4"/>
  </r>
  <r>
    <x v="1235"/>
    <x v="223"/>
    <x v="0"/>
    <x v="3"/>
    <x v="0"/>
    <x v="3"/>
    <x v="23"/>
    <x v="2"/>
    <x v="0"/>
    <x v="90"/>
    <x v="0"/>
    <x v="910"/>
    <x v="2"/>
    <x v="0"/>
  </r>
  <r>
    <x v="1236"/>
    <x v="223"/>
    <x v="3"/>
    <x v="1"/>
    <x v="1"/>
    <x v="2"/>
    <x v="3"/>
    <x v="6"/>
    <x v="0"/>
    <x v="7"/>
    <x v="1"/>
    <x v="7"/>
    <x v="1"/>
    <x v="3"/>
  </r>
  <r>
    <x v="1237"/>
    <x v="223"/>
    <x v="4"/>
    <x v="1"/>
    <x v="0"/>
    <x v="0"/>
    <x v="27"/>
    <x v="14"/>
    <x v="1"/>
    <x v="69"/>
    <x v="3"/>
    <x v="911"/>
    <x v="2"/>
    <x v="4"/>
  </r>
  <r>
    <x v="1238"/>
    <x v="223"/>
    <x v="4"/>
    <x v="0"/>
    <x v="0"/>
    <x v="3"/>
    <x v="14"/>
    <x v="14"/>
    <x v="0"/>
    <x v="144"/>
    <x v="1"/>
    <x v="912"/>
    <x v="2"/>
    <x v="4"/>
  </r>
  <r>
    <x v="1239"/>
    <x v="223"/>
    <x v="3"/>
    <x v="1"/>
    <x v="1"/>
    <x v="2"/>
    <x v="5"/>
    <x v="12"/>
    <x v="0"/>
    <x v="66"/>
    <x v="5"/>
    <x v="368"/>
    <x v="0"/>
    <x v="3"/>
  </r>
  <r>
    <x v="1240"/>
    <x v="223"/>
    <x v="1"/>
    <x v="0"/>
    <x v="1"/>
    <x v="5"/>
    <x v="15"/>
    <x v="13"/>
    <x v="0"/>
    <x v="20"/>
    <x v="1"/>
    <x v="158"/>
    <x v="0"/>
    <x v="1"/>
  </r>
  <r>
    <x v="1241"/>
    <x v="223"/>
    <x v="2"/>
    <x v="0"/>
    <x v="1"/>
    <x v="3"/>
    <x v="13"/>
    <x v="11"/>
    <x v="3"/>
    <x v="162"/>
    <x v="6"/>
    <x v="834"/>
    <x v="1"/>
    <x v="2"/>
  </r>
  <r>
    <x v="1242"/>
    <x v="223"/>
    <x v="1"/>
    <x v="2"/>
    <x v="1"/>
    <x v="5"/>
    <x v="15"/>
    <x v="13"/>
    <x v="3"/>
    <x v="70"/>
    <x v="0"/>
    <x v="506"/>
    <x v="0"/>
    <x v="1"/>
  </r>
  <r>
    <x v="1243"/>
    <x v="224"/>
    <x v="0"/>
    <x v="2"/>
    <x v="0"/>
    <x v="0"/>
    <x v="0"/>
    <x v="2"/>
    <x v="0"/>
    <x v="107"/>
    <x v="0"/>
    <x v="165"/>
    <x v="2"/>
    <x v="0"/>
  </r>
  <r>
    <x v="1244"/>
    <x v="224"/>
    <x v="4"/>
    <x v="1"/>
    <x v="1"/>
    <x v="3"/>
    <x v="14"/>
    <x v="8"/>
    <x v="0"/>
    <x v="144"/>
    <x v="0"/>
    <x v="913"/>
    <x v="0"/>
    <x v="4"/>
  </r>
  <r>
    <x v="1245"/>
    <x v="224"/>
    <x v="0"/>
    <x v="0"/>
    <x v="1"/>
    <x v="1"/>
    <x v="24"/>
    <x v="0"/>
    <x v="0"/>
    <x v="63"/>
    <x v="4"/>
    <x v="914"/>
    <x v="0"/>
    <x v="0"/>
  </r>
  <r>
    <x v="1246"/>
    <x v="224"/>
    <x v="4"/>
    <x v="0"/>
    <x v="1"/>
    <x v="0"/>
    <x v="10"/>
    <x v="14"/>
    <x v="2"/>
    <x v="17"/>
    <x v="5"/>
    <x v="915"/>
    <x v="2"/>
    <x v="4"/>
  </r>
  <r>
    <x v="1247"/>
    <x v="225"/>
    <x v="0"/>
    <x v="2"/>
    <x v="1"/>
    <x v="2"/>
    <x v="2"/>
    <x v="2"/>
    <x v="1"/>
    <x v="120"/>
    <x v="1"/>
    <x v="916"/>
    <x v="2"/>
    <x v="0"/>
  </r>
  <r>
    <x v="1248"/>
    <x v="225"/>
    <x v="4"/>
    <x v="0"/>
    <x v="0"/>
    <x v="0"/>
    <x v="27"/>
    <x v="10"/>
    <x v="3"/>
    <x v="69"/>
    <x v="2"/>
    <x v="917"/>
    <x v="2"/>
    <x v="4"/>
  </r>
  <r>
    <x v="1249"/>
    <x v="226"/>
    <x v="0"/>
    <x v="2"/>
    <x v="0"/>
    <x v="5"/>
    <x v="15"/>
    <x v="0"/>
    <x v="3"/>
    <x v="20"/>
    <x v="2"/>
    <x v="21"/>
    <x v="0"/>
    <x v="0"/>
  </r>
  <r>
    <x v="1250"/>
    <x v="226"/>
    <x v="4"/>
    <x v="0"/>
    <x v="0"/>
    <x v="2"/>
    <x v="17"/>
    <x v="14"/>
    <x v="0"/>
    <x v="22"/>
    <x v="5"/>
    <x v="918"/>
    <x v="2"/>
    <x v="4"/>
  </r>
  <r>
    <x v="1251"/>
    <x v="226"/>
    <x v="4"/>
    <x v="3"/>
    <x v="1"/>
    <x v="1"/>
    <x v="24"/>
    <x v="8"/>
    <x v="5"/>
    <x v="49"/>
    <x v="5"/>
    <x v="919"/>
    <x v="0"/>
    <x v="4"/>
  </r>
  <r>
    <x v="1252"/>
    <x v="226"/>
    <x v="2"/>
    <x v="2"/>
    <x v="1"/>
    <x v="0"/>
    <x v="19"/>
    <x v="5"/>
    <x v="1"/>
    <x v="28"/>
    <x v="4"/>
    <x v="920"/>
    <x v="1"/>
    <x v="2"/>
  </r>
  <r>
    <x v="1253"/>
    <x v="226"/>
    <x v="3"/>
    <x v="2"/>
    <x v="1"/>
    <x v="5"/>
    <x v="16"/>
    <x v="9"/>
    <x v="3"/>
    <x v="67"/>
    <x v="5"/>
    <x v="281"/>
    <x v="2"/>
    <x v="3"/>
  </r>
  <r>
    <x v="1254"/>
    <x v="226"/>
    <x v="3"/>
    <x v="1"/>
    <x v="0"/>
    <x v="2"/>
    <x v="5"/>
    <x v="6"/>
    <x v="1"/>
    <x v="33"/>
    <x v="3"/>
    <x v="921"/>
    <x v="1"/>
    <x v="3"/>
  </r>
  <r>
    <x v="1255"/>
    <x v="226"/>
    <x v="0"/>
    <x v="0"/>
    <x v="0"/>
    <x v="5"/>
    <x v="18"/>
    <x v="2"/>
    <x v="3"/>
    <x v="27"/>
    <x v="3"/>
    <x v="321"/>
    <x v="2"/>
    <x v="0"/>
  </r>
  <r>
    <x v="1256"/>
    <x v="226"/>
    <x v="3"/>
    <x v="0"/>
    <x v="0"/>
    <x v="4"/>
    <x v="7"/>
    <x v="12"/>
    <x v="2"/>
    <x v="106"/>
    <x v="5"/>
    <x v="195"/>
    <x v="0"/>
    <x v="3"/>
  </r>
  <r>
    <x v="1257"/>
    <x v="226"/>
    <x v="1"/>
    <x v="0"/>
    <x v="0"/>
    <x v="3"/>
    <x v="4"/>
    <x v="4"/>
    <x v="0"/>
    <x v="4"/>
    <x v="6"/>
    <x v="830"/>
    <x v="2"/>
    <x v="1"/>
  </r>
  <r>
    <x v="1258"/>
    <x v="226"/>
    <x v="1"/>
    <x v="0"/>
    <x v="1"/>
    <x v="2"/>
    <x v="3"/>
    <x v="4"/>
    <x v="1"/>
    <x v="94"/>
    <x v="1"/>
    <x v="736"/>
    <x v="2"/>
    <x v="1"/>
  </r>
  <r>
    <x v="1259"/>
    <x v="227"/>
    <x v="4"/>
    <x v="0"/>
    <x v="0"/>
    <x v="3"/>
    <x v="4"/>
    <x v="8"/>
    <x v="3"/>
    <x v="68"/>
    <x v="6"/>
    <x v="922"/>
    <x v="0"/>
    <x v="4"/>
  </r>
  <r>
    <x v="1260"/>
    <x v="228"/>
    <x v="1"/>
    <x v="2"/>
    <x v="0"/>
    <x v="2"/>
    <x v="5"/>
    <x v="13"/>
    <x v="3"/>
    <x v="5"/>
    <x v="2"/>
    <x v="923"/>
    <x v="0"/>
    <x v="1"/>
  </r>
  <r>
    <x v="1261"/>
    <x v="228"/>
    <x v="2"/>
    <x v="3"/>
    <x v="1"/>
    <x v="5"/>
    <x v="15"/>
    <x v="7"/>
    <x v="3"/>
    <x v="20"/>
    <x v="5"/>
    <x v="303"/>
    <x v="3"/>
    <x v="2"/>
  </r>
  <r>
    <x v="1262"/>
    <x v="228"/>
    <x v="0"/>
    <x v="0"/>
    <x v="0"/>
    <x v="5"/>
    <x v="21"/>
    <x v="0"/>
    <x v="3"/>
    <x v="73"/>
    <x v="2"/>
    <x v="924"/>
    <x v="0"/>
    <x v="0"/>
  </r>
  <r>
    <x v="1263"/>
    <x v="228"/>
    <x v="4"/>
    <x v="3"/>
    <x v="0"/>
    <x v="4"/>
    <x v="11"/>
    <x v="8"/>
    <x v="12"/>
    <x v="95"/>
    <x v="4"/>
    <x v="464"/>
    <x v="0"/>
    <x v="4"/>
  </r>
  <r>
    <x v="1264"/>
    <x v="229"/>
    <x v="2"/>
    <x v="3"/>
    <x v="0"/>
    <x v="4"/>
    <x v="6"/>
    <x v="5"/>
    <x v="6"/>
    <x v="6"/>
    <x v="6"/>
    <x v="542"/>
    <x v="1"/>
    <x v="2"/>
  </r>
  <r>
    <x v="1265"/>
    <x v="229"/>
    <x v="3"/>
    <x v="3"/>
    <x v="0"/>
    <x v="3"/>
    <x v="23"/>
    <x v="6"/>
    <x v="2"/>
    <x v="37"/>
    <x v="2"/>
    <x v="925"/>
    <x v="1"/>
    <x v="3"/>
  </r>
  <r>
    <x v="1266"/>
    <x v="229"/>
    <x v="3"/>
    <x v="0"/>
    <x v="0"/>
    <x v="0"/>
    <x v="0"/>
    <x v="6"/>
    <x v="3"/>
    <x v="0"/>
    <x v="4"/>
    <x v="203"/>
    <x v="1"/>
    <x v="3"/>
  </r>
  <r>
    <x v="1267"/>
    <x v="229"/>
    <x v="4"/>
    <x v="3"/>
    <x v="1"/>
    <x v="5"/>
    <x v="15"/>
    <x v="8"/>
    <x v="3"/>
    <x v="20"/>
    <x v="4"/>
    <x v="534"/>
    <x v="0"/>
    <x v="4"/>
  </r>
  <r>
    <x v="1268"/>
    <x v="229"/>
    <x v="1"/>
    <x v="2"/>
    <x v="1"/>
    <x v="2"/>
    <x v="8"/>
    <x v="1"/>
    <x v="2"/>
    <x v="45"/>
    <x v="4"/>
    <x v="203"/>
    <x v="1"/>
    <x v="1"/>
  </r>
  <r>
    <x v="1269"/>
    <x v="229"/>
    <x v="3"/>
    <x v="0"/>
    <x v="0"/>
    <x v="0"/>
    <x v="27"/>
    <x v="6"/>
    <x v="3"/>
    <x v="69"/>
    <x v="1"/>
    <x v="218"/>
    <x v="1"/>
    <x v="3"/>
  </r>
  <r>
    <x v="1270"/>
    <x v="230"/>
    <x v="1"/>
    <x v="0"/>
    <x v="0"/>
    <x v="2"/>
    <x v="2"/>
    <x v="13"/>
    <x v="5"/>
    <x v="2"/>
    <x v="0"/>
    <x v="926"/>
    <x v="0"/>
    <x v="1"/>
  </r>
  <r>
    <x v="1271"/>
    <x v="230"/>
    <x v="4"/>
    <x v="2"/>
    <x v="0"/>
    <x v="5"/>
    <x v="25"/>
    <x v="8"/>
    <x v="0"/>
    <x v="97"/>
    <x v="1"/>
    <x v="927"/>
    <x v="0"/>
    <x v="4"/>
  </r>
  <r>
    <x v="1272"/>
    <x v="230"/>
    <x v="4"/>
    <x v="2"/>
    <x v="1"/>
    <x v="2"/>
    <x v="2"/>
    <x v="10"/>
    <x v="2"/>
    <x v="112"/>
    <x v="4"/>
    <x v="928"/>
    <x v="2"/>
    <x v="4"/>
  </r>
  <r>
    <x v="1273"/>
    <x v="230"/>
    <x v="1"/>
    <x v="0"/>
    <x v="0"/>
    <x v="3"/>
    <x v="23"/>
    <x v="4"/>
    <x v="2"/>
    <x v="90"/>
    <x v="0"/>
    <x v="536"/>
    <x v="2"/>
    <x v="1"/>
  </r>
  <r>
    <x v="1274"/>
    <x v="230"/>
    <x v="0"/>
    <x v="1"/>
    <x v="1"/>
    <x v="1"/>
    <x v="24"/>
    <x v="2"/>
    <x v="2"/>
    <x v="159"/>
    <x v="2"/>
    <x v="929"/>
    <x v="2"/>
    <x v="0"/>
  </r>
  <r>
    <x v="1275"/>
    <x v="230"/>
    <x v="0"/>
    <x v="2"/>
    <x v="1"/>
    <x v="2"/>
    <x v="2"/>
    <x v="0"/>
    <x v="0"/>
    <x v="100"/>
    <x v="0"/>
    <x v="930"/>
    <x v="0"/>
    <x v="0"/>
  </r>
  <r>
    <x v="1276"/>
    <x v="230"/>
    <x v="1"/>
    <x v="3"/>
    <x v="0"/>
    <x v="3"/>
    <x v="4"/>
    <x v="1"/>
    <x v="2"/>
    <x v="62"/>
    <x v="1"/>
    <x v="931"/>
    <x v="1"/>
    <x v="1"/>
  </r>
  <r>
    <x v="1277"/>
    <x v="230"/>
    <x v="3"/>
    <x v="1"/>
    <x v="0"/>
    <x v="1"/>
    <x v="26"/>
    <x v="9"/>
    <x v="2"/>
    <x v="65"/>
    <x v="5"/>
    <x v="64"/>
    <x v="2"/>
    <x v="3"/>
  </r>
  <r>
    <x v="1278"/>
    <x v="230"/>
    <x v="2"/>
    <x v="3"/>
    <x v="0"/>
    <x v="1"/>
    <x v="26"/>
    <x v="5"/>
    <x v="10"/>
    <x v="146"/>
    <x v="5"/>
    <x v="932"/>
    <x v="1"/>
    <x v="2"/>
  </r>
  <r>
    <x v="1279"/>
    <x v="231"/>
    <x v="0"/>
    <x v="0"/>
    <x v="0"/>
    <x v="5"/>
    <x v="18"/>
    <x v="3"/>
    <x v="3"/>
    <x v="139"/>
    <x v="5"/>
    <x v="933"/>
    <x v="2"/>
    <x v="0"/>
  </r>
  <r>
    <x v="1280"/>
    <x v="231"/>
    <x v="2"/>
    <x v="1"/>
    <x v="0"/>
    <x v="2"/>
    <x v="2"/>
    <x v="7"/>
    <x v="6"/>
    <x v="19"/>
    <x v="0"/>
    <x v="934"/>
    <x v="3"/>
    <x v="2"/>
  </r>
  <r>
    <x v="1281"/>
    <x v="231"/>
    <x v="4"/>
    <x v="3"/>
    <x v="0"/>
    <x v="5"/>
    <x v="15"/>
    <x v="8"/>
    <x v="3"/>
    <x v="42"/>
    <x v="1"/>
    <x v="935"/>
    <x v="0"/>
    <x v="4"/>
  </r>
  <r>
    <x v="1282"/>
    <x v="231"/>
    <x v="2"/>
    <x v="3"/>
    <x v="0"/>
    <x v="5"/>
    <x v="21"/>
    <x v="11"/>
    <x v="5"/>
    <x v="163"/>
    <x v="0"/>
    <x v="936"/>
    <x v="1"/>
    <x v="2"/>
  </r>
  <r>
    <x v="1283"/>
    <x v="231"/>
    <x v="1"/>
    <x v="3"/>
    <x v="1"/>
    <x v="4"/>
    <x v="6"/>
    <x v="4"/>
    <x v="12"/>
    <x v="44"/>
    <x v="6"/>
    <x v="937"/>
    <x v="2"/>
    <x v="1"/>
  </r>
  <r>
    <x v="1284"/>
    <x v="231"/>
    <x v="3"/>
    <x v="1"/>
    <x v="0"/>
    <x v="1"/>
    <x v="26"/>
    <x v="12"/>
    <x v="3"/>
    <x v="138"/>
    <x v="4"/>
    <x v="938"/>
    <x v="0"/>
    <x v="3"/>
  </r>
  <r>
    <x v="1285"/>
    <x v="231"/>
    <x v="1"/>
    <x v="0"/>
    <x v="0"/>
    <x v="1"/>
    <x v="22"/>
    <x v="1"/>
    <x v="3"/>
    <x v="64"/>
    <x v="4"/>
    <x v="939"/>
    <x v="1"/>
    <x v="1"/>
  </r>
  <r>
    <x v="1286"/>
    <x v="231"/>
    <x v="3"/>
    <x v="2"/>
    <x v="0"/>
    <x v="4"/>
    <x v="6"/>
    <x v="12"/>
    <x v="2"/>
    <x v="46"/>
    <x v="0"/>
    <x v="940"/>
    <x v="0"/>
    <x v="3"/>
  </r>
  <r>
    <x v="1287"/>
    <x v="231"/>
    <x v="2"/>
    <x v="0"/>
    <x v="0"/>
    <x v="3"/>
    <x v="13"/>
    <x v="11"/>
    <x v="3"/>
    <x v="162"/>
    <x v="1"/>
    <x v="941"/>
    <x v="1"/>
    <x v="2"/>
  </r>
  <r>
    <x v="1288"/>
    <x v="232"/>
    <x v="0"/>
    <x v="0"/>
    <x v="0"/>
    <x v="3"/>
    <x v="4"/>
    <x v="0"/>
    <x v="3"/>
    <x v="41"/>
    <x v="0"/>
    <x v="492"/>
    <x v="0"/>
    <x v="0"/>
  </r>
  <r>
    <x v="1289"/>
    <x v="232"/>
    <x v="3"/>
    <x v="3"/>
    <x v="0"/>
    <x v="0"/>
    <x v="0"/>
    <x v="9"/>
    <x v="1"/>
    <x v="0"/>
    <x v="6"/>
    <x v="603"/>
    <x v="2"/>
    <x v="3"/>
  </r>
  <r>
    <x v="1290"/>
    <x v="232"/>
    <x v="2"/>
    <x v="0"/>
    <x v="0"/>
    <x v="4"/>
    <x v="11"/>
    <x v="11"/>
    <x v="0"/>
    <x v="32"/>
    <x v="4"/>
    <x v="942"/>
    <x v="1"/>
    <x v="2"/>
  </r>
  <r>
    <x v="1291"/>
    <x v="232"/>
    <x v="1"/>
    <x v="1"/>
    <x v="0"/>
    <x v="3"/>
    <x v="4"/>
    <x v="13"/>
    <x v="3"/>
    <x v="4"/>
    <x v="2"/>
    <x v="943"/>
    <x v="0"/>
    <x v="1"/>
  </r>
  <r>
    <x v="1292"/>
    <x v="232"/>
    <x v="0"/>
    <x v="0"/>
    <x v="1"/>
    <x v="0"/>
    <x v="10"/>
    <x v="0"/>
    <x v="0"/>
    <x v="88"/>
    <x v="4"/>
    <x v="435"/>
    <x v="0"/>
    <x v="0"/>
  </r>
  <r>
    <x v="1293"/>
    <x v="232"/>
    <x v="0"/>
    <x v="0"/>
    <x v="1"/>
    <x v="1"/>
    <x v="1"/>
    <x v="3"/>
    <x v="0"/>
    <x v="127"/>
    <x v="3"/>
    <x v="944"/>
    <x v="2"/>
    <x v="0"/>
  </r>
  <r>
    <x v="1294"/>
    <x v="232"/>
    <x v="3"/>
    <x v="0"/>
    <x v="0"/>
    <x v="1"/>
    <x v="24"/>
    <x v="6"/>
    <x v="4"/>
    <x v="63"/>
    <x v="5"/>
    <x v="945"/>
    <x v="1"/>
    <x v="3"/>
  </r>
  <r>
    <x v="1295"/>
    <x v="233"/>
    <x v="3"/>
    <x v="2"/>
    <x v="0"/>
    <x v="5"/>
    <x v="15"/>
    <x v="12"/>
    <x v="3"/>
    <x v="96"/>
    <x v="3"/>
    <x v="946"/>
    <x v="0"/>
    <x v="3"/>
  </r>
  <r>
    <x v="1296"/>
    <x v="233"/>
    <x v="4"/>
    <x v="1"/>
    <x v="1"/>
    <x v="3"/>
    <x v="14"/>
    <x v="10"/>
    <x v="5"/>
    <x v="76"/>
    <x v="2"/>
    <x v="947"/>
    <x v="2"/>
    <x v="4"/>
  </r>
  <r>
    <x v="1297"/>
    <x v="233"/>
    <x v="1"/>
    <x v="1"/>
    <x v="1"/>
    <x v="0"/>
    <x v="0"/>
    <x v="4"/>
    <x v="5"/>
    <x v="0"/>
    <x v="0"/>
    <x v="578"/>
    <x v="2"/>
    <x v="1"/>
  </r>
  <r>
    <x v="1298"/>
    <x v="233"/>
    <x v="3"/>
    <x v="0"/>
    <x v="0"/>
    <x v="2"/>
    <x v="9"/>
    <x v="9"/>
    <x v="3"/>
    <x v="122"/>
    <x v="3"/>
    <x v="948"/>
    <x v="2"/>
    <x v="3"/>
  </r>
  <r>
    <x v="1299"/>
    <x v="233"/>
    <x v="3"/>
    <x v="2"/>
    <x v="0"/>
    <x v="0"/>
    <x v="27"/>
    <x v="6"/>
    <x v="3"/>
    <x v="69"/>
    <x v="2"/>
    <x v="917"/>
    <x v="1"/>
    <x v="3"/>
  </r>
  <r>
    <x v="1300"/>
    <x v="234"/>
    <x v="4"/>
    <x v="1"/>
    <x v="1"/>
    <x v="0"/>
    <x v="10"/>
    <x v="8"/>
    <x v="6"/>
    <x v="12"/>
    <x v="1"/>
    <x v="541"/>
    <x v="0"/>
    <x v="4"/>
  </r>
  <r>
    <x v="1301"/>
    <x v="234"/>
    <x v="3"/>
    <x v="0"/>
    <x v="1"/>
    <x v="0"/>
    <x v="10"/>
    <x v="12"/>
    <x v="3"/>
    <x v="12"/>
    <x v="1"/>
    <x v="74"/>
    <x v="0"/>
    <x v="3"/>
  </r>
  <r>
    <x v="1302"/>
    <x v="234"/>
    <x v="3"/>
    <x v="2"/>
    <x v="0"/>
    <x v="3"/>
    <x v="14"/>
    <x v="9"/>
    <x v="0"/>
    <x v="144"/>
    <x v="1"/>
    <x v="912"/>
    <x v="2"/>
    <x v="3"/>
  </r>
  <r>
    <x v="1303"/>
    <x v="234"/>
    <x v="3"/>
    <x v="0"/>
    <x v="0"/>
    <x v="2"/>
    <x v="5"/>
    <x v="6"/>
    <x v="5"/>
    <x v="29"/>
    <x v="4"/>
    <x v="427"/>
    <x v="1"/>
    <x v="3"/>
  </r>
  <r>
    <x v="1304"/>
    <x v="234"/>
    <x v="1"/>
    <x v="0"/>
    <x v="0"/>
    <x v="2"/>
    <x v="5"/>
    <x v="4"/>
    <x v="3"/>
    <x v="29"/>
    <x v="4"/>
    <x v="949"/>
    <x v="2"/>
    <x v="1"/>
  </r>
  <r>
    <x v="1305"/>
    <x v="235"/>
    <x v="2"/>
    <x v="0"/>
    <x v="1"/>
    <x v="1"/>
    <x v="26"/>
    <x v="5"/>
    <x v="1"/>
    <x v="118"/>
    <x v="4"/>
    <x v="950"/>
    <x v="1"/>
    <x v="2"/>
  </r>
  <r>
    <x v="1306"/>
    <x v="235"/>
    <x v="1"/>
    <x v="0"/>
    <x v="1"/>
    <x v="3"/>
    <x v="23"/>
    <x v="1"/>
    <x v="0"/>
    <x v="98"/>
    <x v="6"/>
    <x v="951"/>
    <x v="1"/>
    <x v="1"/>
  </r>
  <r>
    <x v="1307"/>
    <x v="235"/>
    <x v="3"/>
    <x v="3"/>
    <x v="0"/>
    <x v="5"/>
    <x v="21"/>
    <x v="9"/>
    <x v="3"/>
    <x v="141"/>
    <x v="1"/>
    <x v="952"/>
    <x v="2"/>
    <x v="3"/>
  </r>
  <r>
    <x v="1308"/>
    <x v="235"/>
    <x v="1"/>
    <x v="0"/>
    <x v="0"/>
    <x v="3"/>
    <x v="14"/>
    <x v="1"/>
    <x v="0"/>
    <x v="18"/>
    <x v="5"/>
    <x v="953"/>
    <x v="1"/>
    <x v="1"/>
  </r>
  <r>
    <x v="1309"/>
    <x v="235"/>
    <x v="4"/>
    <x v="0"/>
    <x v="0"/>
    <x v="0"/>
    <x v="27"/>
    <x v="10"/>
    <x v="0"/>
    <x v="69"/>
    <x v="4"/>
    <x v="954"/>
    <x v="2"/>
    <x v="4"/>
  </r>
  <r>
    <x v="1310"/>
    <x v="235"/>
    <x v="0"/>
    <x v="0"/>
    <x v="1"/>
    <x v="1"/>
    <x v="1"/>
    <x v="2"/>
    <x v="5"/>
    <x v="166"/>
    <x v="6"/>
    <x v="955"/>
    <x v="2"/>
    <x v="0"/>
  </r>
  <r>
    <x v="1311"/>
    <x v="235"/>
    <x v="4"/>
    <x v="0"/>
    <x v="1"/>
    <x v="2"/>
    <x v="9"/>
    <x v="10"/>
    <x v="3"/>
    <x v="11"/>
    <x v="5"/>
    <x v="956"/>
    <x v="2"/>
    <x v="4"/>
  </r>
  <r>
    <x v="1312"/>
    <x v="235"/>
    <x v="4"/>
    <x v="0"/>
    <x v="1"/>
    <x v="0"/>
    <x v="27"/>
    <x v="14"/>
    <x v="3"/>
    <x v="85"/>
    <x v="5"/>
    <x v="957"/>
    <x v="2"/>
    <x v="4"/>
  </r>
  <r>
    <x v="1313"/>
    <x v="236"/>
    <x v="4"/>
    <x v="0"/>
    <x v="0"/>
    <x v="2"/>
    <x v="2"/>
    <x v="10"/>
    <x v="5"/>
    <x v="2"/>
    <x v="4"/>
    <x v="65"/>
    <x v="2"/>
    <x v="4"/>
  </r>
  <r>
    <x v="1314"/>
    <x v="236"/>
    <x v="2"/>
    <x v="0"/>
    <x v="1"/>
    <x v="3"/>
    <x v="13"/>
    <x v="5"/>
    <x v="0"/>
    <x v="61"/>
    <x v="4"/>
    <x v="958"/>
    <x v="1"/>
    <x v="2"/>
  </r>
  <r>
    <x v="1315"/>
    <x v="236"/>
    <x v="1"/>
    <x v="0"/>
    <x v="1"/>
    <x v="4"/>
    <x v="6"/>
    <x v="1"/>
    <x v="3"/>
    <x v="44"/>
    <x v="2"/>
    <x v="959"/>
    <x v="1"/>
    <x v="1"/>
  </r>
  <r>
    <x v="1316"/>
    <x v="236"/>
    <x v="2"/>
    <x v="0"/>
    <x v="0"/>
    <x v="3"/>
    <x v="23"/>
    <x v="5"/>
    <x v="3"/>
    <x v="90"/>
    <x v="6"/>
    <x v="960"/>
    <x v="1"/>
    <x v="2"/>
  </r>
  <r>
    <x v="1317"/>
    <x v="237"/>
    <x v="4"/>
    <x v="0"/>
    <x v="0"/>
    <x v="3"/>
    <x v="13"/>
    <x v="14"/>
    <x v="3"/>
    <x v="53"/>
    <x v="6"/>
    <x v="961"/>
    <x v="2"/>
    <x v="4"/>
  </r>
  <r>
    <x v="1318"/>
    <x v="237"/>
    <x v="2"/>
    <x v="3"/>
    <x v="0"/>
    <x v="3"/>
    <x v="23"/>
    <x v="5"/>
    <x v="0"/>
    <x v="90"/>
    <x v="0"/>
    <x v="910"/>
    <x v="1"/>
    <x v="2"/>
  </r>
  <r>
    <x v="1319"/>
    <x v="237"/>
    <x v="4"/>
    <x v="1"/>
    <x v="0"/>
    <x v="4"/>
    <x v="7"/>
    <x v="8"/>
    <x v="3"/>
    <x v="106"/>
    <x v="5"/>
    <x v="962"/>
    <x v="0"/>
    <x v="4"/>
  </r>
  <r>
    <x v="1320"/>
    <x v="237"/>
    <x v="1"/>
    <x v="0"/>
    <x v="0"/>
    <x v="3"/>
    <x v="13"/>
    <x v="1"/>
    <x v="2"/>
    <x v="15"/>
    <x v="5"/>
    <x v="963"/>
    <x v="1"/>
    <x v="1"/>
  </r>
  <r>
    <x v="1321"/>
    <x v="237"/>
    <x v="4"/>
    <x v="2"/>
    <x v="0"/>
    <x v="2"/>
    <x v="2"/>
    <x v="10"/>
    <x v="3"/>
    <x v="2"/>
    <x v="2"/>
    <x v="964"/>
    <x v="2"/>
    <x v="4"/>
  </r>
  <r>
    <x v="1322"/>
    <x v="238"/>
    <x v="3"/>
    <x v="0"/>
    <x v="1"/>
    <x v="2"/>
    <x v="9"/>
    <x v="6"/>
    <x v="3"/>
    <x v="10"/>
    <x v="5"/>
    <x v="195"/>
    <x v="1"/>
    <x v="3"/>
  </r>
  <r>
    <x v="1323"/>
    <x v="238"/>
    <x v="0"/>
    <x v="2"/>
    <x v="1"/>
    <x v="3"/>
    <x v="13"/>
    <x v="3"/>
    <x v="3"/>
    <x v="57"/>
    <x v="3"/>
    <x v="965"/>
    <x v="2"/>
    <x v="0"/>
  </r>
  <r>
    <x v="1324"/>
    <x v="238"/>
    <x v="2"/>
    <x v="0"/>
    <x v="0"/>
    <x v="1"/>
    <x v="26"/>
    <x v="11"/>
    <x v="1"/>
    <x v="138"/>
    <x v="6"/>
    <x v="966"/>
    <x v="1"/>
    <x v="2"/>
  </r>
  <r>
    <x v="1325"/>
    <x v="238"/>
    <x v="2"/>
    <x v="3"/>
    <x v="0"/>
    <x v="4"/>
    <x v="7"/>
    <x v="5"/>
    <x v="4"/>
    <x v="116"/>
    <x v="0"/>
    <x v="967"/>
    <x v="1"/>
    <x v="2"/>
  </r>
  <r>
    <x v="1326"/>
    <x v="238"/>
    <x v="2"/>
    <x v="1"/>
    <x v="1"/>
    <x v="2"/>
    <x v="3"/>
    <x v="11"/>
    <x v="3"/>
    <x v="94"/>
    <x v="1"/>
    <x v="867"/>
    <x v="1"/>
    <x v="2"/>
  </r>
  <r>
    <x v="1327"/>
    <x v="238"/>
    <x v="3"/>
    <x v="0"/>
    <x v="0"/>
    <x v="3"/>
    <x v="13"/>
    <x v="6"/>
    <x v="3"/>
    <x v="57"/>
    <x v="0"/>
    <x v="787"/>
    <x v="1"/>
    <x v="3"/>
  </r>
  <r>
    <x v="1328"/>
    <x v="238"/>
    <x v="0"/>
    <x v="0"/>
    <x v="1"/>
    <x v="0"/>
    <x v="27"/>
    <x v="3"/>
    <x v="2"/>
    <x v="69"/>
    <x v="1"/>
    <x v="968"/>
    <x v="2"/>
    <x v="0"/>
  </r>
  <r>
    <x v="1329"/>
    <x v="239"/>
    <x v="4"/>
    <x v="0"/>
    <x v="0"/>
    <x v="3"/>
    <x v="13"/>
    <x v="10"/>
    <x v="0"/>
    <x v="61"/>
    <x v="0"/>
    <x v="204"/>
    <x v="2"/>
    <x v="4"/>
  </r>
  <r>
    <x v="1330"/>
    <x v="239"/>
    <x v="2"/>
    <x v="1"/>
    <x v="0"/>
    <x v="3"/>
    <x v="23"/>
    <x v="7"/>
    <x v="5"/>
    <x v="142"/>
    <x v="5"/>
    <x v="969"/>
    <x v="3"/>
    <x v="2"/>
  </r>
  <r>
    <x v="1331"/>
    <x v="240"/>
    <x v="3"/>
    <x v="0"/>
    <x v="0"/>
    <x v="0"/>
    <x v="19"/>
    <x v="6"/>
    <x v="0"/>
    <x v="52"/>
    <x v="3"/>
    <x v="970"/>
    <x v="1"/>
    <x v="3"/>
  </r>
  <r>
    <x v="1332"/>
    <x v="240"/>
    <x v="4"/>
    <x v="2"/>
    <x v="1"/>
    <x v="1"/>
    <x v="24"/>
    <x v="10"/>
    <x v="0"/>
    <x v="79"/>
    <x v="4"/>
    <x v="971"/>
    <x v="2"/>
    <x v="4"/>
  </r>
  <r>
    <x v="1333"/>
    <x v="240"/>
    <x v="4"/>
    <x v="2"/>
    <x v="0"/>
    <x v="5"/>
    <x v="15"/>
    <x v="14"/>
    <x v="3"/>
    <x v="20"/>
    <x v="2"/>
    <x v="21"/>
    <x v="2"/>
    <x v="4"/>
  </r>
  <r>
    <x v="1334"/>
    <x v="240"/>
    <x v="1"/>
    <x v="0"/>
    <x v="1"/>
    <x v="1"/>
    <x v="20"/>
    <x v="4"/>
    <x v="2"/>
    <x v="160"/>
    <x v="0"/>
    <x v="972"/>
    <x v="2"/>
    <x v="1"/>
  </r>
  <r>
    <x v="1335"/>
    <x v="240"/>
    <x v="2"/>
    <x v="0"/>
    <x v="1"/>
    <x v="3"/>
    <x v="13"/>
    <x v="11"/>
    <x v="3"/>
    <x v="15"/>
    <x v="6"/>
    <x v="973"/>
    <x v="1"/>
    <x v="2"/>
  </r>
  <r>
    <x v="1336"/>
    <x v="240"/>
    <x v="0"/>
    <x v="0"/>
    <x v="0"/>
    <x v="2"/>
    <x v="5"/>
    <x v="3"/>
    <x v="1"/>
    <x v="33"/>
    <x v="3"/>
    <x v="921"/>
    <x v="2"/>
    <x v="0"/>
  </r>
  <r>
    <x v="1337"/>
    <x v="240"/>
    <x v="1"/>
    <x v="3"/>
    <x v="0"/>
    <x v="5"/>
    <x v="25"/>
    <x v="4"/>
    <x v="2"/>
    <x v="51"/>
    <x v="1"/>
    <x v="974"/>
    <x v="2"/>
    <x v="1"/>
  </r>
  <r>
    <x v="1338"/>
    <x v="240"/>
    <x v="3"/>
    <x v="2"/>
    <x v="0"/>
    <x v="3"/>
    <x v="23"/>
    <x v="9"/>
    <x v="3"/>
    <x v="37"/>
    <x v="6"/>
    <x v="231"/>
    <x v="2"/>
    <x v="3"/>
  </r>
  <r>
    <x v="1339"/>
    <x v="241"/>
    <x v="2"/>
    <x v="1"/>
    <x v="0"/>
    <x v="0"/>
    <x v="0"/>
    <x v="11"/>
    <x v="2"/>
    <x v="0"/>
    <x v="5"/>
    <x v="805"/>
    <x v="1"/>
    <x v="2"/>
  </r>
  <r>
    <x v="1340"/>
    <x v="241"/>
    <x v="3"/>
    <x v="2"/>
    <x v="0"/>
    <x v="2"/>
    <x v="5"/>
    <x v="6"/>
    <x v="0"/>
    <x v="5"/>
    <x v="4"/>
    <x v="975"/>
    <x v="1"/>
    <x v="3"/>
  </r>
  <r>
    <x v="1341"/>
    <x v="241"/>
    <x v="4"/>
    <x v="2"/>
    <x v="0"/>
    <x v="4"/>
    <x v="6"/>
    <x v="14"/>
    <x v="0"/>
    <x v="104"/>
    <x v="0"/>
    <x v="976"/>
    <x v="2"/>
    <x v="4"/>
  </r>
  <r>
    <x v="1342"/>
    <x v="241"/>
    <x v="2"/>
    <x v="0"/>
    <x v="1"/>
    <x v="0"/>
    <x v="0"/>
    <x v="7"/>
    <x v="3"/>
    <x v="30"/>
    <x v="1"/>
    <x v="479"/>
    <x v="3"/>
    <x v="2"/>
  </r>
  <r>
    <x v="1343"/>
    <x v="241"/>
    <x v="0"/>
    <x v="1"/>
    <x v="1"/>
    <x v="1"/>
    <x v="20"/>
    <x v="3"/>
    <x v="1"/>
    <x v="31"/>
    <x v="1"/>
    <x v="84"/>
    <x v="2"/>
    <x v="0"/>
  </r>
  <r>
    <x v="1344"/>
    <x v="241"/>
    <x v="3"/>
    <x v="3"/>
    <x v="1"/>
    <x v="3"/>
    <x v="23"/>
    <x v="6"/>
    <x v="3"/>
    <x v="37"/>
    <x v="1"/>
    <x v="46"/>
    <x v="1"/>
    <x v="3"/>
  </r>
  <r>
    <x v="1345"/>
    <x v="241"/>
    <x v="4"/>
    <x v="0"/>
    <x v="0"/>
    <x v="3"/>
    <x v="13"/>
    <x v="14"/>
    <x v="3"/>
    <x v="162"/>
    <x v="4"/>
    <x v="977"/>
    <x v="2"/>
    <x v="4"/>
  </r>
  <r>
    <x v="1346"/>
    <x v="241"/>
    <x v="1"/>
    <x v="2"/>
    <x v="0"/>
    <x v="3"/>
    <x v="14"/>
    <x v="4"/>
    <x v="3"/>
    <x v="76"/>
    <x v="6"/>
    <x v="528"/>
    <x v="2"/>
    <x v="1"/>
  </r>
  <r>
    <x v="1347"/>
    <x v="242"/>
    <x v="2"/>
    <x v="2"/>
    <x v="1"/>
    <x v="5"/>
    <x v="21"/>
    <x v="5"/>
    <x v="0"/>
    <x v="108"/>
    <x v="0"/>
    <x v="978"/>
    <x v="1"/>
    <x v="2"/>
  </r>
  <r>
    <x v="1348"/>
    <x v="242"/>
    <x v="4"/>
    <x v="0"/>
    <x v="1"/>
    <x v="5"/>
    <x v="15"/>
    <x v="8"/>
    <x v="3"/>
    <x v="42"/>
    <x v="5"/>
    <x v="979"/>
    <x v="0"/>
    <x v="4"/>
  </r>
  <r>
    <x v="1349"/>
    <x v="242"/>
    <x v="2"/>
    <x v="1"/>
    <x v="0"/>
    <x v="4"/>
    <x v="11"/>
    <x v="11"/>
    <x v="3"/>
    <x v="13"/>
    <x v="5"/>
    <x v="980"/>
    <x v="1"/>
    <x v="2"/>
  </r>
  <r>
    <x v="1350"/>
    <x v="242"/>
    <x v="1"/>
    <x v="0"/>
    <x v="0"/>
    <x v="2"/>
    <x v="9"/>
    <x v="4"/>
    <x v="2"/>
    <x v="10"/>
    <x v="0"/>
    <x v="504"/>
    <x v="2"/>
    <x v="1"/>
  </r>
  <r>
    <x v="1351"/>
    <x v="243"/>
    <x v="3"/>
    <x v="3"/>
    <x v="0"/>
    <x v="3"/>
    <x v="23"/>
    <x v="9"/>
    <x v="3"/>
    <x v="90"/>
    <x v="5"/>
    <x v="103"/>
    <x v="2"/>
    <x v="3"/>
  </r>
  <r>
    <x v="1352"/>
    <x v="243"/>
    <x v="4"/>
    <x v="2"/>
    <x v="0"/>
    <x v="5"/>
    <x v="18"/>
    <x v="10"/>
    <x v="3"/>
    <x v="153"/>
    <x v="1"/>
    <x v="190"/>
    <x v="2"/>
    <x v="4"/>
  </r>
  <r>
    <x v="1353"/>
    <x v="243"/>
    <x v="4"/>
    <x v="0"/>
    <x v="0"/>
    <x v="4"/>
    <x v="6"/>
    <x v="8"/>
    <x v="2"/>
    <x v="104"/>
    <x v="2"/>
    <x v="981"/>
    <x v="0"/>
    <x v="4"/>
  </r>
  <r>
    <x v="1354"/>
    <x v="243"/>
    <x v="1"/>
    <x v="1"/>
    <x v="1"/>
    <x v="4"/>
    <x v="6"/>
    <x v="13"/>
    <x v="2"/>
    <x v="6"/>
    <x v="0"/>
    <x v="982"/>
    <x v="0"/>
    <x v="1"/>
  </r>
  <r>
    <x v="1355"/>
    <x v="244"/>
    <x v="3"/>
    <x v="1"/>
    <x v="1"/>
    <x v="0"/>
    <x v="10"/>
    <x v="12"/>
    <x v="1"/>
    <x v="17"/>
    <x v="1"/>
    <x v="198"/>
    <x v="0"/>
    <x v="3"/>
  </r>
  <r>
    <x v="1356"/>
    <x v="244"/>
    <x v="2"/>
    <x v="2"/>
    <x v="0"/>
    <x v="1"/>
    <x v="26"/>
    <x v="11"/>
    <x v="0"/>
    <x v="138"/>
    <x v="2"/>
    <x v="983"/>
    <x v="1"/>
    <x v="2"/>
  </r>
  <r>
    <x v="1357"/>
    <x v="244"/>
    <x v="4"/>
    <x v="3"/>
    <x v="0"/>
    <x v="3"/>
    <x v="13"/>
    <x v="10"/>
    <x v="0"/>
    <x v="61"/>
    <x v="0"/>
    <x v="204"/>
    <x v="2"/>
    <x v="4"/>
  </r>
  <r>
    <x v="1358"/>
    <x v="244"/>
    <x v="4"/>
    <x v="0"/>
    <x v="1"/>
    <x v="3"/>
    <x v="23"/>
    <x v="8"/>
    <x v="3"/>
    <x v="131"/>
    <x v="3"/>
    <x v="373"/>
    <x v="0"/>
    <x v="4"/>
  </r>
  <r>
    <x v="1359"/>
    <x v="244"/>
    <x v="4"/>
    <x v="0"/>
    <x v="1"/>
    <x v="5"/>
    <x v="15"/>
    <x v="14"/>
    <x v="3"/>
    <x v="25"/>
    <x v="1"/>
    <x v="139"/>
    <x v="2"/>
    <x v="4"/>
  </r>
  <r>
    <x v="1360"/>
    <x v="244"/>
    <x v="4"/>
    <x v="1"/>
    <x v="1"/>
    <x v="5"/>
    <x v="25"/>
    <x v="10"/>
    <x v="3"/>
    <x v="165"/>
    <x v="1"/>
    <x v="811"/>
    <x v="2"/>
    <x v="4"/>
  </r>
  <r>
    <x v="1361"/>
    <x v="245"/>
    <x v="3"/>
    <x v="2"/>
    <x v="0"/>
    <x v="2"/>
    <x v="9"/>
    <x v="12"/>
    <x v="5"/>
    <x v="102"/>
    <x v="1"/>
    <x v="984"/>
    <x v="0"/>
    <x v="3"/>
  </r>
  <r>
    <x v="1362"/>
    <x v="245"/>
    <x v="0"/>
    <x v="2"/>
    <x v="1"/>
    <x v="2"/>
    <x v="17"/>
    <x v="3"/>
    <x v="1"/>
    <x v="87"/>
    <x v="2"/>
    <x v="985"/>
    <x v="2"/>
    <x v="0"/>
  </r>
  <r>
    <x v="1363"/>
    <x v="245"/>
    <x v="3"/>
    <x v="3"/>
    <x v="0"/>
    <x v="0"/>
    <x v="0"/>
    <x v="9"/>
    <x v="7"/>
    <x v="0"/>
    <x v="0"/>
    <x v="986"/>
    <x v="2"/>
    <x v="3"/>
  </r>
  <r>
    <x v="1364"/>
    <x v="245"/>
    <x v="0"/>
    <x v="3"/>
    <x v="1"/>
    <x v="1"/>
    <x v="20"/>
    <x v="0"/>
    <x v="1"/>
    <x v="31"/>
    <x v="0"/>
    <x v="864"/>
    <x v="0"/>
    <x v="0"/>
  </r>
  <r>
    <x v="1365"/>
    <x v="245"/>
    <x v="1"/>
    <x v="3"/>
    <x v="0"/>
    <x v="3"/>
    <x v="14"/>
    <x v="4"/>
    <x v="5"/>
    <x v="144"/>
    <x v="2"/>
    <x v="656"/>
    <x v="2"/>
    <x v="1"/>
  </r>
  <r>
    <x v="1366"/>
    <x v="245"/>
    <x v="1"/>
    <x v="0"/>
    <x v="1"/>
    <x v="0"/>
    <x v="19"/>
    <x v="13"/>
    <x v="1"/>
    <x v="52"/>
    <x v="4"/>
    <x v="180"/>
    <x v="0"/>
    <x v="1"/>
  </r>
  <r>
    <x v="1367"/>
    <x v="246"/>
    <x v="2"/>
    <x v="1"/>
    <x v="1"/>
    <x v="2"/>
    <x v="2"/>
    <x v="11"/>
    <x v="4"/>
    <x v="2"/>
    <x v="5"/>
    <x v="987"/>
    <x v="1"/>
    <x v="2"/>
  </r>
  <r>
    <x v="1368"/>
    <x v="246"/>
    <x v="3"/>
    <x v="2"/>
    <x v="1"/>
    <x v="3"/>
    <x v="4"/>
    <x v="6"/>
    <x v="3"/>
    <x v="62"/>
    <x v="1"/>
    <x v="988"/>
    <x v="1"/>
    <x v="3"/>
  </r>
  <r>
    <x v="1369"/>
    <x v="246"/>
    <x v="0"/>
    <x v="2"/>
    <x v="0"/>
    <x v="3"/>
    <x v="4"/>
    <x v="2"/>
    <x v="3"/>
    <x v="41"/>
    <x v="1"/>
    <x v="380"/>
    <x v="2"/>
    <x v="0"/>
  </r>
  <r>
    <x v="1370"/>
    <x v="246"/>
    <x v="4"/>
    <x v="3"/>
    <x v="0"/>
    <x v="4"/>
    <x v="6"/>
    <x v="10"/>
    <x v="4"/>
    <x v="44"/>
    <x v="5"/>
    <x v="989"/>
    <x v="2"/>
    <x v="4"/>
  </r>
  <r>
    <x v="1371"/>
    <x v="246"/>
    <x v="3"/>
    <x v="2"/>
    <x v="1"/>
    <x v="5"/>
    <x v="25"/>
    <x v="6"/>
    <x v="0"/>
    <x v="101"/>
    <x v="0"/>
    <x v="802"/>
    <x v="1"/>
    <x v="3"/>
  </r>
  <r>
    <x v="1372"/>
    <x v="246"/>
    <x v="0"/>
    <x v="2"/>
    <x v="0"/>
    <x v="2"/>
    <x v="5"/>
    <x v="2"/>
    <x v="0"/>
    <x v="33"/>
    <x v="5"/>
    <x v="915"/>
    <x v="2"/>
    <x v="0"/>
  </r>
  <r>
    <x v="1373"/>
    <x v="246"/>
    <x v="3"/>
    <x v="2"/>
    <x v="1"/>
    <x v="3"/>
    <x v="13"/>
    <x v="12"/>
    <x v="2"/>
    <x v="61"/>
    <x v="4"/>
    <x v="990"/>
    <x v="0"/>
    <x v="3"/>
  </r>
  <r>
    <x v="1374"/>
    <x v="247"/>
    <x v="3"/>
    <x v="1"/>
    <x v="1"/>
    <x v="4"/>
    <x v="12"/>
    <x v="6"/>
    <x v="0"/>
    <x v="140"/>
    <x v="1"/>
    <x v="991"/>
    <x v="1"/>
    <x v="3"/>
  </r>
  <r>
    <x v="1375"/>
    <x v="247"/>
    <x v="2"/>
    <x v="0"/>
    <x v="1"/>
    <x v="5"/>
    <x v="18"/>
    <x v="7"/>
    <x v="2"/>
    <x v="27"/>
    <x v="4"/>
    <x v="992"/>
    <x v="3"/>
    <x v="2"/>
  </r>
  <r>
    <x v="1376"/>
    <x v="247"/>
    <x v="2"/>
    <x v="1"/>
    <x v="0"/>
    <x v="5"/>
    <x v="16"/>
    <x v="5"/>
    <x v="3"/>
    <x v="67"/>
    <x v="4"/>
    <x v="696"/>
    <x v="1"/>
    <x v="2"/>
  </r>
  <r>
    <x v="1377"/>
    <x v="248"/>
    <x v="2"/>
    <x v="3"/>
    <x v="1"/>
    <x v="2"/>
    <x v="17"/>
    <x v="5"/>
    <x v="5"/>
    <x v="89"/>
    <x v="3"/>
    <x v="993"/>
    <x v="1"/>
    <x v="2"/>
  </r>
  <r>
    <x v="1378"/>
    <x v="248"/>
    <x v="2"/>
    <x v="0"/>
    <x v="0"/>
    <x v="3"/>
    <x v="13"/>
    <x v="7"/>
    <x v="3"/>
    <x v="61"/>
    <x v="2"/>
    <x v="83"/>
    <x v="3"/>
    <x v="2"/>
  </r>
  <r>
    <x v="1379"/>
    <x v="249"/>
    <x v="2"/>
    <x v="0"/>
    <x v="1"/>
    <x v="1"/>
    <x v="22"/>
    <x v="7"/>
    <x v="5"/>
    <x v="47"/>
    <x v="1"/>
    <x v="994"/>
    <x v="3"/>
    <x v="2"/>
  </r>
  <r>
    <x v="1380"/>
    <x v="249"/>
    <x v="4"/>
    <x v="0"/>
    <x v="0"/>
    <x v="2"/>
    <x v="9"/>
    <x v="14"/>
    <x v="2"/>
    <x v="10"/>
    <x v="6"/>
    <x v="255"/>
    <x v="2"/>
    <x v="4"/>
  </r>
  <r>
    <x v="1381"/>
    <x v="249"/>
    <x v="0"/>
    <x v="0"/>
    <x v="0"/>
    <x v="5"/>
    <x v="21"/>
    <x v="3"/>
    <x v="0"/>
    <x v="35"/>
    <x v="1"/>
    <x v="217"/>
    <x v="2"/>
    <x v="0"/>
  </r>
  <r>
    <x v="1382"/>
    <x v="249"/>
    <x v="4"/>
    <x v="0"/>
    <x v="0"/>
    <x v="1"/>
    <x v="20"/>
    <x v="14"/>
    <x v="2"/>
    <x v="31"/>
    <x v="1"/>
    <x v="456"/>
    <x v="2"/>
    <x v="4"/>
  </r>
  <r>
    <x v="1383"/>
    <x v="249"/>
    <x v="4"/>
    <x v="2"/>
    <x v="0"/>
    <x v="1"/>
    <x v="26"/>
    <x v="10"/>
    <x v="1"/>
    <x v="146"/>
    <x v="1"/>
    <x v="466"/>
    <x v="2"/>
    <x v="4"/>
  </r>
  <r>
    <x v="1384"/>
    <x v="249"/>
    <x v="3"/>
    <x v="1"/>
    <x v="0"/>
    <x v="1"/>
    <x v="20"/>
    <x v="9"/>
    <x v="4"/>
    <x v="160"/>
    <x v="5"/>
    <x v="995"/>
    <x v="2"/>
    <x v="3"/>
  </r>
  <r>
    <x v="1385"/>
    <x v="249"/>
    <x v="1"/>
    <x v="2"/>
    <x v="0"/>
    <x v="2"/>
    <x v="3"/>
    <x v="1"/>
    <x v="5"/>
    <x v="94"/>
    <x v="1"/>
    <x v="908"/>
    <x v="1"/>
    <x v="1"/>
  </r>
  <r>
    <x v="1386"/>
    <x v="250"/>
    <x v="1"/>
    <x v="3"/>
    <x v="0"/>
    <x v="5"/>
    <x v="15"/>
    <x v="4"/>
    <x v="3"/>
    <x v="20"/>
    <x v="0"/>
    <x v="366"/>
    <x v="2"/>
    <x v="1"/>
  </r>
  <r>
    <x v="1387"/>
    <x v="250"/>
    <x v="0"/>
    <x v="0"/>
    <x v="1"/>
    <x v="1"/>
    <x v="26"/>
    <x v="3"/>
    <x v="3"/>
    <x v="146"/>
    <x v="4"/>
    <x v="996"/>
    <x v="2"/>
    <x v="0"/>
  </r>
  <r>
    <x v="1388"/>
    <x v="250"/>
    <x v="4"/>
    <x v="3"/>
    <x v="0"/>
    <x v="4"/>
    <x v="7"/>
    <x v="14"/>
    <x v="1"/>
    <x v="34"/>
    <x v="1"/>
    <x v="136"/>
    <x v="2"/>
    <x v="4"/>
  </r>
  <r>
    <x v="1389"/>
    <x v="250"/>
    <x v="2"/>
    <x v="0"/>
    <x v="0"/>
    <x v="2"/>
    <x v="3"/>
    <x v="11"/>
    <x v="2"/>
    <x v="132"/>
    <x v="1"/>
    <x v="997"/>
    <x v="1"/>
    <x v="2"/>
  </r>
  <r>
    <x v="1390"/>
    <x v="250"/>
    <x v="2"/>
    <x v="2"/>
    <x v="0"/>
    <x v="2"/>
    <x v="17"/>
    <x v="11"/>
    <x v="1"/>
    <x v="24"/>
    <x v="6"/>
    <x v="998"/>
    <x v="1"/>
    <x v="2"/>
  </r>
  <r>
    <x v="1391"/>
    <x v="250"/>
    <x v="0"/>
    <x v="0"/>
    <x v="0"/>
    <x v="5"/>
    <x v="15"/>
    <x v="3"/>
    <x v="3"/>
    <x v="164"/>
    <x v="2"/>
    <x v="999"/>
    <x v="2"/>
    <x v="0"/>
  </r>
  <r>
    <x v="1392"/>
    <x v="251"/>
    <x v="0"/>
    <x v="2"/>
    <x v="1"/>
    <x v="2"/>
    <x v="9"/>
    <x v="2"/>
    <x v="5"/>
    <x v="10"/>
    <x v="0"/>
    <x v="241"/>
    <x v="2"/>
    <x v="0"/>
  </r>
  <r>
    <x v="1393"/>
    <x v="251"/>
    <x v="3"/>
    <x v="3"/>
    <x v="0"/>
    <x v="5"/>
    <x v="15"/>
    <x v="6"/>
    <x v="0"/>
    <x v="20"/>
    <x v="4"/>
    <x v="106"/>
    <x v="1"/>
    <x v="3"/>
  </r>
  <r>
    <x v="1394"/>
    <x v="251"/>
    <x v="2"/>
    <x v="0"/>
    <x v="1"/>
    <x v="2"/>
    <x v="3"/>
    <x v="5"/>
    <x v="5"/>
    <x v="92"/>
    <x v="0"/>
    <x v="1000"/>
    <x v="1"/>
    <x v="2"/>
  </r>
  <r>
    <x v="1395"/>
    <x v="251"/>
    <x v="2"/>
    <x v="3"/>
    <x v="0"/>
    <x v="3"/>
    <x v="4"/>
    <x v="11"/>
    <x v="3"/>
    <x v="41"/>
    <x v="6"/>
    <x v="756"/>
    <x v="1"/>
    <x v="2"/>
  </r>
  <r>
    <x v="1396"/>
    <x v="251"/>
    <x v="1"/>
    <x v="0"/>
    <x v="0"/>
    <x v="3"/>
    <x v="23"/>
    <x v="13"/>
    <x v="0"/>
    <x v="145"/>
    <x v="6"/>
    <x v="1001"/>
    <x v="0"/>
    <x v="1"/>
  </r>
  <r>
    <x v="1397"/>
    <x v="251"/>
    <x v="1"/>
    <x v="1"/>
    <x v="1"/>
    <x v="5"/>
    <x v="18"/>
    <x v="4"/>
    <x v="3"/>
    <x v="27"/>
    <x v="5"/>
    <x v="1002"/>
    <x v="2"/>
    <x v="1"/>
  </r>
  <r>
    <x v="1398"/>
    <x v="251"/>
    <x v="2"/>
    <x v="2"/>
    <x v="0"/>
    <x v="1"/>
    <x v="26"/>
    <x v="7"/>
    <x v="0"/>
    <x v="118"/>
    <x v="4"/>
    <x v="1003"/>
    <x v="3"/>
    <x v="2"/>
  </r>
  <r>
    <x v="1399"/>
    <x v="252"/>
    <x v="0"/>
    <x v="1"/>
    <x v="0"/>
    <x v="5"/>
    <x v="21"/>
    <x v="3"/>
    <x v="0"/>
    <x v="73"/>
    <x v="1"/>
    <x v="361"/>
    <x v="2"/>
    <x v="0"/>
  </r>
  <r>
    <x v="1400"/>
    <x v="252"/>
    <x v="3"/>
    <x v="1"/>
    <x v="1"/>
    <x v="2"/>
    <x v="17"/>
    <x v="6"/>
    <x v="0"/>
    <x v="93"/>
    <x v="1"/>
    <x v="1004"/>
    <x v="1"/>
    <x v="3"/>
  </r>
  <r>
    <x v="1401"/>
    <x v="253"/>
    <x v="1"/>
    <x v="3"/>
    <x v="0"/>
    <x v="3"/>
    <x v="4"/>
    <x v="1"/>
    <x v="3"/>
    <x v="41"/>
    <x v="4"/>
    <x v="124"/>
    <x v="1"/>
    <x v="1"/>
  </r>
  <r>
    <x v="1402"/>
    <x v="253"/>
    <x v="1"/>
    <x v="0"/>
    <x v="0"/>
    <x v="2"/>
    <x v="9"/>
    <x v="4"/>
    <x v="5"/>
    <x v="23"/>
    <x v="0"/>
    <x v="479"/>
    <x v="2"/>
    <x v="1"/>
  </r>
  <r>
    <x v="1403"/>
    <x v="253"/>
    <x v="0"/>
    <x v="2"/>
    <x v="0"/>
    <x v="5"/>
    <x v="21"/>
    <x v="3"/>
    <x v="3"/>
    <x v="141"/>
    <x v="4"/>
    <x v="753"/>
    <x v="2"/>
    <x v="0"/>
  </r>
  <r>
    <x v="1404"/>
    <x v="254"/>
    <x v="3"/>
    <x v="2"/>
    <x v="0"/>
    <x v="3"/>
    <x v="14"/>
    <x v="9"/>
    <x v="0"/>
    <x v="124"/>
    <x v="4"/>
    <x v="1005"/>
    <x v="2"/>
    <x v="3"/>
  </r>
  <r>
    <x v="1405"/>
    <x v="254"/>
    <x v="1"/>
    <x v="0"/>
    <x v="1"/>
    <x v="1"/>
    <x v="20"/>
    <x v="13"/>
    <x v="3"/>
    <x v="143"/>
    <x v="5"/>
    <x v="1006"/>
    <x v="0"/>
    <x v="1"/>
  </r>
  <r>
    <x v="1406"/>
    <x v="254"/>
    <x v="3"/>
    <x v="0"/>
    <x v="0"/>
    <x v="1"/>
    <x v="20"/>
    <x v="12"/>
    <x v="1"/>
    <x v="143"/>
    <x v="1"/>
    <x v="1007"/>
    <x v="0"/>
    <x v="3"/>
  </r>
  <r>
    <x v="1407"/>
    <x v="254"/>
    <x v="2"/>
    <x v="3"/>
    <x v="0"/>
    <x v="5"/>
    <x v="21"/>
    <x v="11"/>
    <x v="0"/>
    <x v="35"/>
    <x v="5"/>
    <x v="1008"/>
    <x v="1"/>
    <x v="2"/>
  </r>
  <r>
    <x v="1408"/>
    <x v="254"/>
    <x v="0"/>
    <x v="2"/>
    <x v="0"/>
    <x v="5"/>
    <x v="25"/>
    <x v="3"/>
    <x v="3"/>
    <x v="101"/>
    <x v="6"/>
    <x v="754"/>
    <x v="2"/>
    <x v="0"/>
  </r>
  <r>
    <x v="1409"/>
    <x v="254"/>
    <x v="3"/>
    <x v="2"/>
    <x v="0"/>
    <x v="1"/>
    <x v="20"/>
    <x v="9"/>
    <x v="2"/>
    <x v="143"/>
    <x v="0"/>
    <x v="1009"/>
    <x v="2"/>
    <x v="3"/>
  </r>
  <r>
    <x v="1410"/>
    <x v="255"/>
    <x v="2"/>
    <x v="3"/>
    <x v="0"/>
    <x v="0"/>
    <x v="10"/>
    <x v="5"/>
    <x v="4"/>
    <x v="17"/>
    <x v="5"/>
    <x v="1010"/>
    <x v="1"/>
    <x v="2"/>
  </r>
  <r>
    <x v="1411"/>
    <x v="255"/>
    <x v="1"/>
    <x v="2"/>
    <x v="0"/>
    <x v="2"/>
    <x v="3"/>
    <x v="13"/>
    <x v="3"/>
    <x v="94"/>
    <x v="0"/>
    <x v="1011"/>
    <x v="0"/>
    <x v="1"/>
  </r>
  <r>
    <x v="1412"/>
    <x v="255"/>
    <x v="3"/>
    <x v="1"/>
    <x v="1"/>
    <x v="5"/>
    <x v="21"/>
    <x v="12"/>
    <x v="3"/>
    <x v="35"/>
    <x v="5"/>
    <x v="279"/>
    <x v="0"/>
    <x v="3"/>
  </r>
  <r>
    <x v="1413"/>
    <x v="256"/>
    <x v="4"/>
    <x v="0"/>
    <x v="0"/>
    <x v="5"/>
    <x v="21"/>
    <x v="10"/>
    <x v="3"/>
    <x v="108"/>
    <x v="0"/>
    <x v="1012"/>
    <x v="2"/>
    <x v="4"/>
  </r>
  <r>
    <x v="1414"/>
    <x v="256"/>
    <x v="3"/>
    <x v="0"/>
    <x v="1"/>
    <x v="2"/>
    <x v="5"/>
    <x v="6"/>
    <x v="2"/>
    <x v="33"/>
    <x v="0"/>
    <x v="88"/>
    <x v="1"/>
    <x v="3"/>
  </r>
  <r>
    <x v="1415"/>
    <x v="256"/>
    <x v="3"/>
    <x v="0"/>
    <x v="0"/>
    <x v="3"/>
    <x v="4"/>
    <x v="6"/>
    <x v="3"/>
    <x v="41"/>
    <x v="0"/>
    <x v="492"/>
    <x v="1"/>
    <x v="3"/>
  </r>
  <r>
    <x v="1416"/>
    <x v="256"/>
    <x v="4"/>
    <x v="0"/>
    <x v="0"/>
    <x v="4"/>
    <x v="11"/>
    <x v="8"/>
    <x v="3"/>
    <x v="95"/>
    <x v="1"/>
    <x v="1013"/>
    <x v="0"/>
    <x v="4"/>
  </r>
  <r>
    <x v="1417"/>
    <x v="256"/>
    <x v="4"/>
    <x v="2"/>
    <x v="0"/>
    <x v="1"/>
    <x v="24"/>
    <x v="14"/>
    <x v="2"/>
    <x v="152"/>
    <x v="5"/>
    <x v="1014"/>
    <x v="2"/>
    <x v="4"/>
  </r>
  <r>
    <x v="1418"/>
    <x v="256"/>
    <x v="2"/>
    <x v="0"/>
    <x v="1"/>
    <x v="2"/>
    <x v="3"/>
    <x v="11"/>
    <x v="5"/>
    <x v="132"/>
    <x v="0"/>
    <x v="1015"/>
    <x v="1"/>
    <x v="2"/>
  </r>
  <r>
    <x v="1419"/>
    <x v="257"/>
    <x v="3"/>
    <x v="2"/>
    <x v="0"/>
    <x v="5"/>
    <x v="15"/>
    <x v="9"/>
    <x v="0"/>
    <x v="20"/>
    <x v="0"/>
    <x v="1016"/>
    <x v="2"/>
    <x v="3"/>
  </r>
  <r>
    <x v="1420"/>
    <x v="257"/>
    <x v="4"/>
    <x v="3"/>
    <x v="0"/>
    <x v="5"/>
    <x v="16"/>
    <x v="8"/>
    <x v="3"/>
    <x v="67"/>
    <x v="2"/>
    <x v="387"/>
    <x v="0"/>
    <x v="4"/>
  </r>
  <r>
    <x v="1421"/>
    <x v="257"/>
    <x v="1"/>
    <x v="3"/>
    <x v="0"/>
    <x v="3"/>
    <x v="13"/>
    <x v="1"/>
    <x v="3"/>
    <x v="15"/>
    <x v="3"/>
    <x v="1017"/>
    <x v="1"/>
    <x v="1"/>
  </r>
  <r>
    <x v="1422"/>
    <x v="257"/>
    <x v="1"/>
    <x v="2"/>
    <x v="1"/>
    <x v="0"/>
    <x v="27"/>
    <x v="4"/>
    <x v="5"/>
    <x v="137"/>
    <x v="5"/>
    <x v="1018"/>
    <x v="2"/>
    <x v="1"/>
  </r>
  <r>
    <x v="1423"/>
    <x v="257"/>
    <x v="4"/>
    <x v="0"/>
    <x v="1"/>
    <x v="3"/>
    <x v="4"/>
    <x v="14"/>
    <x v="3"/>
    <x v="81"/>
    <x v="0"/>
    <x v="363"/>
    <x v="2"/>
    <x v="4"/>
  </r>
  <r>
    <x v="1424"/>
    <x v="257"/>
    <x v="0"/>
    <x v="2"/>
    <x v="0"/>
    <x v="2"/>
    <x v="17"/>
    <x v="2"/>
    <x v="2"/>
    <x v="89"/>
    <x v="6"/>
    <x v="993"/>
    <x v="2"/>
    <x v="0"/>
  </r>
  <r>
    <x v="1425"/>
    <x v="257"/>
    <x v="4"/>
    <x v="1"/>
    <x v="1"/>
    <x v="0"/>
    <x v="27"/>
    <x v="8"/>
    <x v="5"/>
    <x v="128"/>
    <x v="5"/>
    <x v="594"/>
    <x v="0"/>
    <x v="4"/>
  </r>
  <r>
    <x v="1426"/>
    <x v="257"/>
    <x v="2"/>
    <x v="0"/>
    <x v="1"/>
    <x v="0"/>
    <x v="19"/>
    <x v="11"/>
    <x v="0"/>
    <x v="71"/>
    <x v="0"/>
    <x v="1019"/>
    <x v="1"/>
    <x v="2"/>
  </r>
  <r>
    <x v="1427"/>
    <x v="258"/>
    <x v="1"/>
    <x v="2"/>
    <x v="0"/>
    <x v="5"/>
    <x v="21"/>
    <x v="4"/>
    <x v="3"/>
    <x v="35"/>
    <x v="4"/>
    <x v="247"/>
    <x v="2"/>
    <x v="1"/>
  </r>
  <r>
    <x v="1428"/>
    <x v="258"/>
    <x v="2"/>
    <x v="2"/>
    <x v="0"/>
    <x v="5"/>
    <x v="25"/>
    <x v="11"/>
    <x v="0"/>
    <x v="165"/>
    <x v="0"/>
    <x v="1020"/>
    <x v="1"/>
    <x v="2"/>
  </r>
  <r>
    <x v="1429"/>
    <x v="258"/>
    <x v="4"/>
    <x v="3"/>
    <x v="0"/>
    <x v="3"/>
    <x v="4"/>
    <x v="10"/>
    <x v="5"/>
    <x v="41"/>
    <x v="1"/>
    <x v="162"/>
    <x v="2"/>
    <x v="4"/>
  </r>
  <r>
    <x v="1430"/>
    <x v="258"/>
    <x v="1"/>
    <x v="0"/>
    <x v="1"/>
    <x v="0"/>
    <x v="0"/>
    <x v="4"/>
    <x v="3"/>
    <x v="0"/>
    <x v="6"/>
    <x v="290"/>
    <x v="2"/>
    <x v="1"/>
  </r>
  <r>
    <x v="1431"/>
    <x v="258"/>
    <x v="2"/>
    <x v="1"/>
    <x v="0"/>
    <x v="4"/>
    <x v="6"/>
    <x v="11"/>
    <x v="4"/>
    <x v="46"/>
    <x v="0"/>
    <x v="1021"/>
    <x v="1"/>
    <x v="2"/>
  </r>
  <r>
    <x v="1432"/>
    <x v="258"/>
    <x v="0"/>
    <x v="0"/>
    <x v="0"/>
    <x v="2"/>
    <x v="8"/>
    <x v="2"/>
    <x v="0"/>
    <x v="56"/>
    <x v="2"/>
    <x v="878"/>
    <x v="2"/>
    <x v="0"/>
  </r>
  <r>
    <x v="1433"/>
    <x v="258"/>
    <x v="0"/>
    <x v="2"/>
    <x v="1"/>
    <x v="2"/>
    <x v="2"/>
    <x v="2"/>
    <x v="2"/>
    <x v="19"/>
    <x v="6"/>
    <x v="1022"/>
    <x v="2"/>
    <x v="0"/>
  </r>
  <r>
    <x v="1434"/>
    <x v="258"/>
    <x v="3"/>
    <x v="2"/>
    <x v="0"/>
    <x v="3"/>
    <x v="13"/>
    <x v="9"/>
    <x v="5"/>
    <x v="53"/>
    <x v="5"/>
    <x v="1023"/>
    <x v="2"/>
    <x v="3"/>
  </r>
  <r>
    <x v="1435"/>
    <x v="258"/>
    <x v="2"/>
    <x v="0"/>
    <x v="1"/>
    <x v="2"/>
    <x v="8"/>
    <x v="11"/>
    <x v="1"/>
    <x v="45"/>
    <x v="4"/>
    <x v="568"/>
    <x v="1"/>
    <x v="2"/>
  </r>
  <r>
    <x v="1436"/>
    <x v="259"/>
    <x v="4"/>
    <x v="1"/>
    <x v="0"/>
    <x v="1"/>
    <x v="20"/>
    <x v="8"/>
    <x v="5"/>
    <x v="160"/>
    <x v="0"/>
    <x v="385"/>
    <x v="0"/>
    <x v="4"/>
  </r>
  <r>
    <x v="1437"/>
    <x v="259"/>
    <x v="2"/>
    <x v="0"/>
    <x v="1"/>
    <x v="2"/>
    <x v="8"/>
    <x v="11"/>
    <x v="0"/>
    <x v="134"/>
    <x v="1"/>
    <x v="356"/>
    <x v="1"/>
    <x v="2"/>
  </r>
  <r>
    <x v="1438"/>
    <x v="259"/>
    <x v="3"/>
    <x v="1"/>
    <x v="0"/>
    <x v="2"/>
    <x v="9"/>
    <x v="6"/>
    <x v="4"/>
    <x v="10"/>
    <x v="5"/>
    <x v="284"/>
    <x v="1"/>
    <x v="3"/>
  </r>
  <r>
    <x v="1439"/>
    <x v="259"/>
    <x v="4"/>
    <x v="0"/>
    <x v="0"/>
    <x v="0"/>
    <x v="27"/>
    <x v="8"/>
    <x v="3"/>
    <x v="69"/>
    <x v="5"/>
    <x v="543"/>
    <x v="0"/>
    <x v="4"/>
  </r>
  <r>
    <x v="1440"/>
    <x v="260"/>
    <x v="3"/>
    <x v="0"/>
    <x v="1"/>
    <x v="2"/>
    <x v="17"/>
    <x v="12"/>
    <x v="0"/>
    <x v="24"/>
    <x v="5"/>
    <x v="1024"/>
    <x v="0"/>
    <x v="3"/>
  </r>
  <r>
    <x v="1441"/>
    <x v="260"/>
    <x v="0"/>
    <x v="0"/>
    <x v="1"/>
    <x v="0"/>
    <x v="27"/>
    <x v="2"/>
    <x v="2"/>
    <x v="69"/>
    <x v="0"/>
    <x v="1025"/>
    <x v="2"/>
    <x v="0"/>
  </r>
  <r>
    <x v="1442"/>
    <x v="260"/>
    <x v="4"/>
    <x v="0"/>
    <x v="0"/>
    <x v="0"/>
    <x v="19"/>
    <x v="10"/>
    <x v="2"/>
    <x v="28"/>
    <x v="4"/>
    <x v="1026"/>
    <x v="2"/>
    <x v="4"/>
  </r>
  <r>
    <x v="1443"/>
    <x v="261"/>
    <x v="1"/>
    <x v="3"/>
    <x v="0"/>
    <x v="4"/>
    <x v="6"/>
    <x v="13"/>
    <x v="10"/>
    <x v="44"/>
    <x v="2"/>
    <x v="1027"/>
    <x v="0"/>
    <x v="1"/>
  </r>
  <r>
    <x v="1444"/>
    <x v="261"/>
    <x v="0"/>
    <x v="3"/>
    <x v="0"/>
    <x v="3"/>
    <x v="14"/>
    <x v="0"/>
    <x v="3"/>
    <x v="129"/>
    <x v="3"/>
    <x v="249"/>
    <x v="0"/>
    <x v="0"/>
  </r>
  <r>
    <x v="1445"/>
    <x v="261"/>
    <x v="3"/>
    <x v="0"/>
    <x v="1"/>
    <x v="2"/>
    <x v="2"/>
    <x v="12"/>
    <x v="1"/>
    <x v="157"/>
    <x v="0"/>
    <x v="1028"/>
    <x v="0"/>
    <x v="3"/>
  </r>
  <r>
    <x v="1446"/>
    <x v="261"/>
    <x v="2"/>
    <x v="0"/>
    <x v="0"/>
    <x v="0"/>
    <x v="19"/>
    <x v="7"/>
    <x v="6"/>
    <x v="28"/>
    <x v="4"/>
    <x v="696"/>
    <x v="3"/>
    <x v="2"/>
  </r>
  <r>
    <x v="1447"/>
    <x v="261"/>
    <x v="3"/>
    <x v="2"/>
    <x v="1"/>
    <x v="2"/>
    <x v="2"/>
    <x v="12"/>
    <x v="2"/>
    <x v="120"/>
    <x v="6"/>
    <x v="1029"/>
    <x v="0"/>
    <x v="3"/>
  </r>
  <r>
    <x v="1448"/>
    <x v="261"/>
    <x v="0"/>
    <x v="1"/>
    <x v="1"/>
    <x v="1"/>
    <x v="22"/>
    <x v="2"/>
    <x v="3"/>
    <x v="36"/>
    <x v="3"/>
    <x v="1030"/>
    <x v="2"/>
    <x v="0"/>
  </r>
  <r>
    <x v="1449"/>
    <x v="261"/>
    <x v="3"/>
    <x v="3"/>
    <x v="0"/>
    <x v="4"/>
    <x v="12"/>
    <x v="6"/>
    <x v="0"/>
    <x v="72"/>
    <x v="5"/>
    <x v="470"/>
    <x v="1"/>
    <x v="3"/>
  </r>
  <r>
    <x v="1450"/>
    <x v="261"/>
    <x v="4"/>
    <x v="0"/>
    <x v="0"/>
    <x v="0"/>
    <x v="19"/>
    <x v="14"/>
    <x v="2"/>
    <x v="155"/>
    <x v="5"/>
    <x v="1031"/>
    <x v="2"/>
    <x v="4"/>
  </r>
  <r>
    <x v="1451"/>
    <x v="262"/>
    <x v="4"/>
    <x v="0"/>
    <x v="0"/>
    <x v="2"/>
    <x v="3"/>
    <x v="8"/>
    <x v="0"/>
    <x v="92"/>
    <x v="6"/>
    <x v="1032"/>
    <x v="0"/>
    <x v="4"/>
  </r>
  <r>
    <x v="1452"/>
    <x v="262"/>
    <x v="1"/>
    <x v="1"/>
    <x v="0"/>
    <x v="2"/>
    <x v="8"/>
    <x v="13"/>
    <x v="3"/>
    <x v="45"/>
    <x v="0"/>
    <x v="797"/>
    <x v="0"/>
    <x v="1"/>
  </r>
  <r>
    <x v="1453"/>
    <x v="262"/>
    <x v="1"/>
    <x v="3"/>
    <x v="0"/>
    <x v="5"/>
    <x v="21"/>
    <x v="1"/>
    <x v="0"/>
    <x v="35"/>
    <x v="2"/>
    <x v="1033"/>
    <x v="1"/>
    <x v="1"/>
  </r>
  <r>
    <x v="1454"/>
    <x v="262"/>
    <x v="1"/>
    <x v="0"/>
    <x v="0"/>
    <x v="1"/>
    <x v="1"/>
    <x v="4"/>
    <x v="0"/>
    <x v="16"/>
    <x v="6"/>
    <x v="146"/>
    <x v="2"/>
    <x v="1"/>
  </r>
  <r>
    <x v="1455"/>
    <x v="263"/>
    <x v="1"/>
    <x v="3"/>
    <x v="1"/>
    <x v="5"/>
    <x v="15"/>
    <x v="1"/>
    <x v="3"/>
    <x v="42"/>
    <x v="0"/>
    <x v="174"/>
    <x v="1"/>
    <x v="1"/>
  </r>
  <r>
    <x v="1456"/>
    <x v="263"/>
    <x v="1"/>
    <x v="0"/>
    <x v="1"/>
    <x v="4"/>
    <x v="7"/>
    <x v="4"/>
    <x v="0"/>
    <x v="116"/>
    <x v="1"/>
    <x v="582"/>
    <x v="2"/>
    <x v="1"/>
  </r>
  <r>
    <x v="1457"/>
    <x v="264"/>
    <x v="0"/>
    <x v="0"/>
    <x v="1"/>
    <x v="0"/>
    <x v="0"/>
    <x v="3"/>
    <x v="10"/>
    <x v="0"/>
    <x v="3"/>
    <x v="982"/>
    <x v="2"/>
    <x v="0"/>
  </r>
  <r>
    <x v="1458"/>
    <x v="264"/>
    <x v="4"/>
    <x v="0"/>
    <x v="1"/>
    <x v="5"/>
    <x v="18"/>
    <x v="10"/>
    <x v="3"/>
    <x v="27"/>
    <x v="1"/>
    <x v="120"/>
    <x v="2"/>
    <x v="4"/>
  </r>
  <r>
    <x v="1459"/>
    <x v="264"/>
    <x v="1"/>
    <x v="2"/>
    <x v="0"/>
    <x v="2"/>
    <x v="2"/>
    <x v="13"/>
    <x v="0"/>
    <x v="100"/>
    <x v="0"/>
    <x v="930"/>
    <x v="0"/>
    <x v="1"/>
  </r>
  <r>
    <x v="1460"/>
    <x v="264"/>
    <x v="4"/>
    <x v="0"/>
    <x v="1"/>
    <x v="0"/>
    <x v="27"/>
    <x v="10"/>
    <x v="1"/>
    <x v="137"/>
    <x v="4"/>
    <x v="1034"/>
    <x v="2"/>
    <x v="4"/>
  </r>
  <r>
    <x v="1461"/>
    <x v="264"/>
    <x v="3"/>
    <x v="3"/>
    <x v="0"/>
    <x v="1"/>
    <x v="1"/>
    <x v="12"/>
    <x v="1"/>
    <x v="1"/>
    <x v="0"/>
    <x v="1035"/>
    <x v="0"/>
    <x v="3"/>
  </r>
  <r>
    <x v="1462"/>
    <x v="264"/>
    <x v="4"/>
    <x v="2"/>
    <x v="1"/>
    <x v="3"/>
    <x v="4"/>
    <x v="10"/>
    <x v="0"/>
    <x v="62"/>
    <x v="5"/>
    <x v="789"/>
    <x v="2"/>
    <x v="4"/>
  </r>
  <r>
    <x v="1463"/>
    <x v="265"/>
    <x v="2"/>
    <x v="1"/>
    <x v="0"/>
    <x v="2"/>
    <x v="17"/>
    <x v="5"/>
    <x v="3"/>
    <x v="22"/>
    <x v="1"/>
    <x v="23"/>
    <x v="1"/>
    <x v="2"/>
  </r>
  <r>
    <x v="1464"/>
    <x v="265"/>
    <x v="2"/>
    <x v="3"/>
    <x v="0"/>
    <x v="3"/>
    <x v="4"/>
    <x v="5"/>
    <x v="0"/>
    <x v="48"/>
    <x v="6"/>
    <x v="56"/>
    <x v="1"/>
    <x v="2"/>
  </r>
  <r>
    <x v="1465"/>
    <x v="265"/>
    <x v="4"/>
    <x v="0"/>
    <x v="1"/>
    <x v="2"/>
    <x v="17"/>
    <x v="10"/>
    <x v="3"/>
    <x v="87"/>
    <x v="4"/>
    <x v="1036"/>
    <x v="2"/>
    <x v="4"/>
  </r>
  <r>
    <x v="1466"/>
    <x v="265"/>
    <x v="3"/>
    <x v="3"/>
    <x v="1"/>
    <x v="5"/>
    <x v="18"/>
    <x v="6"/>
    <x v="0"/>
    <x v="153"/>
    <x v="5"/>
    <x v="1037"/>
    <x v="1"/>
    <x v="3"/>
  </r>
  <r>
    <x v="1467"/>
    <x v="265"/>
    <x v="1"/>
    <x v="1"/>
    <x v="1"/>
    <x v="2"/>
    <x v="9"/>
    <x v="13"/>
    <x v="4"/>
    <x v="10"/>
    <x v="5"/>
    <x v="284"/>
    <x v="0"/>
    <x v="1"/>
  </r>
  <r>
    <x v="1468"/>
    <x v="266"/>
    <x v="3"/>
    <x v="2"/>
    <x v="1"/>
    <x v="3"/>
    <x v="23"/>
    <x v="12"/>
    <x v="3"/>
    <x v="142"/>
    <x v="6"/>
    <x v="497"/>
    <x v="0"/>
    <x v="3"/>
  </r>
  <r>
    <x v="1469"/>
    <x v="266"/>
    <x v="4"/>
    <x v="3"/>
    <x v="0"/>
    <x v="3"/>
    <x v="4"/>
    <x v="8"/>
    <x v="3"/>
    <x v="41"/>
    <x v="4"/>
    <x v="124"/>
    <x v="0"/>
    <x v="4"/>
  </r>
  <r>
    <x v="1470"/>
    <x v="266"/>
    <x v="3"/>
    <x v="2"/>
    <x v="1"/>
    <x v="1"/>
    <x v="24"/>
    <x v="6"/>
    <x v="0"/>
    <x v="152"/>
    <x v="3"/>
    <x v="1038"/>
    <x v="1"/>
    <x v="3"/>
  </r>
  <r>
    <x v="1471"/>
    <x v="267"/>
    <x v="4"/>
    <x v="2"/>
    <x v="1"/>
    <x v="0"/>
    <x v="0"/>
    <x v="10"/>
    <x v="5"/>
    <x v="115"/>
    <x v="2"/>
    <x v="1039"/>
    <x v="2"/>
    <x v="4"/>
  </r>
  <r>
    <x v="1472"/>
    <x v="267"/>
    <x v="4"/>
    <x v="2"/>
    <x v="0"/>
    <x v="2"/>
    <x v="9"/>
    <x v="10"/>
    <x v="6"/>
    <x v="10"/>
    <x v="2"/>
    <x v="1040"/>
    <x v="2"/>
    <x v="4"/>
  </r>
  <r>
    <x v="1473"/>
    <x v="267"/>
    <x v="4"/>
    <x v="1"/>
    <x v="0"/>
    <x v="2"/>
    <x v="8"/>
    <x v="8"/>
    <x v="0"/>
    <x v="9"/>
    <x v="5"/>
    <x v="1041"/>
    <x v="0"/>
    <x v="4"/>
  </r>
  <r>
    <x v="1474"/>
    <x v="267"/>
    <x v="4"/>
    <x v="2"/>
    <x v="1"/>
    <x v="5"/>
    <x v="21"/>
    <x v="14"/>
    <x v="3"/>
    <x v="163"/>
    <x v="0"/>
    <x v="128"/>
    <x v="2"/>
    <x v="4"/>
  </r>
  <r>
    <x v="1475"/>
    <x v="267"/>
    <x v="1"/>
    <x v="2"/>
    <x v="0"/>
    <x v="0"/>
    <x v="10"/>
    <x v="13"/>
    <x v="0"/>
    <x v="109"/>
    <x v="1"/>
    <x v="503"/>
    <x v="0"/>
    <x v="1"/>
  </r>
  <r>
    <x v="1476"/>
    <x v="268"/>
    <x v="0"/>
    <x v="0"/>
    <x v="1"/>
    <x v="3"/>
    <x v="14"/>
    <x v="3"/>
    <x v="0"/>
    <x v="18"/>
    <x v="5"/>
    <x v="953"/>
    <x v="2"/>
    <x v="0"/>
  </r>
  <r>
    <x v="1477"/>
    <x v="268"/>
    <x v="4"/>
    <x v="2"/>
    <x v="0"/>
    <x v="1"/>
    <x v="20"/>
    <x v="10"/>
    <x v="0"/>
    <x v="160"/>
    <x v="5"/>
    <x v="780"/>
    <x v="2"/>
    <x v="4"/>
  </r>
  <r>
    <x v="1478"/>
    <x v="268"/>
    <x v="0"/>
    <x v="2"/>
    <x v="0"/>
    <x v="3"/>
    <x v="13"/>
    <x v="3"/>
    <x v="3"/>
    <x v="61"/>
    <x v="5"/>
    <x v="167"/>
    <x v="2"/>
    <x v="0"/>
  </r>
  <r>
    <x v="1479"/>
    <x v="268"/>
    <x v="2"/>
    <x v="0"/>
    <x v="1"/>
    <x v="2"/>
    <x v="3"/>
    <x v="5"/>
    <x v="5"/>
    <x v="132"/>
    <x v="0"/>
    <x v="1015"/>
    <x v="1"/>
    <x v="2"/>
  </r>
  <r>
    <x v="1480"/>
    <x v="268"/>
    <x v="1"/>
    <x v="2"/>
    <x v="1"/>
    <x v="3"/>
    <x v="23"/>
    <x v="13"/>
    <x v="3"/>
    <x v="142"/>
    <x v="0"/>
    <x v="6"/>
    <x v="0"/>
    <x v="1"/>
  </r>
  <r>
    <x v="1481"/>
    <x v="268"/>
    <x v="3"/>
    <x v="1"/>
    <x v="0"/>
    <x v="2"/>
    <x v="2"/>
    <x v="9"/>
    <x v="0"/>
    <x v="2"/>
    <x v="2"/>
    <x v="746"/>
    <x v="2"/>
    <x v="3"/>
  </r>
  <r>
    <x v="1482"/>
    <x v="269"/>
    <x v="3"/>
    <x v="0"/>
    <x v="0"/>
    <x v="2"/>
    <x v="8"/>
    <x v="12"/>
    <x v="3"/>
    <x v="45"/>
    <x v="0"/>
    <x v="797"/>
    <x v="0"/>
    <x v="3"/>
  </r>
  <r>
    <x v="1483"/>
    <x v="269"/>
    <x v="0"/>
    <x v="0"/>
    <x v="0"/>
    <x v="3"/>
    <x v="4"/>
    <x v="3"/>
    <x v="0"/>
    <x v="48"/>
    <x v="5"/>
    <x v="1042"/>
    <x v="2"/>
    <x v="0"/>
  </r>
  <r>
    <x v="1484"/>
    <x v="269"/>
    <x v="4"/>
    <x v="0"/>
    <x v="0"/>
    <x v="2"/>
    <x v="3"/>
    <x v="8"/>
    <x v="5"/>
    <x v="3"/>
    <x v="2"/>
    <x v="1043"/>
    <x v="0"/>
    <x v="4"/>
  </r>
  <r>
    <x v="1485"/>
    <x v="269"/>
    <x v="3"/>
    <x v="0"/>
    <x v="0"/>
    <x v="0"/>
    <x v="27"/>
    <x v="6"/>
    <x v="5"/>
    <x v="128"/>
    <x v="3"/>
    <x v="1044"/>
    <x v="1"/>
    <x v="3"/>
  </r>
  <r>
    <x v="1486"/>
    <x v="269"/>
    <x v="0"/>
    <x v="2"/>
    <x v="0"/>
    <x v="1"/>
    <x v="20"/>
    <x v="2"/>
    <x v="3"/>
    <x v="31"/>
    <x v="2"/>
    <x v="1045"/>
    <x v="2"/>
    <x v="0"/>
  </r>
  <r>
    <x v="1487"/>
    <x v="269"/>
    <x v="4"/>
    <x v="0"/>
    <x v="1"/>
    <x v="5"/>
    <x v="16"/>
    <x v="14"/>
    <x v="3"/>
    <x v="111"/>
    <x v="4"/>
    <x v="1046"/>
    <x v="2"/>
    <x v="4"/>
  </r>
  <r>
    <x v="1488"/>
    <x v="269"/>
    <x v="0"/>
    <x v="0"/>
    <x v="0"/>
    <x v="0"/>
    <x v="27"/>
    <x v="3"/>
    <x v="4"/>
    <x v="85"/>
    <x v="5"/>
    <x v="1047"/>
    <x v="2"/>
    <x v="0"/>
  </r>
  <r>
    <x v="1489"/>
    <x v="269"/>
    <x v="3"/>
    <x v="3"/>
    <x v="0"/>
    <x v="5"/>
    <x v="15"/>
    <x v="9"/>
    <x v="0"/>
    <x v="20"/>
    <x v="2"/>
    <x v="1048"/>
    <x v="2"/>
    <x v="3"/>
  </r>
  <r>
    <x v="1490"/>
    <x v="270"/>
    <x v="1"/>
    <x v="0"/>
    <x v="1"/>
    <x v="2"/>
    <x v="3"/>
    <x v="1"/>
    <x v="3"/>
    <x v="7"/>
    <x v="1"/>
    <x v="1049"/>
    <x v="1"/>
    <x v="1"/>
  </r>
  <r>
    <x v="1491"/>
    <x v="270"/>
    <x v="3"/>
    <x v="0"/>
    <x v="1"/>
    <x v="3"/>
    <x v="14"/>
    <x v="6"/>
    <x v="3"/>
    <x v="151"/>
    <x v="6"/>
    <x v="854"/>
    <x v="1"/>
    <x v="3"/>
  </r>
  <r>
    <x v="1492"/>
    <x v="270"/>
    <x v="2"/>
    <x v="1"/>
    <x v="0"/>
    <x v="2"/>
    <x v="8"/>
    <x v="5"/>
    <x v="0"/>
    <x v="9"/>
    <x v="6"/>
    <x v="502"/>
    <x v="1"/>
    <x v="2"/>
  </r>
  <r>
    <x v="1493"/>
    <x v="270"/>
    <x v="4"/>
    <x v="2"/>
    <x v="1"/>
    <x v="3"/>
    <x v="14"/>
    <x v="8"/>
    <x v="3"/>
    <x v="129"/>
    <x v="4"/>
    <x v="528"/>
    <x v="0"/>
    <x v="4"/>
  </r>
  <r>
    <x v="1494"/>
    <x v="270"/>
    <x v="1"/>
    <x v="0"/>
    <x v="0"/>
    <x v="2"/>
    <x v="17"/>
    <x v="4"/>
    <x v="5"/>
    <x v="167"/>
    <x v="5"/>
    <x v="1050"/>
    <x v="2"/>
    <x v="1"/>
  </r>
  <r>
    <x v="1495"/>
    <x v="271"/>
    <x v="4"/>
    <x v="1"/>
    <x v="1"/>
    <x v="2"/>
    <x v="2"/>
    <x v="8"/>
    <x v="0"/>
    <x v="19"/>
    <x v="5"/>
    <x v="1051"/>
    <x v="0"/>
    <x v="4"/>
  </r>
  <r>
    <x v="1496"/>
    <x v="271"/>
    <x v="3"/>
    <x v="0"/>
    <x v="1"/>
    <x v="3"/>
    <x v="13"/>
    <x v="9"/>
    <x v="3"/>
    <x v="61"/>
    <x v="6"/>
    <x v="481"/>
    <x v="2"/>
    <x v="3"/>
  </r>
  <r>
    <x v="1497"/>
    <x v="271"/>
    <x v="0"/>
    <x v="1"/>
    <x v="0"/>
    <x v="3"/>
    <x v="13"/>
    <x v="3"/>
    <x v="3"/>
    <x v="53"/>
    <x v="2"/>
    <x v="1052"/>
    <x v="2"/>
    <x v="0"/>
  </r>
  <r>
    <x v="1498"/>
    <x v="271"/>
    <x v="4"/>
    <x v="2"/>
    <x v="0"/>
    <x v="4"/>
    <x v="7"/>
    <x v="8"/>
    <x v="5"/>
    <x v="116"/>
    <x v="2"/>
    <x v="1053"/>
    <x v="0"/>
    <x v="4"/>
  </r>
  <r>
    <x v="1499"/>
    <x v="272"/>
    <x v="3"/>
    <x v="0"/>
    <x v="1"/>
    <x v="5"/>
    <x v="25"/>
    <x v="9"/>
    <x v="3"/>
    <x v="105"/>
    <x v="6"/>
    <x v="442"/>
    <x v="2"/>
    <x v="3"/>
  </r>
  <r>
    <x v="1500"/>
    <x v="272"/>
    <x v="0"/>
    <x v="2"/>
    <x v="0"/>
    <x v="3"/>
    <x v="23"/>
    <x v="3"/>
    <x v="3"/>
    <x v="145"/>
    <x v="0"/>
    <x v="1054"/>
    <x v="2"/>
    <x v="0"/>
  </r>
  <r>
    <x v="1501"/>
    <x v="272"/>
    <x v="3"/>
    <x v="2"/>
    <x v="0"/>
    <x v="1"/>
    <x v="1"/>
    <x v="6"/>
    <x v="3"/>
    <x v="127"/>
    <x v="5"/>
    <x v="1055"/>
    <x v="1"/>
    <x v="3"/>
  </r>
  <r>
    <x v="1502"/>
    <x v="272"/>
    <x v="2"/>
    <x v="3"/>
    <x v="0"/>
    <x v="1"/>
    <x v="1"/>
    <x v="11"/>
    <x v="5"/>
    <x v="127"/>
    <x v="0"/>
    <x v="1056"/>
    <x v="1"/>
    <x v="2"/>
  </r>
  <r>
    <x v="1503"/>
    <x v="273"/>
    <x v="2"/>
    <x v="0"/>
    <x v="1"/>
    <x v="4"/>
    <x v="7"/>
    <x v="7"/>
    <x v="4"/>
    <x v="106"/>
    <x v="4"/>
    <x v="1057"/>
    <x v="3"/>
    <x v="2"/>
  </r>
  <r>
    <x v="1504"/>
    <x v="273"/>
    <x v="2"/>
    <x v="0"/>
    <x v="1"/>
    <x v="0"/>
    <x v="19"/>
    <x v="5"/>
    <x v="6"/>
    <x v="28"/>
    <x v="0"/>
    <x v="273"/>
    <x v="1"/>
    <x v="2"/>
  </r>
  <r>
    <x v="1505"/>
    <x v="273"/>
    <x v="3"/>
    <x v="2"/>
    <x v="0"/>
    <x v="1"/>
    <x v="20"/>
    <x v="12"/>
    <x v="0"/>
    <x v="31"/>
    <x v="5"/>
    <x v="1058"/>
    <x v="0"/>
    <x v="3"/>
  </r>
  <r>
    <x v="1506"/>
    <x v="273"/>
    <x v="2"/>
    <x v="1"/>
    <x v="0"/>
    <x v="0"/>
    <x v="10"/>
    <x v="11"/>
    <x v="3"/>
    <x v="17"/>
    <x v="2"/>
    <x v="645"/>
    <x v="1"/>
    <x v="2"/>
  </r>
  <r>
    <x v="1507"/>
    <x v="273"/>
    <x v="3"/>
    <x v="0"/>
    <x v="0"/>
    <x v="0"/>
    <x v="10"/>
    <x v="12"/>
    <x v="6"/>
    <x v="88"/>
    <x v="3"/>
    <x v="1059"/>
    <x v="0"/>
    <x v="3"/>
  </r>
  <r>
    <x v="1508"/>
    <x v="273"/>
    <x v="3"/>
    <x v="2"/>
    <x v="0"/>
    <x v="4"/>
    <x v="7"/>
    <x v="12"/>
    <x v="3"/>
    <x v="34"/>
    <x v="5"/>
    <x v="563"/>
    <x v="0"/>
    <x v="3"/>
  </r>
  <r>
    <x v="1509"/>
    <x v="274"/>
    <x v="2"/>
    <x v="2"/>
    <x v="1"/>
    <x v="3"/>
    <x v="4"/>
    <x v="11"/>
    <x v="3"/>
    <x v="62"/>
    <x v="4"/>
    <x v="234"/>
    <x v="1"/>
    <x v="2"/>
  </r>
  <r>
    <x v="1510"/>
    <x v="274"/>
    <x v="3"/>
    <x v="0"/>
    <x v="1"/>
    <x v="2"/>
    <x v="17"/>
    <x v="6"/>
    <x v="3"/>
    <x v="22"/>
    <x v="0"/>
    <x v="1060"/>
    <x v="1"/>
    <x v="3"/>
  </r>
  <r>
    <x v="1511"/>
    <x v="274"/>
    <x v="1"/>
    <x v="0"/>
    <x v="0"/>
    <x v="2"/>
    <x v="9"/>
    <x v="13"/>
    <x v="0"/>
    <x v="11"/>
    <x v="1"/>
    <x v="1061"/>
    <x v="0"/>
    <x v="1"/>
  </r>
  <r>
    <x v="1512"/>
    <x v="274"/>
    <x v="0"/>
    <x v="0"/>
    <x v="0"/>
    <x v="4"/>
    <x v="7"/>
    <x v="3"/>
    <x v="6"/>
    <x v="103"/>
    <x v="1"/>
    <x v="833"/>
    <x v="2"/>
    <x v="0"/>
  </r>
  <r>
    <x v="1513"/>
    <x v="274"/>
    <x v="4"/>
    <x v="1"/>
    <x v="0"/>
    <x v="1"/>
    <x v="22"/>
    <x v="8"/>
    <x v="0"/>
    <x v="47"/>
    <x v="1"/>
    <x v="55"/>
    <x v="0"/>
    <x v="4"/>
  </r>
  <r>
    <x v="1514"/>
    <x v="275"/>
    <x v="1"/>
    <x v="0"/>
    <x v="1"/>
    <x v="2"/>
    <x v="5"/>
    <x v="13"/>
    <x v="0"/>
    <x v="33"/>
    <x v="1"/>
    <x v="447"/>
    <x v="0"/>
    <x v="1"/>
  </r>
  <r>
    <x v="1515"/>
    <x v="275"/>
    <x v="3"/>
    <x v="2"/>
    <x v="0"/>
    <x v="2"/>
    <x v="9"/>
    <x v="9"/>
    <x v="0"/>
    <x v="102"/>
    <x v="0"/>
    <x v="1062"/>
    <x v="2"/>
    <x v="3"/>
  </r>
  <r>
    <x v="1516"/>
    <x v="275"/>
    <x v="3"/>
    <x v="2"/>
    <x v="1"/>
    <x v="0"/>
    <x v="27"/>
    <x v="12"/>
    <x v="5"/>
    <x v="137"/>
    <x v="2"/>
    <x v="1063"/>
    <x v="0"/>
    <x v="3"/>
  </r>
  <r>
    <x v="1517"/>
    <x v="276"/>
    <x v="2"/>
    <x v="2"/>
    <x v="1"/>
    <x v="3"/>
    <x v="23"/>
    <x v="7"/>
    <x v="3"/>
    <x v="90"/>
    <x v="0"/>
    <x v="311"/>
    <x v="3"/>
    <x v="2"/>
  </r>
  <r>
    <x v="1518"/>
    <x v="276"/>
    <x v="0"/>
    <x v="1"/>
    <x v="1"/>
    <x v="0"/>
    <x v="19"/>
    <x v="2"/>
    <x v="0"/>
    <x v="161"/>
    <x v="5"/>
    <x v="1064"/>
    <x v="2"/>
    <x v="0"/>
  </r>
  <r>
    <x v="1519"/>
    <x v="277"/>
    <x v="1"/>
    <x v="0"/>
    <x v="0"/>
    <x v="2"/>
    <x v="3"/>
    <x v="4"/>
    <x v="2"/>
    <x v="94"/>
    <x v="0"/>
    <x v="256"/>
    <x v="2"/>
    <x v="1"/>
  </r>
  <r>
    <x v="1520"/>
    <x v="277"/>
    <x v="2"/>
    <x v="1"/>
    <x v="0"/>
    <x v="2"/>
    <x v="17"/>
    <x v="11"/>
    <x v="3"/>
    <x v="167"/>
    <x v="6"/>
    <x v="1065"/>
    <x v="1"/>
    <x v="2"/>
  </r>
  <r>
    <x v="1521"/>
    <x v="277"/>
    <x v="0"/>
    <x v="1"/>
    <x v="0"/>
    <x v="0"/>
    <x v="10"/>
    <x v="0"/>
    <x v="1"/>
    <x v="17"/>
    <x v="2"/>
    <x v="1066"/>
    <x v="0"/>
    <x v="0"/>
  </r>
  <r>
    <x v="1522"/>
    <x v="277"/>
    <x v="4"/>
    <x v="1"/>
    <x v="1"/>
    <x v="0"/>
    <x v="27"/>
    <x v="14"/>
    <x v="0"/>
    <x v="137"/>
    <x v="1"/>
    <x v="1067"/>
    <x v="2"/>
    <x v="4"/>
  </r>
  <r>
    <x v="1523"/>
    <x v="277"/>
    <x v="3"/>
    <x v="1"/>
    <x v="0"/>
    <x v="2"/>
    <x v="2"/>
    <x v="9"/>
    <x v="2"/>
    <x v="2"/>
    <x v="6"/>
    <x v="53"/>
    <x v="2"/>
    <x v="3"/>
  </r>
  <r>
    <x v="1524"/>
    <x v="277"/>
    <x v="3"/>
    <x v="3"/>
    <x v="0"/>
    <x v="3"/>
    <x v="13"/>
    <x v="12"/>
    <x v="0"/>
    <x v="57"/>
    <x v="2"/>
    <x v="1068"/>
    <x v="0"/>
    <x v="3"/>
  </r>
  <r>
    <x v="1525"/>
    <x v="277"/>
    <x v="4"/>
    <x v="2"/>
    <x v="1"/>
    <x v="5"/>
    <x v="21"/>
    <x v="8"/>
    <x v="2"/>
    <x v="141"/>
    <x v="0"/>
    <x v="1069"/>
    <x v="0"/>
    <x v="4"/>
  </r>
  <r>
    <x v="1526"/>
    <x v="277"/>
    <x v="3"/>
    <x v="3"/>
    <x v="1"/>
    <x v="3"/>
    <x v="14"/>
    <x v="9"/>
    <x v="0"/>
    <x v="76"/>
    <x v="1"/>
    <x v="1005"/>
    <x v="2"/>
    <x v="3"/>
  </r>
  <r>
    <x v="1527"/>
    <x v="277"/>
    <x v="4"/>
    <x v="3"/>
    <x v="0"/>
    <x v="3"/>
    <x v="4"/>
    <x v="14"/>
    <x v="3"/>
    <x v="41"/>
    <x v="4"/>
    <x v="124"/>
    <x v="2"/>
    <x v="4"/>
  </r>
  <r>
    <x v="1528"/>
    <x v="278"/>
    <x v="2"/>
    <x v="0"/>
    <x v="0"/>
    <x v="3"/>
    <x v="4"/>
    <x v="7"/>
    <x v="3"/>
    <x v="81"/>
    <x v="5"/>
    <x v="1070"/>
    <x v="3"/>
    <x v="2"/>
  </r>
  <r>
    <x v="1529"/>
    <x v="278"/>
    <x v="2"/>
    <x v="2"/>
    <x v="1"/>
    <x v="2"/>
    <x v="3"/>
    <x v="7"/>
    <x v="3"/>
    <x v="7"/>
    <x v="6"/>
    <x v="1071"/>
    <x v="3"/>
    <x v="2"/>
  </r>
  <r>
    <x v="1530"/>
    <x v="278"/>
    <x v="3"/>
    <x v="1"/>
    <x v="0"/>
    <x v="1"/>
    <x v="26"/>
    <x v="12"/>
    <x v="3"/>
    <x v="119"/>
    <x v="6"/>
    <x v="1072"/>
    <x v="0"/>
    <x v="3"/>
  </r>
  <r>
    <x v="1531"/>
    <x v="278"/>
    <x v="0"/>
    <x v="3"/>
    <x v="0"/>
    <x v="0"/>
    <x v="27"/>
    <x v="2"/>
    <x v="10"/>
    <x v="149"/>
    <x v="1"/>
    <x v="1073"/>
    <x v="2"/>
    <x v="0"/>
  </r>
  <r>
    <x v="1532"/>
    <x v="278"/>
    <x v="4"/>
    <x v="3"/>
    <x v="0"/>
    <x v="5"/>
    <x v="16"/>
    <x v="10"/>
    <x v="3"/>
    <x v="67"/>
    <x v="1"/>
    <x v="345"/>
    <x v="2"/>
    <x v="4"/>
  </r>
  <r>
    <x v="1533"/>
    <x v="279"/>
    <x v="3"/>
    <x v="1"/>
    <x v="0"/>
    <x v="0"/>
    <x v="10"/>
    <x v="9"/>
    <x v="2"/>
    <x v="17"/>
    <x v="4"/>
    <x v="697"/>
    <x v="2"/>
    <x v="3"/>
  </r>
  <r>
    <x v="1534"/>
    <x v="279"/>
    <x v="2"/>
    <x v="0"/>
    <x v="0"/>
    <x v="5"/>
    <x v="21"/>
    <x v="5"/>
    <x v="3"/>
    <x v="40"/>
    <x v="5"/>
    <x v="47"/>
    <x v="1"/>
    <x v="2"/>
  </r>
  <r>
    <x v="1535"/>
    <x v="279"/>
    <x v="2"/>
    <x v="1"/>
    <x v="0"/>
    <x v="0"/>
    <x v="10"/>
    <x v="5"/>
    <x v="2"/>
    <x v="109"/>
    <x v="1"/>
    <x v="12"/>
    <x v="1"/>
    <x v="2"/>
  </r>
  <r>
    <x v="1536"/>
    <x v="279"/>
    <x v="0"/>
    <x v="3"/>
    <x v="0"/>
    <x v="4"/>
    <x v="6"/>
    <x v="3"/>
    <x v="12"/>
    <x v="110"/>
    <x v="1"/>
    <x v="1074"/>
    <x v="2"/>
    <x v="0"/>
  </r>
  <r>
    <x v="1537"/>
    <x v="280"/>
    <x v="2"/>
    <x v="0"/>
    <x v="0"/>
    <x v="2"/>
    <x v="2"/>
    <x v="7"/>
    <x v="3"/>
    <x v="2"/>
    <x v="3"/>
    <x v="1075"/>
    <x v="3"/>
    <x v="2"/>
  </r>
  <r>
    <x v="1538"/>
    <x v="280"/>
    <x v="3"/>
    <x v="1"/>
    <x v="0"/>
    <x v="2"/>
    <x v="2"/>
    <x v="12"/>
    <x v="0"/>
    <x v="120"/>
    <x v="5"/>
    <x v="1076"/>
    <x v="0"/>
    <x v="3"/>
  </r>
  <r>
    <x v="1539"/>
    <x v="280"/>
    <x v="1"/>
    <x v="3"/>
    <x v="1"/>
    <x v="4"/>
    <x v="11"/>
    <x v="13"/>
    <x v="4"/>
    <x v="83"/>
    <x v="3"/>
    <x v="1077"/>
    <x v="0"/>
    <x v="1"/>
  </r>
  <r>
    <x v="1540"/>
    <x v="280"/>
    <x v="0"/>
    <x v="0"/>
    <x v="1"/>
    <x v="1"/>
    <x v="22"/>
    <x v="2"/>
    <x v="3"/>
    <x v="47"/>
    <x v="2"/>
    <x v="1078"/>
    <x v="2"/>
    <x v="0"/>
  </r>
  <r>
    <x v="1541"/>
    <x v="280"/>
    <x v="3"/>
    <x v="3"/>
    <x v="0"/>
    <x v="4"/>
    <x v="6"/>
    <x v="9"/>
    <x v="12"/>
    <x v="104"/>
    <x v="3"/>
    <x v="280"/>
    <x v="2"/>
    <x v="3"/>
  </r>
  <r>
    <x v="1542"/>
    <x v="280"/>
    <x v="4"/>
    <x v="3"/>
    <x v="0"/>
    <x v="3"/>
    <x v="4"/>
    <x v="8"/>
    <x v="2"/>
    <x v="48"/>
    <x v="4"/>
    <x v="1079"/>
    <x v="0"/>
    <x v="4"/>
  </r>
  <r>
    <x v="1543"/>
    <x v="280"/>
    <x v="0"/>
    <x v="0"/>
    <x v="0"/>
    <x v="3"/>
    <x v="13"/>
    <x v="3"/>
    <x v="3"/>
    <x v="15"/>
    <x v="1"/>
    <x v="815"/>
    <x v="2"/>
    <x v="0"/>
  </r>
  <r>
    <x v="1544"/>
    <x v="281"/>
    <x v="1"/>
    <x v="0"/>
    <x v="1"/>
    <x v="0"/>
    <x v="27"/>
    <x v="1"/>
    <x v="3"/>
    <x v="80"/>
    <x v="1"/>
    <x v="810"/>
    <x v="1"/>
    <x v="1"/>
  </r>
  <r>
    <x v="1545"/>
    <x v="281"/>
    <x v="0"/>
    <x v="1"/>
    <x v="0"/>
    <x v="2"/>
    <x v="9"/>
    <x v="2"/>
    <x v="4"/>
    <x v="10"/>
    <x v="3"/>
    <x v="1080"/>
    <x v="2"/>
    <x v="0"/>
  </r>
  <r>
    <x v="1546"/>
    <x v="281"/>
    <x v="3"/>
    <x v="3"/>
    <x v="1"/>
    <x v="5"/>
    <x v="21"/>
    <x v="6"/>
    <x v="0"/>
    <x v="163"/>
    <x v="0"/>
    <x v="1081"/>
    <x v="1"/>
    <x v="3"/>
  </r>
  <r>
    <x v="1547"/>
    <x v="281"/>
    <x v="1"/>
    <x v="0"/>
    <x v="0"/>
    <x v="0"/>
    <x v="0"/>
    <x v="4"/>
    <x v="3"/>
    <x v="0"/>
    <x v="4"/>
    <x v="203"/>
    <x v="2"/>
    <x v="1"/>
  </r>
  <r>
    <x v="1548"/>
    <x v="282"/>
    <x v="2"/>
    <x v="2"/>
    <x v="1"/>
    <x v="3"/>
    <x v="14"/>
    <x v="11"/>
    <x v="3"/>
    <x v="129"/>
    <x v="4"/>
    <x v="528"/>
    <x v="1"/>
    <x v="2"/>
  </r>
  <r>
    <x v="1549"/>
    <x v="282"/>
    <x v="4"/>
    <x v="2"/>
    <x v="0"/>
    <x v="1"/>
    <x v="26"/>
    <x v="8"/>
    <x v="0"/>
    <x v="119"/>
    <x v="4"/>
    <x v="1082"/>
    <x v="0"/>
    <x v="4"/>
  </r>
  <r>
    <x v="1550"/>
    <x v="282"/>
    <x v="3"/>
    <x v="0"/>
    <x v="0"/>
    <x v="2"/>
    <x v="17"/>
    <x v="6"/>
    <x v="2"/>
    <x v="89"/>
    <x v="5"/>
    <x v="1083"/>
    <x v="1"/>
    <x v="3"/>
  </r>
  <r>
    <x v="1551"/>
    <x v="283"/>
    <x v="4"/>
    <x v="2"/>
    <x v="0"/>
    <x v="3"/>
    <x v="13"/>
    <x v="10"/>
    <x v="2"/>
    <x v="57"/>
    <x v="5"/>
    <x v="1084"/>
    <x v="2"/>
    <x v="4"/>
  </r>
  <r>
    <x v="1552"/>
    <x v="283"/>
    <x v="0"/>
    <x v="2"/>
    <x v="1"/>
    <x v="2"/>
    <x v="5"/>
    <x v="3"/>
    <x v="2"/>
    <x v="147"/>
    <x v="1"/>
    <x v="274"/>
    <x v="2"/>
    <x v="0"/>
  </r>
  <r>
    <x v="1553"/>
    <x v="283"/>
    <x v="3"/>
    <x v="1"/>
    <x v="1"/>
    <x v="1"/>
    <x v="24"/>
    <x v="12"/>
    <x v="1"/>
    <x v="54"/>
    <x v="2"/>
    <x v="9"/>
    <x v="0"/>
    <x v="3"/>
  </r>
  <r>
    <x v="1554"/>
    <x v="283"/>
    <x v="3"/>
    <x v="1"/>
    <x v="0"/>
    <x v="2"/>
    <x v="5"/>
    <x v="12"/>
    <x v="4"/>
    <x v="133"/>
    <x v="2"/>
    <x v="1085"/>
    <x v="0"/>
    <x v="3"/>
  </r>
  <r>
    <x v="1555"/>
    <x v="283"/>
    <x v="4"/>
    <x v="1"/>
    <x v="1"/>
    <x v="5"/>
    <x v="21"/>
    <x v="10"/>
    <x v="3"/>
    <x v="35"/>
    <x v="6"/>
    <x v="138"/>
    <x v="2"/>
    <x v="4"/>
  </r>
  <r>
    <x v="1556"/>
    <x v="284"/>
    <x v="3"/>
    <x v="0"/>
    <x v="1"/>
    <x v="4"/>
    <x v="6"/>
    <x v="9"/>
    <x v="3"/>
    <x v="44"/>
    <x v="4"/>
    <x v="1086"/>
    <x v="2"/>
    <x v="3"/>
  </r>
  <r>
    <x v="1557"/>
    <x v="284"/>
    <x v="4"/>
    <x v="1"/>
    <x v="0"/>
    <x v="3"/>
    <x v="23"/>
    <x v="14"/>
    <x v="0"/>
    <x v="145"/>
    <x v="1"/>
    <x v="1087"/>
    <x v="2"/>
    <x v="4"/>
  </r>
  <r>
    <x v="1558"/>
    <x v="284"/>
    <x v="4"/>
    <x v="2"/>
    <x v="0"/>
    <x v="0"/>
    <x v="10"/>
    <x v="8"/>
    <x v="0"/>
    <x v="17"/>
    <x v="3"/>
    <x v="1088"/>
    <x v="0"/>
    <x v="4"/>
  </r>
  <r>
    <x v="1559"/>
    <x v="284"/>
    <x v="3"/>
    <x v="0"/>
    <x v="1"/>
    <x v="2"/>
    <x v="17"/>
    <x v="9"/>
    <x v="3"/>
    <x v="87"/>
    <x v="6"/>
    <x v="135"/>
    <x v="2"/>
    <x v="3"/>
  </r>
  <r>
    <x v="1560"/>
    <x v="285"/>
    <x v="0"/>
    <x v="0"/>
    <x v="1"/>
    <x v="4"/>
    <x v="12"/>
    <x v="0"/>
    <x v="3"/>
    <x v="38"/>
    <x v="1"/>
    <x v="1089"/>
    <x v="0"/>
    <x v="0"/>
  </r>
  <r>
    <x v="1561"/>
    <x v="285"/>
    <x v="1"/>
    <x v="3"/>
    <x v="0"/>
    <x v="5"/>
    <x v="18"/>
    <x v="13"/>
    <x v="3"/>
    <x v="125"/>
    <x v="1"/>
    <x v="515"/>
    <x v="0"/>
    <x v="1"/>
  </r>
  <r>
    <x v="1562"/>
    <x v="285"/>
    <x v="4"/>
    <x v="0"/>
    <x v="0"/>
    <x v="2"/>
    <x v="3"/>
    <x v="10"/>
    <x v="0"/>
    <x v="94"/>
    <x v="3"/>
    <x v="355"/>
    <x v="2"/>
    <x v="4"/>
  </r>
  <r>
    <x v="1563"/>
    <x v="285"/>
    <x v="0"/>
    <x v="3"/>
    <x v="0"/>
    <x v="4"/>
    <x v="7"/>
    <x v="2"/>
    <x v="5"/>
    <x v="8"/>
    <x v="2"/>
    <x v="1090"/>
    <x v="2"/>
    <x v="0"/>
  </r>
  <r>
    <x v="1564"/>
    <x v="285"/>
    <x v="1"/>
    <x v="0"/>
    <x v="0"/>
    <x v="0"/>
    <x v="27"/>
    <x v="4"/>
    <x v="5"/>
    <x v="128"/>
    <x v="2"/>
    <x v="331"/>
    <x v="2"/>
    <x v="1"/>
  </r>
  <r>
    <x v="1565"/>
    <x v="285"/>
    <x v="2"/>
    <x v="0"/>
    <x v="0"/>
    <x v="2"/>
    <x v="3"/>
    <x v="7"/>
    <x v="2"/>
    <x v="92"/>
    <x v="1"/>
    <x v="328"/>
    <x v="3"/>
    <x v="2"/>
  </r>
  <r>
    <x v="1566"/>
    <x v="285"/>
    <x v="0"/>
    <x v="3"/>
    <x v="1"/>
    <x v="5"/>
    <x v="16"/>
    <x v="2"/>
    <x v="3"/>
    <x v="111"/>
    <x v="2"/>
    <x v="1091"/>
    <x v="2"/>
    <x v="0"/>
  </r>
  <r>
    <x v="1567"/>
    <x v="286"/>
    <x v="4"/>
    <x v="0"/>
    <x v="1"/>
    <x v="4"/>
    <x v="12"/>
    <x v="10"/>
    <x v="0"/>
    <x v="72"/>
    <x v="0"/>
    <x v="1092"/>
    <x v="2"/>
    <x v="4"/>
  </r>
  <r>
    <x v="1568"/>
    <x v="286"/>
    <x v="3"/>
    <x v="2"/>
    <x v="0"/>
    <x v="3"/>
    <x v="14"/>
    <x v="9"/>
    <x v="3"/>
    <x v="129"/>
    <x v="6"/>
    <x v="561"/>
    <x v="2"/>
    <x v="3"/>
  </r>
  <r>
    <x v="1569"/>
    <x v="287"/>
    <x v="4"/>
    <x v="2"/>
    <x v="0"/>
    <x v="2"/>
    <x v="8"/>
    <x v="8"/>
    <x v="0"/>
    <x v="134"/>
    <x v="4"/>
    <x v="530"/>
    <x v="0"/>
    <x v="4"/>
  </r>
  <r>
    <x v="1570"/>
    <x v="287"/>
    <x v="0"/>
    <x v="2"/>
    <x v="0"/>
    <x v="3"/>
    <x v="14"/>
    <x v="0"/>
    <x v="3"/>
    <x v="151"/>
    <x v="4"/>
    <x v="1093"/>
    <x v="0"/>
    <x v="0"/>
  </r>
  <r>
    <x v="1571"/>
    <x v="287"/>
    <x v="1"/>
    <x v="3"/>
    <x v="0"/>
    <x v="3"/>
    <x v="14"/>
    <x v="4"/>
    <x v="0"/>
    <x v="18"/>
    <x v="5"/>
    <x v="953"/>
    <x v="2"/>
    <x v="1"/>
  </r>
  <r>
    <x v="1572"/>
    <x v="287"/>
    <x v="3"/>
    <x v="1"/>
    <x v="1"/>
    <x v="2"/>
    <x v="5"/>
    <x v="6"/>
    <x v="2"/>
    <x v="33"/>
    <x v="1"/>
    <x v="1094"/>
    <x v="1"/>
    <x v="3"/>
  </r>
  <r>
    <x v="1573"/>
    <x v="287"/>
    <x v="3"/>
    <x v="1"/>
    <x v="0"/>
    <x v="4"/>
    <x v="12"/>
    <x v="12"/>
    <x v="5"/>
    <x v="38"/>
    <x v="2"/>
    <x v="1095"/>
    <x v="0"/>
    <x v="3"/>
  </r>
  <r>
    <x v="1574"/>
    <x v="288"/>
    <x v="2"/>
    <x v="2"/>
    <x v="0"/>
    <x v="3"/>
    <x v="13"/>
    <x v="5"/>
    <x v="0"/>
    <x v="61"/>
    <x v="6"/>
    <x v="1096"/>
    <x v="1"/>
    <x v="2"/>
  </r>
  <r>
    <x v="1575"/>
    <x v="288"/>
    <x v="4"/>
    <x v="2"/>
    <x v="0"/>
    <x v="3"/>
    <x v="14"/>
    <x v="10"/>
    <x v="0"/>
    <x v="124"/>
    <x v="6"/>
    <x v="838"/>
    <x v="2"/>
    <x v="4"/>
  </r>
  <r>
    <x v="1576"/>
    <x v="288"/>
    <x v="1"/>
    <x v="0"/>
    <x v="0"/>
    <x v="1"/>
    <x v="24"/>
    <x v="13"/>
    <x v="1"/>
    <x v="54"/>
    <x v="1"/>
    <x v="69"/>
    <x v="0"/>
    <x v="1"/>
  </r>
  <r>
    <x v="1577"/>
    <x v="288"/>
    <x v="1"/>
    <x v="3"/>
    <x v="1"/>
    <x v="4"/>
    <x v="11"/>
    <x v="1"/>
    <x v="1"/>
    <x v="95"/>
    <x v="0"/>
    <x v="1097"/>
    <x v="1"/>
    <x v="1"/>
  </r>
  <r>
    <x v="1578"/>
    <x v="288"/>
    <x v="3"/>
    <x v="1"/>
    <x v="0"/>
    <x v="4"/>
    <x v="6"/>
    <x v="9"/>
    <x v="5"/>
    <x v="104"/>
    <x v="4"/>
    <x v="1098"/>
    <x v="2"/>
    <x v="3"/>
  </r>
  <r>
    <x v="1579"/>
    <x v="288"/>
    <x v="0"/>
    <x v="1"/>
    <x v="0"/>
    <x v="2"/>
    <x v="8"/>
    <x v="2"/>
    <x v="2"/>
    <x v="45"/>
    <x v="6"/>
    <x v="290"/>
    <x v="2"/>
    <x v="0"/>
  </r>
  <r>
    <x v="1580"/>
    <x v="288"/>
    <x v="3"/>
    <x v="3"/>
    <x v="0"/>
    <x v="0"/>
    <x v="27"/>
    <x v="6"/>
    <x v="6"/>
    <x v="137"/>
    <x v="0"/>
    <x v="1099"/>
    <x v="1"/>
    <x v="3"/>
  </r>
  <r>
    <x v="1581"/>
    <x v="288"/>
    <x v="1"/>
    <x v="2"/>
    <x v="0"/>
    <x v="2"/>
    <x v="17"/>
    <x v="4"/>
    <x v="2"/>
    <x v="89"/>
    <x v="1"/>
    <x v="1100"/>
    <x v="2"/>
    <x v="1"/>
  </r>
  <r>
    <x v="1582"/>
    <x v="289"/>
    <x v="3"/>
    <x v="0"/>
    <x v="1"/>
    <x v="0"/>
    <x v="19"/>
    <x v="6"/>
    <x v="3"/>
    <x v="161"/>
    <x v="6"/>
    <x v="1101"/>
    <x v="1"/>
    <x v="3"/>
  </r>
  <r>
    <x v="1583"/>
    <x v="289"/>
    <x v="4"/>
    <x v="1"/>
    <x v="0"/>
    <x v="4"/>
    <x v="11"/>
    <x v="8"/>
    <x v="4"/>
    <x v="13"/>
    <x v="5"/>
    <x v="1102"/>
    <x v="0"/>
    <x v="4"/>
  </r>
  <r>
    <x v="1584"/>
    <x v="289"/>
    <x v="3"/>
    <x v="3"/>
    <x v="0"/>
    <x v="1"/>
    <x v="22"/>
    <x v="9"/>
    <x v="12"/>
    <x v="148"/>
    <x v="5"/>
    <x v="1103"/>
    <x v="2"/>
    <x v="3"/>
  </r>
  <r>
    <x v="1585"/>
    <x v="290"/>
    <x v="1"/>
    <x v="2"/>
    <x v="0"/>
    <x v="5"/>
    <x v="16"/>
    <x v="13"/>
    <x v="0"/>
    <x v="150"/>
    <x v="1"/>
    <x v="1104"/>
    <x v="0"/>
    <x v="1"/>
  </r>
  <r>
    <x v="1586"/>
    <x v="290"/>
    <x v="2"/>
    <x v="1"/>
    <x v="0"/>
    <x v="0"/>
    <x v="27"/>
    <x v="7"/>
    <x v="5"/>
    <x v="149"/>
    <x v="5"/>
    <x v="1105"/>
    <x v="3"/>
    <x v="2"/>
  </r>
  <r>
    <x v="1587"/>
    <x v="290"/>
    <x v="1"/>
    <x v="2"/>
    <x v="1"/>
    <x v="5"/>
    <x v="25"/>
    <x v="13"/>
    <x v="3"/>
    <x v="51"/>
    <x v="1"/>
    <x v="95"/>
    <x v="0"/>
    <x v="1"/>
  </r>
  <r>
    <x v="1588"/>
    <x v="290"/>
    <x v="1"/>
    <x v="3"/>
    <x v="0"/>
    <x v="0"/>
    <x v="19"/>
    <x v="13"/>
    <x v="13"/>
    <x v="155"/>
    <x v="2"/>
    <x v="1106"/>
    <x v="0"/>
    <x v="1"/>
  </r>
  <r>
    <x v="1589"/>
    <x v="290"/>
    <x v="2"/>
    <x v="0"/>
    <x v="1"/>
    <x v="2"/>
    <x v="5"/>
    <x v="11"/>
    <x v="1"/>
    <x v="33"/>
    <x v="5"/>
    <x v="606"/>
    <x v="1"/>
    <x v="2"/>
  </r>
  <r>
    <x v="1590"/>
    <x v="290"/>
    <x v="3"/>
    <x v="1"/>
    <x v="0"/>
    <x v="2"/>
    <x v="17"/>
    <x v="6"/>
    <x v="3"/>
    <x v="24"/>
    <x v="6"/>
    <x v="1107"/>
    <x v="1"/>
    <x v="3"/>
  </r>
  <r>
    <x v="1591"/>
    <x v="291"/>
    <x v="1"/>
    <x v="2"/>
    <x v="0"/>
    <x v="5"/>
    <x v="18"/>
    <x v="1"/>
    <x v="3"/>
    <x v="139"/>
    <x v="2"/>
    <x v="1108"/>
    <x v="1"/>
    <x v="1"/>
  </r>
  <r>
    <x v="1592"/>
    <x v="291"/>
    <x v="3"/>
    <x v="0"/>
    <x v="0"/>
    <x v="3"/>
    <x v="14"/>
    <x v="6"/>
    <x v="3"/>
    <x v="144"/>
    <x v="5"/>
    <x v="1109"/>
    <x v="1"/>
    <x v="3"/>
  </r>
  <r>
    <x v="1593"/>
    <x v="291"/>
    <x v="4"/>
    <x v="0"/>
    <x v="1"/>
    <x v="3"/>
    <x v="23"/>
    <x v="14"/>
    <x v="2"/>
    <x v="90"/>
    <x v="5"/>
    <x v="1110"/>
    <x v="2"/>
    <x v="4"/>
  </r>
  <r>
    <x v="1594"/>
    <x v="292"/>
    <x v="1"/>
    <x v="2"/>
    <x v="0"/>
    <x v="1"/>
    <x v="22"/>
    <x v="1"/>
    <x v="6"/>
    <x v="47"/>
    <x v="2"/>
    <x v="1111"/>
    <x v="1"/>
    <x v="1"/>
  </r>
  <r>
    <x v="1595"/>
    <x v="292"/>
    <x v="3"/>
    <x v="2"/>
    <x v="1"/>
    <x v="3"/>
    <x v="4"/>
    <x v="12"/>
    <x v="3"/>
    <x v="41"/>
    <x v="0"/>
    <x v="492"/>
    <x v="0"/>
    <x v="3"/>
  </r>
  <r>
    <x v="1596"/>
    <x v="292"/>
    <x v="4"/>
    <x v="2"/>
    <x v="1"/>
    <x v="3"/>
    <x v="13"/>
    <x v="10"/>
    <x v="5"/>
    <x v="53"/>
    <x v="5"/>
    <x v="1023"/>
    <x v="2"/>
    <x v="4"/>
  </r>
  <r>
    <x v="1597"/>
    <x v="292"/>
    <x v="0"/>
    <x v="0"/>
    <x v="0"/>
    <x v="0"/>
    <x v="10"/>
    <x v="0"/>
    <x v="3"/>
    <x v="17"/>
    <x v="5"/>
    <x v="37"/>
    <x v="0"/>
    <x v="0"/>
  </r>
  <r>
    <x v="1598"/>
    <x v="292"/>
    <x v="1"/>
    <x v="0"/>
    <x v="0"/>
    <x v="2"/>
    <x v="5"/>
    <x v="13"/>
    <x v="3"/>
    <x v="5"/>
    <x v="3"/>
    <x v="1112"/>
    <x v="0"/>
    <x v="1"/>
  </r>
  <r>
    <x v="1599"/>
    <x v="292"/>
    <x v="2"/>
    <x v="1"/>
    <x v="0"/>
    <x v="4"/>
    <x v="12"/>
    <x v="7"/>
    <x v="1"/>
    <x v="121"/>
    <x v="5"/>
    <x v="1113"/>
    <x v="3"/>
    <x v="2"/>
  </r>
  <r>
    <x v="1600"/>
    <x v="292"/>
    <x v="0"/>
    <x v="0"/>
    <x v="1"/>
    <x v="1"/>
    <x v="24"/>
    <x v="2"/>
    <x v="4"/>
    <x v="63"/>
    <x v="5"/>
    <x v="945"/>
    <x v="2"/>
    <x v="0"/>
  </r>
  <r>
    <x v="1601"/>
    <x v="292"/>
    <x v="3"/>
    <x v="1"/>
    <x v="0"/>
    <x v="4"/>
    <x v="6"/>
    <x v="9"/>
    <x v="0"/>
    <x v="104"/>
    <x v="5"/>
    <x v="1114"/>
    <x v="2"/>
    <x v="3"/>
  </r>
  <r>
    <x v="1602"/>
    <x v="293"/>
    <x v="3"/>
    <x v="1"/>
    <x v="0"/>
    <x v="2"/>
    <x v="9"/>
    <x v="9"/>
    <x v="10"/>
    <x v="86"/>
    <x v="6"/>
    <x v="70"/>
    <x v="2"/>
    <x v="3"/>
  </r>
  <r>
    <x v="1603"/>
    <x v="293"/>
    <x v="2"/>
    <x v="0"/>
    <x v="1"/>
    <x v="4"/>
    <x v="7"/>
    <x v="11"/>
    <x v="3"/>
    <x v="8"/>
    <x v="6"/>
    <x v="17"/>
    <x v="1"/>
    <x v="2"/>
  </r>
  <r>
    <x v="1604"/>
    <x v="293"/>
    <x v="0"/>
    <x v="0"/>
    <x v="1"/>
    <x v="1"/>
    <x v="1"/>
    <x v="0"/>
    <x v="4"/>
    <x v="166"/>
    <x v="1"/>
    <x v="1115"/>
    <x v="0"/>
    <x v="0"/>
  </r>
  <r>
    <x v="1605"/>
    <x v="293"/>
    <x v="4"/>
    <x v="1"/>
    <x v="1"/>
    <x v="0"/>
    <x v="27"/>
    <x v="10"/>
    <x v="2"/>
    <x v="85"/>
    <x v="5"/>
    <x v="1116"/>
    <x v="2"/>
    <x v="4"/>
  </r>
  <r>
    <x v="1606"/>
    <x v="293"/>
    <x v="1"/>
    <x v="0"/>
    <x v="0"/>
    <x v="0"/>
    <x v="27"/>
    <x v="1"/>
    <x v="0"/>
    <x v="69"/>
    <x v="6"/>
    <x v="1117"/>
    <x v="1"/>
    <x v="1"/>
  </r>
  <r>
    <x v="1607"/>
    <x v="294"/>
    <x v="3"/>
    <x v="1"/>
    <x v="0"/>
    <x v="2"/>
    <x v="9"/>
    <x v="6"/>
    <x v="0"/>
    <x v="10"/>
    <x v="2"/>
    <x v="236"/>
    <x v="1"/>
    <x v="3"/>
  </r>
  <r>
    <x v="1608"/>
    <x v="294"/>
    <x v="1"/>
    <x v="3"/>
    <x v="0"/>
    <x v="4"/>
    <x v="7"/>
    <x v="13"/>
    <x v="0"/>
    <x v="34"/>
    <x v="4"/>
    <x v="36"/>
    <x v="0"/>
    <x v="1"/>
  </r>
  <r>
    <x v="1609"/>
    <x v="294"/>
    <x v="0"/>
    <x v="0"/>
    <x v="0"/>
    <x v="3"/>
    <x v="13"/>
    <x v="0"/>
    <x v="3"/>
    <x v="162"/>
    <x v="1"/>
    <x v="941"/>
    <x v="0"/>
    <x v="0"/>
  </r>
  <r>
    <x v="1610"/>
    <x v="294"/>
    <x v="3"/>
    <x v="0"/>
    <x v="0"/>
    <x v="5"/>
    <x v="25"/>
    <x v="12"/>
    <x v="0"/>
    <x v="51"/>
    <x v="5"/>
    <x v="1118"/>
    <x v="0"/>
    <x v="3"/>
  </r>
  <r>
    <x v="1611"/>
    <x v="294"/>
    <x v="3"/>
    <x v="3"/>
    <x v="1"/>
    <x v="2"/>
    <x v="9"/>
    <x v="12"/>
    <x v="5"/>
    <x v="122"/>
    <x v="4"/>
    <x v="1119"/>
    <x v="0"/>
    <x v="3"/>
  </r>
  <r>
    <x v="1612"/>
    <x v="294"/>
    <x v="4"/>
    <x v="0"/>
    <x v="1"/>
    <x v="5"/>
    <x v="21"/>
    <x v="10"/>
    <x v="0"/>
    <x v="35"/>
    <x v="4"/>
    <x v="211"/>
    <x v="2"/>
    <x v="4"/>
  </r>
  <r>
    <x v="1613"/>
    <x v="295"/>
    <x v="3"/>
    <x v="0"/>
    <x v="0"/>
    <x v="0"/>
    <x v="27"/>
    <x v="12"/>
    <x v="3"/>
    <x v="137"/>
    <x v="4"/>
    <x v="1120"/>
    <x v="0"/>
    <x v="3"/>
  </r>
  <r>
    <x v="1614"/>
    <x v="295"/>
    <x v="0"/>
    <x v="3"/>
    <x v="0"/>
    <x v="4"/>
    <x v="6"/>
    <x v="2"/>
    <x v="6"/>
    <x v="6"/>
    <x v="6"/>
    <x v="542"/>
    <x v="2"/>
    <x v="0"/>
  </r>
  <r>
    <x v="1615"/>
    <x v="295"/>
    <x v="2"/>
    <x v="0"/>
    <x v="0"/>
    <x v="5"/>
    <x v="18"/>
    <x v="7"/>
    <x v="2"/>
    <x v="153"/>
    <x v="5"/>
    <x v="1121"/>
    <x v="3"/>
    <x v="2"/>
  </r>
  <r>
    <x v="1616"/>
    <x v="296"/>
    <x v="3"/>
    <x v="2"/>
    <x v="1"/>
    <x v="5"/>
    <x v="15"/>
    <x v="9"/>
    <x v="3"/>
    <x v="20"/>
    <x v="1"/>
    <x v="1122"/>
    <x v="2"/>
    <x v="3"/>
  </r>
  <r>
    <x v="1617"/>
    <x v="296"/>
    <x v="0"/>
    <x v="0"/>
    <x v="0"/>
    <x v="3"/>
    <x v="4"/>
    <x v="3"/>
    <x v="1"/>
    <x v="41"/>
    <x v="0"/>
    <x v="128"/>
    <x v="2"/>
    <x v="0"/>
  </r>
  <r>
    <x v="1618"/>
    <x v="296"/>
    <x v="4"/>
    <x v="0"/>
    <x v="0"/>
    <x v="4"/>
    <x v="6"/>
    <x v="8"/>
    <x v="2"/>
    <x v="6"/>
    <x v="4"/>
    <x v="764"/>
    <x v="0"/>
    <x v="4"/>
  </r>
  <r>
    <x v="1619"/>
    <x v="296"/>
    <x v="2"/>
    <x v="1"/>
    <x v="0"/>
    <x v="2"/>
    <x v="5"/>
    <x v="5"/>
    <x v="3"/>
    <x v="66"/>
    <x v="5"/>
    <x v="1123"/>
    <x v="1"/>
    <x v="2"/>
  </r>
  <r>
    <x v="1620"/>
    <x v="296"/>
    <x v="4"/>
    <x v="0"/>
    <x v="1"/>
    <x v="0"/>
    <x v="10"/>
    <x v="8"/>
    <x v="2"/>
    <x v="17"/>
    <x v="4"/>
    <x v="697"/>
    <x v="0"/>
    <x v="4"/>
  </r>
  <r>
    <x v="1621"/>
    <x v="297"/>
    <x v="4"/>
    <x v="0"/>
    <x v="0"/>
    <x v="1"/>
    <x v="24"/>
    <x v="10"/>
    <x v="1"/>
    <x v="79"/>
    <x v="0"/>
    <x v="1124"/>
    <x v="2"/>
    <x v="4"/>
  </r>
  <r>
    <x v="1622"/>
    <x v="297"/>
    <x v="1"/>
    <x v="2"/>
    <x v="0"/>
    <x v="0"/>
    <x v="10"/>
    <x v="13"/>
    <x v="2"/>
    <x v="109"/>
    <x v="3"/>
    <x v="1125"/>
    <x v="0"/>
    <x v="1"/>
  </r>
  <r>
    <x v="1623"/>
    <x v="297"/>
    <x v="1"/>
    <x v="0"/>
    <x v="0"/>
    <x v="3"/>
    <x v="23"/>
    <x v="13"/>
    <x v="3"/>
    <x v="142"/>
    <x v="0"/>
    <x v="6"/>
    <x v="0"/>
    <x v="1"/>
  </r>
  <r>
    <x v="1624"/>
    <x v="297"/>
    <x v="0"/>
    <x v="2"/>
    <x v="1"/>
    <x v="5"/>
    <x v="18"/>
    <x v="0"/>
    <x v="0"/>
    <x v="125"/>
    <x v="3"/>
    <x v="1126"/>
    <x v="0"/>
    <x v="0"/>
  </r>
  <r>
    <x v="1625"/>
    <x v="297"/>
    <x v="2"/>
    <x v="2"/>
    <x v="1"/>
    <x v="1"/>
    <x v="1"/>
    <x v="11"/>
    <x v="6"/>
    <x v="127"/>
    <x v="1"/>
    <x v="1127"/>
    <x v="1"/>
    <x v="2"/>
  </r>
  <r>
    <x v="1626"/>
    <x v="297"/>
    <x v="4"/>
    <x v="1"/>
    <x v="0"/>
    <x v="1"/>
    <x v="24"/>
    <x v="14"/>
    <x v="0"/>
    <x v="79"/>
    <x v="0"/>
    <x v="1128"/>
    <x v="2"/>
    <x v="4"/>
  </r>
  <r>
    <x v="1627"/>
    <x v="297"/>
    <x v="4"/>
    <x v="2"/>
    <x v="0"/>
    <x v="4"/>
    <x v="6"/>
    <x v="8"/>
    <x v="3"/>
    <x v="6"/>
    <x v="5"/>
    <x v="805"/>
    <x v="0"/>
    <x v="4"/>
  </r>
  <r>
    <x v="1628"/>
    <x v="297"/>
    <x v="3"/>
    <x v="1"/>
    <x v="1"/>
    <x v="2"/>
    <x v="17"/>
    <x v="12"/>
    <x v="5"/>
    <x v="167"/>
    <x v="0"/>
    <x v="1129"/>
    <x v="0"/>
    <x v="3"/>
  </r>
  <r>
    <x v="1629"/>
    <x v="297"/>
    <x v="2"/>
    <x v="0"/>
    <x v="1"/>
    <x v="2"/>
    <x v="9"/>
    <x v="11"/>
    <x v="6"/>
    <x v="122"/>
    <x v="1"/>
    <x v="1130"/>
    <x v="1"/>
    <x v="2"/>
  </r>
  <r>
    <x v="1630"/>
    <x v="297"/>
    <x v="3"/>
    <x v="2"/>
    <x v="1"/>
    <x v="1"/>
    <x v="26"/>
    <x v="12"/>
    <x v="1"/>
    <x v="135"/>
    <x v="5"/>
    <x v="1131"/>
    <x v="0"/>
    <x v="3"/>
  </r>
  <r>
    <x v="1631"/>
    <x v="297"/>
    <x v="0"/>
    <x v="1"/>
    <x v="0"/>
    <x v="5"/>
    <x v="15"/>
    <x v="3"/>
    <x v="3"/>
    <x v="42"/>
    <x v="3"/>
    <x v="1132"/>
    <x v="2"/>
    <x v="0"/>
  </r>
  <r>
    <x v="1632"/>
    <x v="298"/>
    <x v="1"/>
    <x v="1"/>
    <x v="1"/>
    <x v="2"/>
    <x v="8"/>
    <x v="4"/>
    <x v="2"/>
    <x v="99"/>
    <x v="1"/>
    <x v="503"/>
    <x v="2"/>
    <x v="1"/>
  </r>
  <r>
    <x v="1633"/>
    <x v="298"/>
    <x v="3"/>
    <x v="2"/>
    <x v="0"/>
    <x v="2"/>
    <x v="5"/>
    <x v="9"/>
    <x v="3"/>
    <x v="33"/>
    <x v="1"/>
    <x v="255"/>
    <x v="2"/>
    <x v="3"/>
  </r>
  <r>
    <x v="1634"/>
    <x v="298"/>
    <x v="3"/>
    <x v="0"/>
    <x v="0"/>
    <x v="1"/>
    <x v="26"/>
    <x v="9"/>
    <x v="10"/>
    <x v="65"/>
    <x v="0"/>
    <x v="1133"/>
    <x v="2"/>
    <x v="3"/>
  </r>
  <r>
    <x v="1635"/>
    <x v="298"/>
    <x v="3"/>
    <x v="2"/>
    <x v="1"/>
    <x v="2"/>
    <x v="8"/>
    <x v="12"/>
    <x v="0"/>
    <x v="45"/>
    <x v="0"/>
    <x v="844"/>
    <x v="0"/>
    <x v="3"/>
  </r>
  <r>
    <x v="1636"/>
    <x v="298"/>
    <x v="3"/>
    <x v="0"/>
    <x v="0"/>
    <x v="5"/>
    <x v="21"/>
    <x v="12"/>
    <x v="3"/>
    <x v="35"/>
    <x v="1"/>
    <x v="714"/>
    <x v="0"/>
    <x v="3"/>
  </r>
  <r>
    <x v="1637"/>
    <x v="299"/>
    <x v="4"/>
    <x v="2"/>
    <x v="0"/>
    <x v="4"/>
    <x v="7"/>
    <x v="8"/>
    <x v="5"/>
    <x v="8"/>
    <x v="4"/>
    <x v="1134"/>
    <x v="0"/>
    <x v="4"/>
  </r>
  <r>
    <x v="1638"/>
    <x v="299"/>
    <x v="3"/>
    <x v="0"/>
    <x v="1"/>
    <x v="0"/>
    <x v="10"/>
    <x v="6"/>
    <x v="0"/>
    <x v="12"/>
    <x v="0"/>
    <x v="478"/>
    <x v="1"/>
    <x v="3"/>
  </r>
  <r>
    <x v="1639"/>
    <x v="299"/>
    <x v="0"/>
    <x v="2"/>
    <x v="0"/>
    <x v="0"/>
    <x v="10"/>
    <x v="3"/>
    <x v="3"/>
    <x v="109"/>
    <x v="5"/>
    <x v="1135"/>
    <x v="2"/>
    <x v="0"/>
  </r>
  <r>
    <x v="1640"/>
    <x v="299"/>
    <x v="2"/>
    <x v="0"/>
    <x v="0"/>
    <x v="4"/>
    <x v="12"/>
    <x v="11"/>
    <x v="5"/>
    <x v="72"/>
    <x v="1"/>
    <x v="231"/>
    <x v="1"/>
    <x v="2"/>
  </r>
  <r>
    <x v="1641"/>
    <x v="299"/>
    <x v="1"/>
    <x v="0"/>
    <x v="0"/>
    <x v="3"/>
    <x v="23"/>
    <x v="1"/>
    <x v="3"/>
    <x v="145"/>
    <x v="5"/>
    <x v="843"/>
    <x v="1"/>
    <x v="1"/>
  </r>
  <r>
    <x v="1642"/>
    <x v="299"/>
    <x v="4"/>
    <x v="3"/>
    <x v="0"/>
    <x v="5"/>
    <x v="21"/>
    <x v="14"/>
    <x v="3"/>
    <x v="73"/>
    <x v="1"/>
    <x v="753"/>
    <x v="2"/>
    <x v="4"/>
  </r>
  <r>
    <x v="1643"/>
    <x v="299"/>
    <x v="1"/>
    <x v="3"/>
    <x v="0"/>
    <x v="5"/>
    <x v="21"/>
    <x v="4"/>
    <x v="3"/>
    <x v="35"/>
    <x v="1"/>
    <x v="714"/>
    <x v="2"/>
    <x v="1"/>
  </r>
  <r>
    <x v="1644"/>
    <x v="299"/>
    <x v="3"/>
    <x v="2"/>
    <x v="1"/>
    <x v="3"/>
    <x v="23"/>
    <x v="12"/>
    <x v="0"/>
    <x v="145"/>
    <x v="6"/>
    <x v="1001"/>
    <x v="0"/>
    <x v="3"/>
  </r>
  <r>
    <x v="1645"/>
    <x v="300"/>
    <x v="3"/>
    <x v="2"/>
    <x v="0"/>
    <x v="5"/>
    <x v="21"/>
    <x v="12"/>
    <x v="2"/>
    <x v="35"/>
    <x v="1"/>
    <x v="1136"/>
    <x v="0"/>
    <x v="3"/>
  </r>
  <r>
    <x v="1646"/>
    <x v="300"/>
    <x v="4"/>
    <x v="0"/>
    <x v="0"/>
    <x v="5"/>
    <x v="16"/>
    <x v="14"/>
    <x v="5"/>
    <x v="60"/>
    <x v="5"/>
    <x v="1137"/>
    <x v="2"/>
    <x v="4"/>
  </r>
  <r>
    <x v="1647"/>
    <x v="300"/>
    <x v="2"/>
    <x v="0"/>
    <x v="0"/>
    <x v="3"/>
    <x v="14"/>
    <x v="7"/>
    <x v="3"/>
    <x v="129"/>
    <x v="1"/>
    <x v="263"/>
    <x v="3"/>
    <x v="2"/>
  </r>
  <r>
    <x v="1648"/>
    <x v="300"/>
    <x v="2"/>
    <x v="2"/>
    <x v="1"/>
    <x v="1"/>
    <x v="22"/>
    <x v="5"/>
    <x v="2"/>
    <x v="148"/>
    <x v="6"/>
    <x v="1138"/>
    <x v="1"/>
    <x v="2"/>
  </r>
  <r>
    <x v="1649"/>
    <x v="300"/>
    <x v="3"/>
    <x v="0"/>
    <x v="0"/>
    <x v="0"/>
    <x v="27"/>
    <x v="12"/>
    <x v="1"/>
    <x v="128"/>
    <x v="4"/>
    <x v="1139"/>
    <x v="0"/>
    <x v="3"/>
  </r>
  <r>
    <x v="1650"/>
    <x v="300"/>
    <x v="3"/>
    <x v="3"/>
    <x v="0"/>
    <x v="0"/>
    <x v="27"/>
    <x v="9"/>
    <x v="6"/>
    <x v="137"/>
    <x v="0"/>
    <x v="1099"/>
    <x v="2"/>
    <x v="3"/>
  </r>
  <r>
    <x v="1651"/>
    <x v="300"/>
    <x v="4"/>
    <x v="2"/>
    <x v="1"/>
    <x v="1"/>
    <x v="26"/>
    <x v="8"/>
    <x v="0"/>
    <x v="65"/>
    <x v="4"/>
    <x v="1140"/>
    <x v="0"/>
    <x v="4"/>
  </r>
  <r>
    <x v="1652"/>
    <x v="300"/>
    <x v="4"/>
    <x v="2"/>
    <x v="1"/>
    <x v="5"/>
    <x v="15"/>
    <x v="14"/>
    <x v="5"/>
    <x v="20"/>
    <x v="0"/>
    <x v="1141"/>
    <x v="2"/>
    <x v="4"/>
  </r>
  <r>
    <x v="1653"/>
    <x v="300"/>
    <x v="0"/>
    <x v="1"/>
    <x v="0"/>
    <x v="2"/>
    <x v="3"/>
    <x v="2"/>
    <x v="3"/>
    <x v="94"/>
    <x v="0"/>
    <x v="1011"/>
    <x v="2"/>
    <x v="0"/>
  </r>
  <r>
    <x v="1654"/>
    <x v="301"/>
    <x v="4"/>
    <x v="3"/>
    <x v="1"/>
    <x v="5"/>
    <x v="21"/>
    <x v="8"/>
    <x v="3"/>
    <x v="141"/>
    <x v="1"/>
    <x v="952"/>
    <x v="0"/>
    <x v="4"/>
  </r>
  <r>
    <x v="1655"/>
    <x v="301"/>
    <x v="3"/>
    <x v="0"/>
    <x v="0"/>
    <x v="3"/>
    <x v="13"/>
    <x v="6"/>
    <x v="3"/>
    <x v="61"/>
    <x v="1"/>
    <x v="834"/>
    <x v="1"/>
    <x v="3"/>
  </r>
  <r>
    <x v="1656"/>
    <x v="301"/>
    <x v="1"/>
    <x v="2"/>
    <x v="1"/>
    <x v="2"/>
    <x v="3"/>
    <x v="4"/>
    <x v="5"/>
    <x v="3"/>
    <x v="5"/>
    <x v="1142"/>
    <x v="2"/>
    <x v="1"/>
  </r>
  <r>
    <x v="1657"/>
    <x v="301"/>
    <x v="4"/>
    <x v="2"/>
    <x v="0"/>
    <x v="5"/>
    <x v="25"/>
    <x v="8"/>
    <x v="5"/>
    <x v="101"/>
    <x v="0"/>
    <x v="1143"/>
    <x v="0"/>
    <x v="4"/>
  </r>
  <r>
    <x v="1658"/>
    <x v="301"/>
    <x v="1"/>
    <x v="3"/>
    <x v="1"/>
    <x v="4"/>
    <x v="12"/>
    <x v="4"/>
    <x v="2"/>
    <x v="121"/>
    <x v="1"/>
    <x v="1144"/>
    <x v="2"/>
    <x v="1"/>
  </r>
  <r>
    <x v="1659"/>
    <x v="302"/>
    <x v="4"/>
    <x v="2"/>
    <x v="0"/>
    <x v="2"/>
    <x v="3"/>
    <x v="8"/>
    <x v="4"/>
    <x v="3"/>
    <x v="4"/>
    <x v="1145"/>
    <x v="0"/>
    <x v="4"/>
  </r>
  <r>
    <x v="1660"/>
    <x v="302"/>
    <x v="2"/>
    <x v="0"/>
    <x v="0"/>
    <x v="2"/>
    <x v="2"/>
    <x v="11"/>
    <x v="1"/>
    <x v="157"/>
    <x v="5"/>
    <x v="1146"/>
    <x v="1"/>
    <x v="2"/>
  </r>
  <r>
    <x v="1661"/>
    <x v="302"/>
    <x v="2"/>
    <x v="1"/>
    <x v="0"/>
    <x v="1"/>
    <x v="1"/>
    <x v="7"/>
    <x v="10"/>
    <x v="16"/>
    <x v="2"/>
    <x v="1147"/>
    <x v="3"/>
    <x v="2"/>
  </r>
  <r>
    <x v="1662"/>
    <x v="302"/>
    <x v="4"/>
    <x v="0"/>
    <x v="0"/>
    <x v="4"/>
    <x v="6"/>
    <x v="14"/>
    <x v="3"/>
    <x v="44"/>
    <x v="5"/>
    <x v="773"/>
    <x v="2"/>
    <x v="4"/>
  </r>
  <r>
    <x v="1663"/>
    <x v="303"/>
    <x v="0"/>
    <x v="0"/>
    <x v="1"/>
    <x v="3"/>
    <x v="14"/>
    <x v="3"/>
    <x v="3"/>
    <x v="151"/>
    <x v="4"/>
    <x v="1093"/>
    <x v="2"/>
    <x v="0"/>
  </r>
  <r>
    <x v="1664"/>
    <x v="303"/>
    <x v="0"/>
    <x v="0"/>
    <x v="0"/>
    <x v="0"/>
    <x v="19"/>
    <x v="0"/>
    <x v="2"/>
    <x v="28"/>
    <x v="0"/>
    <x v="639"/>
    <x v="0"/>
    <x v="0"/>
  </r>
  <r>
    <x v="1665"/>
    <x v="303"/>
    <x v="4"/>
    <x v="1"/>
    <x v="0"/>
    <x v="1"/>
    <x v="22"/>
    <x v="10"/>
    <x v="10"/>
    <x v="64"/>
    <x v="1"/>
    <x v="1007"/>
    <x v="2"/>
    <x v="4"/>
  </r>
  <r>
    <x v="1666"/>
    <x v="303"/>
    <x v="0"/>
    <x v="2"/>
    <x v="0"/>
    <x v="3"/>
    <x v="13"/>
    <x v="0"/>
    <x v="0"/>
    <x v="61"/>
    <x v="6"/>
    <x v="1096"/>
    <x v="0"/>
    <x v="0"/>
  </r>
  <r>
    <x v="1667"/>
    <x v="303"/>
    <x v="4"/>
    <x v="3"/>
    <x v="0"/>
    <x v="4"/>
    <x v="6"/>
    <x v="14"/>
    <x v="2"/>
    <x v="6"/>
    <x v="1"/>
    <x v="1148"/>
    <x v="2"/>
    <x v="4"/>
  </r>
  <r>
    <x v="1668"/>
    <x v="304"/>
    <x v="4"/>
    <x v="3"/>
    <x v="0"/>
    <x v="4"/>
    <x v="11"/>
    <x v="14"/>
    <x v="1"/>
    <x v="13"/>
    <x v="0"/>
    <x v="271"/>
    <x v="2"/>
    <x v="4"/>
  </r>
  <r>
    <x v="1669"/>
    <x v="304"/>
    <x v="1"/>
    <x v="2"/>
    <x v="0"/>
    <x v="1"/>
    <x v="22"/>
    <x v="1"/>
    <x v="5"/>
    <x v="156"/>
    <x v="6"/>
    <x v="862"/>
    <x v="1"/>
    <x v="1"/>
  </r>
  <r>
    <x v="1670"/>
    <x v="304"/>
    <x v="2"/>
    <x v="0"/>
    <x v="1"/>
    <x v="0"/>
    <x v="27"/>
    <x v="5"/>
    <x v="0"/>
    <x v="80"/>
    <x v="1"/>
    <x v="1149"/>
    <x v="1"/>
    <x v="2"/>
  </r>
  <r>
    <x v="1671"/>
    <x v="304"/>
    <x v="2"/>
    <x v="2"/>
    <x v="1"/>
    <x v="1"/>
    <x v="20"/>
    <x v="7"/>
    <x v="3"/>
    <x v="158"/>
    <x v="0"/>
    <x v="1150"/>
    <x v="3"/>
    <x v="2"/>
  </r>
  <r>
    <x v="1672"/>
    <x v="305"/>
    <x v="3"/>
    <x v="1"/>
    <x v="0"/>
    <x v="5"/>
    <x v="15"/>
    <x v="9"/>
    <x v="3"/>
    <x v="20"/>
    <x v="1"/>
    <x v="1122"/>
    <x v="2"/>
    <x v="3"/>
  </r>
  <r>
    <x v="1673"/>
    <x v="305"/>
    <x v="2"/>
    <x v="0"/>
    <x v="1"/>
    <x v="2"/>
    <x v="9"/>
    <x v="7"/>
    <x v="0"/>
    <x v="122"/>
    <x v="6"/>
    <x v="1151"/>
    <x v="3"/>
    <x v="2"/>
  </r>
  <r>
    <x v="1674"/>
    <x v="305"/>
    <x v="1"/>
    <x v="3"/>
    <x v="0"/>
    <x v="5"/>
    <x v="16"/>
    <x v="13"/>
    <x v="3"/>
    <x v="67"/>
    <x v="2"/>
    <x v="387"/>
    <x v="0"/>
    <x v="1"/>
  </r>
  <r>
    <x v="1675"/>
    <x v="306"/>
    <x v="3"/>
    <x v="0"/>
    <x v="1"/>
    <x v="2"/>
    <x v="5"/>
    <x v="6"/>
    <x v="0"/>
    <x v="33"/>
    <x v="6"/>
    <x v="1152"/>
    <x v="1"/>
    <x v="3"/>
  </r>
  <r>
    <x v="1676"/>
    <x v="306"/>
    <x v="4"/>
    <x v="3"/>
    <x v="0"/>
    <x v="5"/>
    <x v="25"/>
    <x v="10"/>
    <x v="2"/>
    <x v="101"/>
    <x v="0"/>
    <x v="1153"/>
    <x v="2"/>
    <x v="4"/>
  </r>
  <r>
    <x v="1677"/>
    <x v="306"/>
    <x v="3"/>
    <x v="2"/>
    <x v="0"/>
    <x v="2"/>
    <x v="5"/>
    <x v="9"/>
    <x v="6"/>
    <x v="29"/>
    <x v="1"/>
    <x v="1154"/>
    <x v="2"/>
    <x v="3"/>
  </r>
  <r>
    <x v="1678"/>
    <x v="306"/>
    <x v="3"/>
    <x v="0"/>
    <x v="1"/>
    <x v="2"/>
    <x v="8"/>
    <x v="12"/>
    <x v="2"/>
    <x v="43"/>
    <x v="1"/>
    <x v="623"/>
    <x v="0"/>
    <x v="3"/>
  </r>
  <r>
    <x v="1679"/>
    <x v="306"/>
    <x v="2"/>
    <x v="0"/>
    <x v="0"/>
    <x v="2"/>
    <x v="17"/>
    <x v="5"/>
    <x v="0"/>
    <x v="89"/>
    <x v="6"/>
    <x v="433"/>
    <x v="1"/>
    <x v="2"/>
  </r>
  <r>
    <x v="1680"/>
    <x v="306"/>
    <x v="0"/>
    <x v="0"/>
    <x v="1"/>
    <x v="2"/>
    <x v="2"/>
    <x v="0"/>
    <x v="0"/>
    <x v="2"/>
    <x v="1"/>
    <x v="169"/>
    <x v="0"/>
    <x v="0"/>
  </r>
  <r>
    <x v="1681"/>
    <x v="306"/>
    <x v="3"/>
    <x v="1"/>
    <x v="1"/>
    <x v="5"/>
    <x v="15"/>
    <x v="9"/>
    <x v="3"/>
    <x v="20"/>
    <x v="1"/>
    <x v="1122"/>
    <x v="2"/>
    <x v="3"/>
  </r>
  <r>
    <x v="1682"/>
    <x v="306"/>
    <x v="2"/>
    <x v="2"/>
    <x v="0"/>
    <x v="1"/>
    <x v="1"/>
    <x v="5"/>
    <x v="3"/>
    <x v="127"/>
    <x v="6"/>
    <x v="751"/>
    <x v="1"/>
    <x v="2"/>
  </r>
  <r>
    <x v="1683"/>
    <x v="306"/>
    <x v="0"/>
    <x v="2"/>
    <x v="0"/>
    <x v="1"/>
    <x v="26"/>
    <x v="2"/>
    <x v="6"/>
    <x v="65"/>
    <x v="4"/>
    <x v="1155"/>
    <x v="2"/>
    <x v="0"/>
  </r>
  <r>
    <x v="1684"/>
    <x v="306"/>
    <x v="4"/>
    <x v="1"/>
    <x v="0"/>
    <x v="5"/>
    <x v="16"/>
    <x v="8"/>
    <x v="3"/>
    <x v="21"/>
    <x v="5"/>
    <x v="1156"/>
    <x v="0"/>
    <x v="4"/>
  </r>
  <r>
    <x v="1685"/>
    <x v="306"/>
    <x v="1"/>
    <x v="1"/>
    <x v="1"/>
    <x v="1"/>
    <x v="24"/>
    <x v="1"/>
    <x v="2"/>
    <x v="54"/>
    <x v="5"/>
    <x v="1157"/>
    <x v="1"/>
    <x v="1"/>
  </r>
  <r>
    <x v="1686"/>
    <x v="306"/>
    <x v="1"/>
    <x v="0"/>
    <x v="0"/>
    <x v="0"/>
    <x v="0"/>
    <x v="13"/>
    <x v="3"/>
    <x v="30"/>
    <x v="6"/>
    <x v="32"/>
    <x v="0"/>
    <x v="1"/>
  </r>
  <r>
    <x v="1687"/>
    <x v="307"/>
    <x v="3"/>
    <x v="3"/>
    <x v="0"/>
    <x v="3"/>
    <x v="13"/>
    <x v="9"/>
    <x v="3"/>
    <x v="61"/>
    <x v="0"/>
    <x v="723"/>
    <x v="2"/>
    <x v="3"/>
  </r>
  <r>
    <x v="1688"/>
    <x v="307"/>
    <x v="2"/>
    <x v="2"/>
    <x v="1"/>
    <x v="5"/>
    <x v="18"/>
    <x v="7"/>
    <x v="0"/>
    <x v="27"/>
    <x v="4"/>
    <x v="742"/>
    <x v="3"/>
    <x v="2"/>
  </r>
  <r>
    <x v="1689"/>
    <x v="307"/>
    <x v="0"/>
    <x v="0"/>
    <x v="0"/>
    <x v="2"/>
    <x v="5"/>
    <x v="3"/>
    <x v="1"/>
    <x v="33"/>
    <x v="5"/>
    <x v="606"/>
    <x v="2"/>
    <x v="0"/>
  </r>
  <r>
    <x v="1690"/>
    <x v="307"/>
    <x v="0"/>
    <x v="0"/>
    <x v="1"/>
    <x v="2"/>
    <x v="5"/>
    <x v="3"/>
    <x v="2"/>
    <x v="29"/>
    <x v="6"/>
    <x v="1094"/>
    <x v="2"/>
    <x v="0"/>
  </r>
  <r>
    <x v="1691"/>
    <x v="308"/>
    <x v="3"/>
    <x v="0"/>
    <x v="0"/>
    <x v="4"/>
    <x v="7"/>
    <x v="9"/>
    <x v="3"/>
    <x v="116"/>
    <x v="5"/>
    <x v="1158"/>
    <x v="2"/>
    <x v="3"/>
  </r>
  <r>
    <x v="1692"/>
    <x v="308"/>
    <x v="1"/>
    <x v="0"/>
    <x v="0"/>
    <x v="2"/>
    <x v="17"/>
    <x v="1"/>
    <x v="0"/>
    <x v="87"/>
    <x v="5"/>
    <x v="1159"/>
    <x v="1"/>
    <x v="1"/>
  </r>
  <r>
    <x v="1693"/>
    <x v="308"/>
    <x v="2"/>
    <x v="3"/>
    <x v="0"/>
    <x v="5"/>
    <x v="21"/>
    <x v="5"/>
    <x v="3"/>
    <x v="35"/>
    <x v="2"/>
    <x v="458"/>
    <x v="1"/>
    <x v="2"/>
  </r>
  <r>
    <x v="1694"/>
    <x v="308"/>
    <x v="0"/>
    <x v="1"/>
    <x v="1"/>
    <x v="2"/>
    <x v="9"/>
    <x v="2"/>
    <x v="1"/>
    <x v="10"/>
    <x v="6"/>
    <x v="447"/>
    <x v="2"/>
    <x v="0"/>
  </r>
  <r>
    <x v="1695"/>
    <x v="308"/>
    <x v="2"/>
    <x v="0"/>
    <x v="0"/>
    <x v="2"/>
    <x v="3"/>
    <x v="5"/>
    <x v="5"/>
    <x v="7"/>
    <x v="4"/>
    <x v="1160"/>
    <x v="1"/>
    <x v="2"/>
  </r>
  <r>
    <x v="1696"/>
    <x v="309"/>
    <x v="4"/>
    <x v="2"/>
    <x v="1"/>
    <x v="5"/>
    <x v="15"/>
    <x v="10"/>
    <x v="3"/>
    <x v="20"/>
    <x v="2"/>
    <x v="21"/>
    <x v="2"/>
    <x v="4"/>
  </r>
  <r>
    <x v="1697"/>
    <x v="309"/>
    <x v="3"/>
    <x v="2"/>
    <x v="0"/>
    <x v="3"/>
    <x v="14"/>
    <x v="12"/>
    <x v="3"/>
    <x v="129"/>
    <x v="0"/>
    <x v="207"/>
    <x v="0"/>
    <x v="3"/>
  </r>
  <r>
    <x v="1698"/>
    <x v="309"/>
    <x v="1"/>
    <x v="3"/>
    <x v="0"/>
    <x v="1"/>
    <x v="26"/>
    <x v="13"/>
    <x v="4"/>
    <x v="146"/>
    <x v="2"/>
    <x v="1161"/>
    <x v="0"/>
    <x v="1"/>
  </r>
  <r>
    <x v="1699"/>
    <x v="309"/>
    <x v="1"/>
    <x v="1"/>
    <x v="0"/>
    <x v="2"/>
    <x v="3"/>
    <x v="4"/>
    <x v="2"/>
    <x v="123"/>
    <x v="3"/>
    <x v="1162"/>
    <x v="2"/>
    <x v="1"/>
  </r>
  <r>
    <x v="1700"/>
    <x v="309"/>
    <x v="2"/>
    <x v="0"/>
    <x v="1"/>
    <x v="5"/>
    <x v="25"/>
    <x v="7"/>
    <x v="3"/>
    <x v="101"/>
    <x v="5"/>
    <x v="177"/>
    <x v="3"/>
    <x v="2"/>
  </r>
  <r>
    <x v="1701"/>
    <x v="310"/>
    <x v="4"/>
    <x v="3"/>
    <x v="1"/>
    <x v="2"/>
    <x v="8"/>
    <x v="14"/>
    <x v="8"/>
    <x v="134"/>
    <x v="6"/>
    <x v="1163"/>
    <x v="2"/>
    <x v="4"/>
  </r>
  <r>
    <x v="1702"/>
    <x v="310"/>
    <x v="4"/>
    <x v="0"/>
    <x v="1"/>
    <x v="3"/>
    <x v="4"/>
    <x v="8"/>
    <x v="0"/>
    <x v="62"/>
    <x v="5"/>
    <x v="789"/>
    <x v="0"/>
    <x v="4"/>
  </r>
  <r>
    <x v="1703"/>
    <x v="311"/>
    <x v="2"/>
    <x v="0"/>
    <x v="1"/>
    <x v="2"/>
    <x v="9"/>
    <x v="11"/>
    <x v="2"/>
    <x v="10"/>
    <x v="4"/>
    <x v="949"/>
    <x v="1"/>
    <x v="2"/>
  </r>
  <r>
    <x v="1704"/>
    <x v="311"/>
    <x v="4"/>
    <x v="0"/>
    <x v="0"/>
    <x v="1"/>
    <x v="22"/>
    <x v="8"/>
    <x v="4"/>
    <x v="156"/>
    <x v="1"/>
    <x v="1164"/>
    <x v="0"/>
    <x v="4"/>
  </r>
  <r>
    <x v="1705"/>
    <x v="311"/>
    <x v="1"/>
    <x v="3"/>
    <x v="0"/>
    <x v="5"/>
    <x v="18"/>
    <x v="1"/>
    <x v="3"/>
    <x v="75"/>
    <x v="0"/>
    <x v="113"/>
    <x v="1"/>
    <x v="1"/>
  </r>
  <r>
    <x v="1706"/>
    <x v="311"/>
    <x v="1"/>
    <x v="0"/>
    <x v="0"/>
    <x v="0"/>
    <x v="27"/>
    <x v="1"/>
    <x v="0"/>
    <x v="149"/>
    <x v="2"/>
    <x v="1165"/>
    <x v="1"/>
    <x v="1"/>
  </r>
  <r>
    <x v="1707"/>
    <x v="311"/>
    <x v="2"/>
    <x v="0"/>
    <x v="0"/>
    <x v="4"/>
    <x v="11"/>
    <x v="5"/>
    <x v="1"/>
    <x v="13"/>
    <x v="5"/>
    <x v="1166"/>
    <x v="1"/>
    <x v="2"/>
  </r>
  <r>
    <x v="1708"/>
    <x v="311"/>
    <x v="4"/>
    <x v="0"/>
    <x v="0"/>
    <x v="3"/>
    <x v="14"/>
    <x v="10"/>
    <x v="3"/>
    <x v="124"/>
    <x v="6"/>
    <x v="263"/>
    <x v="2"/>
    <x v="4"/>
  </r>
  <r>
    <x v="1709"/>
    <x v="312"/>
    <x v="0"/>
    <x v="0"/>
    <x v="0"/>
    <x v="0"/>
    <x v="19"/>
    <x v="2"/>
    <x v="5"/>
    <x v="155"/>
    <x v="5"/>
    <x v="557"/>
    <x v="2"/>
    <x v="0"/>
  </r>
  <r>
    <x v="1710"/>
    <x v="312"/>
    <x v="4"/>
    <x v="0"/>
    <x v="0"/>
    <x v="3"/>
    <x v="13"/>
    <x v="8"/>
    <x v="2"/>
    <x v="162"/>
    <x v="6"/>
    <x v="1167"/>
    <x v="0"/>
    <x v="4"/>
  </r>
  <r>
    <x v="1711"/>
    <x v="312"/>
    <x v="0"/>
    <x v="2"/>
    <x v="0"/>
    <x v="5"/>
    <x v="21"/>
    <x v="3"/>
    <x v="5"/>
    <x v="35"/>
    <x v="4"/>
    <x v="1168"/>
    <x v="2"/>
    <x v="0"/>
  </r>
  <r>
    <x v="1712"/>
    <x v="313"/>
    <x v="1"/>
    <x v="1"/>
    <x v="0"/>
    <x v="2"/>
    <x v="9"/>
    <x v="1"/>
    <x v="5"/>
    <x v="10"/>
    <x v="4"/>
    <x v="334"/>
    <x v="1"/>
    <x v="1"/>
  </r>
  <r>
    <x v="1713"/>
    <x v="313"/>
    <x v="1"/>
    <x v="3"/>
    <x v="0"/>
    <x v="1"/>
    <x v="20"/>
    <x v="4"/>
    <x v="4"/>
    <x v="160"/>
    <x v="4"/>
    <x v="1169"/>
    <x v="2"/>
    <x v="1"/>
  </r>
  <r>
    <x v="1714"/>
    <x v="313"/>
    <x v="4"/>
    <x v="2"/>
    <x v="0"/>
    <x v="2"/>
    <x v="17"/>
    <x v="8"/>
    <x v="2"/>
    <x v="167"/>
    <x v="1"/>
    <x v="1170"/>
    <x v="0"/>
    <x v="4"/>
  </r>
  <r>
    <x v="1715"/>
    <x v="313"/>
    <x v="1"/>
    <x v="0"/>
    <x v="0"/>
    <x v="1"/>
    <x v="1"/>
    <x v="1"/>
    <x v="3"/>
    <x v="166"/>
    <x v="0"/>
    <x v="301"/>
    <x v="1"/>
    <x v="1"/>
  </r>
  <r>
    <x v="1716"/>
    <x v="313"/>
    <x v="2"/>
    <x v="0"/>
    <x v="0"/>
    <x v="3"/>
    <x v="14"/>
    <x v="11"/>
    <x v="3"/>
    <x v="151"/>
    <x v="4"/>
    <x v="1093"/>
    <x v="1"/>
    <x v="2"/>
  </r>
  <r>
    <x v="1717"/>
    <x v="313"/>
    <x v="3"/>
    <x v="0"/>
    <x v="1"/>
    <x v="3"/>
    <x v="4"/>
    <x v="6"/>
    <x v="3"/>
    <x v="68"/>
    <x v="5"/>
    <x v="182"/>
    <x v="1"/>
    <x v="3"/>
  </r>
  <r>
    <x v="1718"/>
    <x v="313"/>
    <x v="4"/>
    <x v="3"/>
    <x v="0"/>
    <x v="3"/>
    <x v="4"/>
    <x v="14"/>
    <x v="3"/>
    <x v="81"/>
    <x v="4"/>
    <x v="871"/>
    <x v="2"/>
    <x v="4"/>
  </r>
  <r>
    <x v="1719"/>
    <x v="314"/>
    <x v="4"/>
    <x v="1"/>
    <x v="1"/>
    <x v="2"/>
    <x v="9"/>
    <x v="14"/>
    <x v="3"/>
    <x v="10"/>
    <x v="1"/>
    <x v="358"/>
    <x v="2"/>
    <x v="4"/>
  </r>
  <r>
    <x v="1720"/>
    <x v="314"/>
    <x v="0"/>
    <x v="1"/>
    <x v="0"/>
    <x v="1"/>
    <x v="26"/>
    <x v="3"/>
    <x v="0"/>
    <x v="146"/>
    <x v="3"/>
    <x v="1171"/>
    <x v="2"/>
    <x v="0"/>
  </r>
  <r>
    <x v="1721"/>
    <x v="314"/>
    <x v="4"/>
    <x v="0"/>
    <x v="0"/>
    <x v="0"/>
    <x v="10"/>
    <x v="14"/>
    <x v="0"/>
    <x v="17"/>
    <x v="6"/>
    <x v="290"/>
    <x v="2"/>
    <x v="4"/>
  </r>
  <r>
    <x v="1722"/>
    <x v="314"/>
    <x v="1"/>
    <x v="3"/>
    <x v="1"/>
    <x v="5"/>
    <x v="18"/>
    <x v="4"/>
    <x v="3"/>
    <x v="153"/>
    <x v="4"/>
    <x v="1172"/>
    <x v="2"/>
    <x v="1"/>
  </r>
  <r>
    <x v="1723"/>
    <x v="314"/>
    <x v="4"/>
    <x v="1"/>
    <x v="1"/>
    <x v="2"/>
    <x v="5"/>
    <x v="14"/>
    <x v="2"/>
    <x v="5"/>
    <x v="0"/>
    <x v="154"/>
    <x v="2"/>
    <x v="4"/>
  </r>
  <r>
    <x v="1724"/>
    <x v="314"/>
    <x v="0"/>
    <x v="2"/>
    <x v="1"/>
    <x v="4"/>
    <x v="7"/>
    <x v="3"/>
    <x v="6"/>
    <x v="34"/>
    <x v="1"/>
    <x v="255"/>
    <x v="2"/>
    <x v="0"/>
  </r>
  <r>
    <x v="1725"/>
    <x v="314"/>
    <x v="1"/>
    <x v="0"/>
    <x v="0"/>
    <x v="0"/>
    <x v="27"/>
    <x v="13"/>
    <x v="3"/>
    <x v="128"/>
    <x v="6"/>
    <x v="1173"/>
    <x v="0"/>
    <x v="1"/>
  </r>
  <r>
    <x v="1726"/>
    <x v="315"/>
    <x v="3"/>
    <x v="0"/>
    <x v="0"/>
    <x v="4"/>
    <x v="12"/>
    <x v="12"/>
    <x v="2"/>
    <x v="121"/>
    <x v="2"/>
    <x v="1174"/>
    <x v="0"/>
    <x v="3"/>
  </r>
  <r>
    <x v="1727"/>
    <x v="315"/>
    <x v="2"/>
    <x v="0"/>
    <x v="0"/>
    <x v="5"/>
    <x v="21"/>
    <x v="11"/>
    <x v="3"/>
    <x v="141"/>
    <x v="3"/>
    <x v="1175"/>
    <x v="1"/>
    <x v="2"/>
  </r>
  <r>
    <x v="1728"/>
    <x v="315"/>
    <x v="1"/>
    <x v="2"/>
    <x v="1"/>
    <x v="3"/>
    <x v="14"/>
    <x v="4"/>
    <x v="2"/>
    <x v="144"/>
    <x v="1"/>
    <x v="341"/>
    <x v="2"/>
    <x v="1"/>
  </r>
  <r>
    <x v="1729"/>
    <x v="316"/>
    <x v="4"/>
    <x v="1"/>
    <x v="0"/>
    <x v="2"/>
    <x v="3"/>
    <x v="8"/>
    <x v="6"/>
    <x v="94"/>
    <x v="0"/>
    <x v="156"/>
    <x v="0"/>
    <x v="4"/>
  </r>
  <r>
    <x v="1730"/>
    <x v="316"/>
    <x v="2"/>
    <x v="2"/>
    <x v="0"/>
    <x v="4"/>
    <x v="12"/>
    <x v="7"/>
    <x v="6"/>
    <x v="72"/>
    <x v="1"/>
    <x v="1176"/>
    <x v="3"/>
    <x v="2"/>
  </r>
  <r>
    <x v="1731"/>
    <x v="316"/>
    <x v="0"/>
    <x v="0"/>
    <x v="0"/>
    <x v="3"/>
    <x v="4"/>
    <x v="0"/>
    <x v="3"/>
    <x v="68"/>
    <x v="5"/>
    <x v="182"/>
    <x v="0"/>
    <x v="0"/>
  </r>
  <r>
    <x v="1732"/>
    <x v="316"/>
    <x v="3"/>
    <x v="2"/>
    <x v="0"/>
    <x v="2"/>
    <x v="17"/>
    <x v="6"/>
    <x v="0"/>
    <x v="167"/>
    <x v="2"/>
    <x v="1177"/>
    <x v="1"/>
    <x v="3"/>
  </r>
  <r>
    <x v="1733"/>
    <x v="316"/>
    <x v="0"/>
    <x v="1"/>
    <x v="1"/>
    <x v="2"/>
    <x v="17"/>
    <x v="3"/>
    <x v="5"/>
    <x v="24"/>
    <x v="1"/>
    <x v="25"/>
    <x v="2"/>
    <x v="0"/>
  </r>
  <r>
    <x v="1734"/>
    <x v="316"/>
    <x v="3"/>
    <x v="0"/>
    <x v="0"/>
    <x v="3"/>
    <x v="23"/>
    <x v="9"/>
    <x v="0"/>
    <x v="98"/>
    <x v="0"/>
    <x v="209"/>
    <x v="2"/>
    <x v="3"/>
  </r>
  <r>
    <x v="1735"/>
    <x v="316"/>
    <x v="2"/>
    <x v="3"/>
    <x v="1"/>
    <x v="5"/>
    <x v="21"/>
    <x v="7"/>
    <x v="3"/>
    <x v="40"/>
    <x v="6"/>
    <x v="404"/>
    <x v="3"/>
    <x v="2"/>
  </r>
  <r>
    <x v="1736"/>
    <x v="316"/>
    <x v="1"/>
    <x v="0"/>
    <x v="1"/>
    <x v="2"/>
    <x v="8"/>
    <x v="4"/>
    <x v="2"/>
    <x v="56"/>
    <x v="0"/>
    <x v="825"/>
    <x v="2"/>
    <x v="1"/>
  </r>
  <r>
    <x v="1737"/>
    <x v="316"/>
    <x v="3"/>
    <x v="1"/>
    <x v="1"/>
    <x v="3"/>
    <x v="4"/>
    <x v="9"/>
    <x v="5"/>
    <x v="41"/>
    <x v="1"/>
    <x v="162"/>
    <x v="2"/>
    <x v="3"/>
  </r>
  <r>
    <x v="1738"/>
    <x v="317"/>
    <x v="4"/>
    <x v="2"/>
    <x v="0"/>
    <x v="3"/>
    <x v="14"/>
    <x v="8"/>
    <x v="3"/>
    <x v="18"/>
    <x v="0"/>
    <x v="1178"/>
    <x v="0"/>
    <x v="4"/>
  </r>
  <r>
    <x v="1739"/>
    <x v="317"/>
    <x v="2"/>
    <x v="1"/>
    <x v="0"/>
    <x v="2"/>
    <x v="8"/>
    <x v="11"/>
    <x v="3"/>
    <x v="99"/>
    <x v="4"/>
    <x v="793"/>
    <x v="1"/>
    <x v="2"/>
  </r>
  <r>
    <x v="1740"/>
    <x v="317"/>
    <x v="3"/>
    <x v="3"/>
    <x v="1"/>
    <x v="0"/>
    <x v="27"/>
    <x v="9"/>
    <x v="11"/>
    <x v="149"/>
    <x v="3"/>
    <x v="1179"/>
    <x v="2"/>
    <x v="3"/>
  </r>
  <r>
    <x v="1741"/>
    <x v="317"/>
    <x v="4"/>
    <x v="3"/>
    <x v="0"/>
    <x v="5"/>
    <x v="16"/>
    <x v="8"/>
    <x v="0"/>
    <x v="150"/>
    <x v="1"/>
    <x v="1104"/>
    <x v="0"/>
    <x v="4"/>
  </r>
  <r>
    <x v="1742"/>
    <x v="317"/>
    <x v="3"/>
    <x v="3"/>
    <x v="0"/>
    <x v="1"/>
    <x v="26"/>
    <x v="6"/>
    <x v="10"/>
    <x v="65"/>
    <x v="4"/>
    <x v="1180"/>
    <x v="1"/>
    <x v="3"/>
  </r>
  <r>
    <x v="1743"/>
    <x v="317"/>
    <x v="3"/>
    <x v="2"/>
    <x v="0"/>
    <x v="3"/>
    <x v="23"/>
    <x v="12"/>
    <x v="3"/>
    <x v="145"/>
    <x v="6"/>
    <x v="1181"/>
    <x v="0"/>
    <x v="3"/>
  </r>
  <r>
    <x v="1744"/>
    <x v="317"/>
    <x v="4"/>
    <x v="3"/>
    <x v="0"/>
    <x v="4"/>
    <x v="7"/>
    <x v="14"/>
    <x v="0"/>
    <x v="136"/>
    <x v="2"/>
    <x v="1182"/>
    <x v="2"/>
    <x v="4"/>
  </r>
  <r>
    <x v="1745"/>
    <x v="317"/>
    <x v="3"/>
    <x v="0"/>
    <x v="0"/>
    <x v="2"/>
    <x v="5"/>
    <x v="12"/>
    <x v="1"/>
    <x v="33"/>
    <x v="3"/>
    <x v="921"/>
    <x v="0"/>
    <x v="3"/>
  </r>
  <r>
    <x v="1746"/>
    <x v="317"/>
    <x v="2"/>
    <x v="0"/>
    <x v="0"/>
    <x v="2"/>
    <x v="17"/>
    <x v="5"/>
    <x v="3"/>
    <x v="93"/>
    <x v="6"/>
    <x v="1183"/>
    <x v="1"/>
    <x v="2"/>
  </r>
  <r>
    <x v="1747"/>
    <x v="318"/>
    <x v="2"/>
    <x v="2"/>
    <x v="1"/>
    <x v="0"/>
    <x v="19"/>
    <x v="5"/>
    <x v="0"/>
    <x v="28"/>
    <x v="1"/>
    <x v="1184"/>
    <x v="1"/>
    <x v="2"/>
  </r>
  <r>
    <x v="1748"/>
    <x v="318"/>
    <x v="0"/>
    <x v="0"/>
    <x v="0"/>
    <x v="2"/>
    <x v="2"/>
    <x v="0"/>
    <x v="3"/>
    <x v="112"/>
    <x v="5"/>
    <x v="1185"/>
    <x v="0"/>
    <x v="0"/>
  </r>
  <r>
    <x v="1749"/>
    <x v="318"/>
    <x v="1"/>
    <x v="0"/>
    <x v="0"/>
    <x v="1"/>
    <x v="22"/>
    <x v="1"/>
    <x v="4"/>
    <x v="47"/>
    <x v="1"/>
    <x v="1186"/>
    <x v="1"/>
    <x v="1"/>
  </r>
  <r>
    <x v="1750"/>
    <x v="318"/>
    <x v="0"/>
    <x v="0"/>
    <x v="0"/>
    <x v="2"/>
    <x v="2"/>
    <x v="2"/>
    <x v="2"/>
    <x v="120"/>
    <x v="0"/>
    <x v="1187"/>
    <x v="2"/>
    <x v="0"/>
  </r>
  <r>
    <x v="1751"/>
    <x v="318"/>
    <x v="1"/>
    <x v="1"/>
    <x v="1"/>
    <x v="0"/>
    <x v="19"/>
    <x v="13"/>
    <x v="3"/>
    <x v="52"/>
    <x v="2"/>
    <x v="665"/>
    <x v="0"/>
    <x v="1"/>
  </r>
  <r>
    <x v="1752"/>
    <x v="318"/>
    <x v="0"/>
    <x v="3"/>
    <x v="0"/>
    <x v="2"/>
    <x v="8"/>
    <x v="2"/>
    <x v="1"/>
    <x v="45"/>
    <x v="1"/>
    <x v="406"/>
    <x v="2"/>
    <x v="0"/>
  </r>
  <r>
    <x v="1753"/>
    <x v="319"/>
    <x v="3"/>
    <x v="0"/>
    <x v="0"/>
    <x v="0"/>
    <x v="19"/>
    <x v="12"/>
    <x v="5"/>
    <x v="28"/>
    <x v="6"/>
    <x v="1188"/>
    <x v="0"/>
    <x v="3"/>
  </r>
  <r>
    <x v="1754"/>
    <x v="319"/>
    <x v="0"/>
    <x v="2"/>
    <x v="0"/>
    <x v="3"/>
    <x v="14"/>
    <x v="0"/>
    <x v="0"/>
    <x v="76"/>
    <x v="6"/>
    <x v="14"/>
    <x v="0"/>
    <x v="0"/>
  </r>
  <r>
    <x v="1755"/>
    <x v="319"/>
    <x v="4"/>
    <x v="2"/>
    <x v="1"/>
    <x v="3"/>
    <x v="14"/>
    <x v="10"/>
    <x v="0"/>
    <x v="76"/>
    <x v="4"/>
    <x v="1189"/>
    <x v="2"/>
    <x v="4"/>
  </r>
  <r>
    <x v="1756"/>
    <x v="319"/>
    <x v="1"/>
    <x v="1"/>
    <x v="1"/>
    <x v="2"/>
    <x v="17"/>
    <x v="4"/>
    <x v="0"/>
    <x v="24"/>
    <x v="1"/>
    <x v="433"/>
    <x v="2"/>
    <x v="1"/>
  </r>
  <r>
    <x v="1757"/>
    <x v="320"/>
    <x v="2"/>
    <x v="3"/>
    <x v="0"/>
    <x v="5"/>
    <x v="25"/>
    <x v="5"/>
    <x v="3"/>
    <x v="105"/>
    <x v="4"/>
    <x v="121"/>
    <x v="1"/>
    <x v="2"/>
  </r>
  <r>
    <x v="1758"/>
    <x v="320"/>
    <x v="0"/>
    <x v="0"/>
    <x v="1"/>
    <x v="5"/>
    <x v="15"/>
    <x v="2"/>
    <x v="3"/>
    <x v="70"/>
    <x v="0"/>
    <x v="506"/>
    <x v="2"/>
    <x v="0"/>
  </r>
  <r>
    <x v="1759"/>
    <x v="320"/>
    <x v="0"/>
    <x v="0"/>
    <x v="0"/>
    <x v="4"/>
    <x v="12"/>
    <x v="2"/>
    <x v="2"/>
    <x v="121"/>
    <x v="3"/>
    <x v="1190"/>
    <x v="2"/>
    <x v="0"/>
  </r>
  <r>
    <x v="1760"/>
    <x v="320"/>
    <x v="4"/>
    <x v="2"/>
    <x v="0"/>
    <x v="2"/>
    <x v="2"/>
    <x v="8"/>
    <x v="3"/>
    <x v="19"/>
    <x v="3"/>
    <x v="1191"/>
    <x v="0"/>
    <x v="4"/>
  </r>
  <r>
    <x v="1761"/>
    <x v="320"/>
    <x v="0"/>
    <x v="2"/>
    <x v="0"/>
    <x v="3"/>
    <x v="23"/>
    <x v="2"/>
    <x v="0"/>
    <x v="131"/>
    <x v="6"/>
    <x v="1192"/>
    <x v="2"/>
    <x v="0"/>
  </r>
  <r>
    <x v="1762"/>
    <x v="321"/>
    <x v="3"/>
    <x v="0"/>
    <x v="0"/>
    <x v="3"/>
    <x v="23"/>
    <x v="12"/>
    <x v="3"/>
    <x v="145"/>
    <x v="5"/>
    <x v="843"/>
    <x v="0"/>
    <x v="3"/>
  </r>
  <r>
    <x v="1763"/>
    <x v="321"/>
    <x v="1"/>
    <x v="0"/>
    <x v="1"/>
    <x v="4"/>
    <x v="6"/>
    <x v="13"/>
    <x v="3"/>
    <x v="117"/>
    <x v="4"/>
    <x v="1193"/>
    <x v="0"/>
    <x v="1"/>
  </r>
  <r>
    <x v="1764"/>
    <x v="321"/>
    <x v="3"/>
    <x v="0"/>
    <x v="1"/>
    <x v="0"/>
    <x v="19"/>
    <x v="6"/>
    <x v="3"/>
    <x v="52"/>
    <x v="2"/>
    <x v="665"/>
    <x v="1"/>
    <x v="3"/>
  </r>
  <r>
    <x v="1765"/>
    <x v="321"/>
    <x v="4"/>
    <x v="2"/>
    <x v="1"/>
    <x v="4"/>
    <x v="12"/>
    <x v="14"/>
    <x v="0"/>
    <x v="39"/>
    <x v="5"/>
    <x v="1194"/>
    <x v="2"/>
    <x v="4"/>
  </r>
  <r>
    <x v="1766"/>
    <x v="321"/>
    <x v="3"/>
    <x v="1"/>
    <x v="1"/>
    <x v="0"/>
    <x v="19"/>
    <x v="6"/>
    <x v="0"/>
    <x v="28"/>
    <x v="5"/>
    <x v="1195"/>
    <x v="1"/>
    <x v="3"/>
  </r>
  <r>
    <x v="1767"/>
    <x v="321"/>
    <x v="1"/>
    <x v="0"/>
    <x v="0"/>
    <x v="0"/>
    <x v="19"/>
    <x v="13"/>
    <x v="0"/>
    <x v="52"/>
    <x v="5"/>
    <x v="641"/>
    <x v="0"/>
    <x v="1"/>
  </r>
  <r>
    <x v="1768"/>
    <x v="321"/>
    <x v="2"/>
    <x v="0"/>
    <x v="0"/>
    <x v="2"/>
    <x v="3"/>
    <x v="11"/>
    <x v="4"/>
    <x v="7"/>
    <x v="2"/>
    <x v="1196"/>
    <x v="1"/>
    <x v="2"/>
  </r>
  <r>
    <x v="1769"/>
    <x v="321"/>
    <x v="2"/>
    <x v="0"/>
    <x v="0"/>
    <x v="2"/>
    <x v="3"/>
    <x v="11"/>
    <x v="0"/>
    <x v="94"/>
    <x v="5"/>
    <x v="288"/>
    <x v="1"/>
    <x v="2"/>
  </r>
  <r>
    <x v="1770"/>
    <x v="322"/>
    <x v="4"/>
    <x v="2"/>
    <x v="0"/>
    <x v="3"/>
    <x v="4"/>
    <x v="14"/>
    <x v="2"/>
    <x v="68"/>
    <x v="3"/>
    <x v="1197"/>
    <x v="2"/>
    <x v="4"/>
  </r>
  <r>
    <x v="1771"/>
    <x v="322"/>
    <x v="1"/>
    <x v="2"/>
    <x v="1"/>
    <x v="3"/>
    <x v="4"/>
    <x v="13"/>
    <x v="3"/>
    <x v="41"/>
    <x v="1"/>
    <x v="380"/>
    <x v="0"/>
    <x v="1"/>
  </r>
  <r>
    <x v="1772"/>
    <x v="322"/>
    <x v="0"/>
    <x v="1"/>
    <x v="0"/>
    <x v="2"/>
    <x v="9"/>
    <x v="0"/>
    <x v="2"/>
    <x v="10"/>
    <x v="2"/>
    <x v="1198"/>
    <x v="0"/>
    <x v="0"/>
  </r>
  <r>
    <x v="1773"/>
    <x v="322"/>
    <x v="4"/>
    <x v="2"/>
    <x v="0"/>
    <x v="5"/>
    <x v="15"/>
    <x v="10"/>
    <x v="3"/>
    <x v="42"/>
    <x v="6"/>
    <x v="1199"/>
    <x v="2"/>
    <x v="4"/>
  </r>
  <r>
    <x v="1774"/>
    <x v="322"/>
    <x v="3"/>
    <x v="0"/>
    <x v="0"/>
    <x v="2"/>
    <x v="9"/>
    <x v="6"/>
    <x v="1"/>
    <x v="10"/>
    <x v="1"/>
    <x v="906"/>
    <x v="1"/>
    <x v="3"/>
  </r>
  <r>
    <x v="1775"/>
    <x v="323"/>
    <x v="1"/>
    <x v="0"/>
    <x v="1"/>
    <x v="2"/>
    <x v="5"/>
    <x v="4"/>
    <x v="1"/>
    <x v="29"/>
    <x v="2"/>
    <x v="1200"/>
    <x v="2"/>
    <x v="1"/>
  </r>
  <r>
    <x v="1776"/>
    <x v="323"/>
    <x v="0"/>
    <x v="2"/>
    <x v="0"/>
    <x v="5"/>
    <x v="16"/>
    <x v="0"/>
    <x v="3"/>
    <x v="67"/>
    <x v="4"/>
    <x v="696"/>
    <x v="0"/>
    <x v="0"/>
  </r>
  <r>
    <x v="1777"/>
    <x v="324"/>
    <x v="0"/>
    <x v="2"/>
    <x v="0"/>
    <x v="4"/>
    <x v="6"/>
    <x v="2"/>
    <x v="3"/>
    <x v="46"/>
    <x v="1"/>
    <x v="1201"/>
    <x v="2"/>
    <x v="0"/>
  </r>
  <r>
    <x v="1778"/>
    <x v="324"/>
    <x v="3"/>
    <x v="1"/>
    <x v="1"/>
    <x v="4"/>
    <x v="7"/>
    <x v="9"/>
    <x v="1"/>
    <x v="116"/>
    <x v="3"/>
    <x v="1202"/>
    <x v="2"/>
    <x v="3"/>
  </r>
  <r>
    <x v="1779"/>
    <x v="324"/>
    <x v="3"/>
    <x v="2"/>
    <x v="1"/>
    <x v="1"/>
    <x v="22"/>
    <x v="9"/>
    <x v="0"/>
    <x v="36"/>
    <x v="6"/>
    <x v="619"/>
    <x v="2"/>
    <x v="3"/>
  </r>
  <r>
    <x v="1780"/>
    <x v="324"/>
    <x v="3"/>
    <x v="3"/>
    <x v="1"/>
    <x v="2"/>
    <x v="17"/>
    <x v="6"/>
    <x v="0"/>
    <x v="87"/>
    <x v="1"/>
    <x v="1203"/>
    <x v="1"/>
    <x v="3"/>
  </r>
  <r>
    <x v="1781"/>
    <x v="324"/>
    <x v="1"/>
    <x v="1"/>
    <x v="1"/>
    <x v="1"/>
    <x v="26"/>
    <x v="4"/>
    <x v="2"/>
    <x v="146"/>
    <x v="1"/>
    <x v="1057"/>
    <x v="2"/>
    <x v="1"/>
  </r>
  <r>
    <x v="1782"/>
    <x v="324"/>
    <x v="3"/>
    <x v="0"/>
    <x v="1"/>
    <x v="2"/>
    <x v="8"/>
    <x v="12"/>
    <x v="3"/>
    <x v="43"/>
    <x v="1"/>
    <x v="1204"/>
    <x v="0"/>
    <x v="3"/>
  </r>
  <r>
    <x v="1783"/>
    <x v="324"/>
    <x v="0"/>
    <x v="3"/>
    <x v="1"/>
    <x v="0"/>
    <x v="10"/>
    <x v="0"/>
    <x v="5"/>
    <x v="77"/>
    <x v="3"/>
    <x v="1205"/>
    <x v="0"/>
    <x v="0"/>
  </r>
  <r>
    <x v="1784"/>
    <x v="325"/>
    <x v="0"/>
    <x v="0"/>
    <x v="0"/>
    <x v="3"/>
    <x v="13"/>
    <x v="3"/>
    <x v="0"/>
    <x v="84"/>
    <x v="1"/>
    <x v="210"/>
    <x v="2"/>
    <x v="0"/>
  </r>
  <r>
    <x v="1785"/>
    <x v="325"/>
    <x v="0"/>
    <x v="2"/>
    <x v="0"/>
    <x v="3"/>
    <x v="13"/>
    <x v="3"/>
    <x v="0"/>
    <x v="57"/>
    <x v="6"/>
    <x v="1206"/>
    <x v="2"/>
    <x v="0"/>
  </r>
  <r>
    <x v="1786"/>
    <x v="325"/>
    <x v="0"/>
    <x v="3"/>
    <x v="0"/>
    <x v="5"/>
    <x v="21"/>
    <x v="0"/>
    <x v="3"/>
    <x v="141"/>
    <x v="6"/>
    <x v="714"/>
    <x v="0"/>
    <x v="0"/>
  </r>
  <r>
    <x v="1787"/>
    <x v="326"/>
    <x v="3"/>
    <x v="1"/>
    <x v="0"/>
    <x v="2"/>
    <x v="2"/>
    <x v="12"/>
    <x v="0"/>
    <x v="157"/>
    <x v="1"/>
    <x v="1207"/>
    <x v="0"/>
    <x v="3"/>
  </r>
  <r>
    <x v="1788"/>
    <x v="326"/>
    <x v="3"/>
    <x v="2"/>
    <x v="0"/>
    <x v="5"/>
    <x v="21"/>
    <x v="9"/>
    <x v="3"/>
    <x v="73"/>
    <x v="6"/>
    <x v="247"/>
    <x v="2"/>
    <x v="3"/>
  </r>
  <r>
    <x v="1789"/>
    <x v="327"/>
    <x v="1"/>
    <x v="3"/>
    <x v="0"/>
    <x v="5"/>
    <x v="21"/>
    <x v="13"/>
    <x v="3"/>
    <x v="35"/>
    <x v="4"/>
    <x v="247"/>
    <x v="0"/>
    <x v="1"/>
  </r>
  <r>
    <x v="1790"/>
    <x v="327"/>
    <x v="4"/>
    <x v="0"/>
    <x v="0"/>
    <x v="1"/>
    <x v="22"/>
    <x v="10"/>
    <x v="4"/>
    <x v="47"/>
    <x v="0"/>
    <x v="1208"/>
    <x v="2"/>
    <x v="4"/>
  </r>
  <r>
    <x v="1791"/>
    <x v="327"/>
    <x v="3"/>
    <x v="2"/>
    <x v="0"/>
    <x v="2"/>
    <x v="9"/>
    <x v="12"/>
    <x v="5"/>
    <x v="102"/>
    <x v="4"/>
    <x v="1209"/>
    <x v="0"/>
    <x v="3"/>
  </r>
  <r>
    <x v="1792"/>
    <x v="327"/>
    <x v="4"/>
    <x v="2"/>
    <x v="0"/>
    <x v="0"/>
    <x v="10"/>
    <x v="14"/>
    <x v="3"/>
    <x v="17"/>
    <x v="5"/>
    <x v="37"/>
    <x v="2"/>
    <x v="4"/>
  </r>
  <r>
    <x v="1793"/>
    <x v="327"/>
    <x v="1"/>
    <x v="0"/>
    <x v="0"/>
    <x v="4"/>
    <x v="7"/>
    <x v="13"/>
    <x v="0"/>
    <x v="34"/>
    <x v="2"/>
    <x v="592"/>
    <x v="0"/>
    <x v="1"/>
  </r>
  <r>
    <x v="1794"/>
    <x v="327"/>
    <x v="0"/>
    <x v="0"/>
    <x v="0"/>
    <x v="3"/>
    <x v="23"/>
    <x v="3"/>
    <x v="3"/>
    <x v="131"/>
    <x v="1"/>
    <x v="551"/>
    <x v="2"/>
    <x v="0"/>
  </r>
  <r>
    <x v="1795"/>
    <x v="327"/>
    <x v="2"/>
    <x v="1"/>
    <x v="0"/>
    <x v="3"/>
    <x v="4"/>
    <x v="7"/>
    <x v="0"/>
    <x v="41"/>
    <x v="3"/>
    <x v="1210"/>
    <x v="3"/>
    <x v="2"/>
  </r>
  <r>
    <x v="1796"/>
    <x v="327"/>
    <x v="3"/>
    <x v="2"/>
    <x v="0"/>
    <x v="4"/>
    <x v="7"/>
    <x v="6"/>
    <x v="0"/>
    <x v="116"/>
    <x v="5"/>
    <x v="1211"/>
    <x v="1"/>
    <x v="3"/>
  </r>
  <r>
    <x v="1797"/>
    <x v="327"/>
    <x v="4"/>
    <x v="2"/>
    <x v="1"/>
    <x v="2"/>
    <x v="17"/>
    <x v="10"/>
    <x v="0"/>
    <x v="167"/>
    <x v="2"/>
    <x v="1177"/>
    <x v="2"/>
    <x v="4"/>
  </r>
  <r>
    <x v="1798"/>
    <x v="328"/>
    <x v="3"/>
    <x v="2"/>
    <x v="0"/>
    <x v="2"/>
    <x v="9"/>
    <x v="12"/>
    <x v="3"/>
    <x v="86"/>
    <x v="2"/>
    <x v="1212"/>
    <x v="0"/>
    <x v="3"/>
  </r>
  <r>
    <x v="1799"/>
    <x v="328"/>
    <x v="4"/>
    <x v="0"/>
    <x v="0"/>
    <x v="5"/>
    <x v="25"/>
    <x v="14"/>
    <x v="3"/>
    <x v="97"/>
    <x v="5"/>
    <x v="225"/>
    <x v="2"/>
    <x v="4"/>
  </r>
  <r>
    <x v="1800"/>
    <x v="328"/>
    <x v="0"/>
    <x v="0"/>
    <x v="1"/>
    <x v="2"/>
    <x v="5"/>
    <x v="2"/>
    <x v="3"/>
    <x v="33"/>
    <x v="2"/>
    <x v="278"/>
    <x v="2"/>
    <x v="0"/>
  </r>
  <r>
    <x v="1801"/>
    <x v="328"/>
    <x v="4"/>
    <x v="3"/>
    <x v="0"/>
    <x v="3"/>
    <x v="14"/>
    <x v="10"/>
    <x v="3"/>
    <x v="129"/>
    <x v="4"/>
    <x v="528"/>
    <x v="2"/>
    <x v="4"/>
  </r>
  <r>
    <x v="1802"/>
    <x v="328"/>
    <x v="0"/>
    <x v="0"/>
    <x v="0"/>
    <x v="3"/>
    <x v="23"/>
    <x v="0"/>
    <x v="3"/>
    <x v="142"/>
    <x v="1"/>
    <x v="43"/>
    <x v="0"/>
    <x v="0"/>
  </r>
  <r>
    <x v="1803"/>
    <x v="328"/>
    <x v="1"/>
    <x v="0"/>
    <x v="1"/>
    <x v="2"/>
    <x v="2"/>
    <x v="13"/>
    <x v="3"/>
    <x v="112"/>
    <x v="3"/>
    <x v="1213"/>
    <x v="0"/>
    <x v="1"/>
  </r>
  <r>
    <x v="1804"/>
    <x v="329"/>
    <x v="4"/>
    <x v="0"/>
    <x v="1"/>
    <x v="3"/>
    <x v="13"/>
    <x v="8"/>
    <x v="3"/>
    <x v="84"/>
    <x v="5"/>
    <x v="205"/>
    <x v="0"/>
    <x v="4"/>
  </r>
  <r>
    <x v="1805"/>
    <x v="329"/>
    <x v="3"/>
    <x v="1"/>
    <x v="0"/>
    <x v="0"/>
    <x v="10"/>
    <x v="9"/>
    <x v="4"/>
    <x v="77"/>
    <x v="1"/>
    <x v="1214"/>
    <x v="2"/>
    <x v="3"/>
  </r>
  <r>
    <x v="1806"/>
    <x v="329"/>
    <x v="0"/>
    <x v="2"/>
    <x v="0"/>
    <x v="3"/>
    <x v="23"/>
    <x v="0"/>
    <x v="2"/>
    <x v="37"/>
    <x v="1"/>
    <x v="1215"/>
    <x v="0"/>
    <x v="0"/>
  </r>
  <r>
    <x v="1807"/>
    <x v="330"/>
    <x v="4"/>
    <x v="0"/>
    <x v="1"/>
    <x v="1"/>
    <x v="1"/>
    <x v="14"/>
    <x v="0"/>
    <x v="1"/>
    <x v="5"/>
    <x v="1216"/>
    <x v="2"/>
    <x v="4"/>
  </r>
  <r>
    <x v="1808"/>
    <x v="330"/>
    <x v="1"/>
    <x v="1"/>
    <x v="0"/>
    <x v="3"/>
    <x v="23"/>
    <x v="13"/>
    <x v="0"/>
    <x v="37"/>
    <x v="5"/>
    <x v="1217"/>
    <x v="0"/>
    <x v="1"/>
  </r>
  <r>
    <x v="1809"/>
    <x v="330"/>
    <x v="2"/>
    <x v="0"/>
    <x v="0"/>
    <x v="5"/>
    <x v="18"/>
    <x v="5"/>
    <x v="3"/>
    <x v="139"/>
    <x v="1"/>
    <x v="341"/>
    <x v="1"/>
    <x v="2"/>
  </r>
  <r>
    <x v="1810"/>
    <x v="330"/>
    <x v="4"/>
    <x v="0"/>
    <x v="1"/>
    <x v="2"/>
    <x v="2"/>
    <x v="8"/>
    <x v="0"/>
    <x v="2"/>
    <x v="4"/>
    <x v="81"/>
    <x v="0"/>
    <x v="4"/>
  </r>
  <r>
    <x v="1811"/>
    <x v="330"/>
    <x v="3"/>
    <x v="3"/>
    <x v="1"/>
    <x v="5"/>
    <x v="21"/>
    <x v="6"/>
    <x v="3"/>
    <x v="108"/>
    <x v="5"/>
    <x v="1218"/>
    <x v="1"/>
    <x v="3"/>
  </r>
  <r>
    <x v="1812"/>
    <x v="330"/>
    <x v="2"/>
    <x v="2"/>
    <x v="0"/>
    <x v="1"/>
    <x v="20"/>
    <x v="11"/>
    <x v="3"/>
    <x v="143"/>
    <x v="6"/>
    <x v="1219"/>
    <x v="1"/>
    <x v="2"/>
  </r>
  <r>
    <x v="1813"/>
    <x v="330"/>
    <x v="1"/>
    <x v="2"/>
    <x v="0"/>
    <x v="5"/>
    <x v="21"/>
    <x v="1"/>
    <x v="2"/>
    <x v="73"/>
    <x v="6"/>
    <x v="1220"/>
    <x v="1"/>
    <x v="1"/>
  </r>
  <r>
    <x v="1814"/>
    <x v="331"/>
    <x v="0"/>
    <x v="0"/>
    <x v="0"/>
    <x v="2"/>
    <x v="2"/>
    <x v="0"/>
    <x v="6"/>
    <x v="157"/>
    <x v="5"/>
    <x v="1221"/>
    <x v="0"/>
    <x v="0"/>
  </r>
  <r>
    <x v="1815"/>
    <x v="331"/>
    <x v="2"/>
    <x v="2"/>
    <x v="0"/>
    <x v="1"/>
    <x v="24"/>
    <x v="5"/>
    <x v="0"/>
    <x v="54"/>
    <x v="1"/>
    <x v="286"/>
    <x v="1"/>
    <x v="2"/>
  </r>
  <r>
    <x v="1816"/>
    <x v="331"/>
    <x v="3"/>
    <x v="2"/>
    <x v="1"/>
    <x v="2"/>
    <x v="5"/>
    <x v="9"/>
    <x v="1"/>
    <x v="5"/>
    <x v="1"/>
    <x v="1222"/>
    <x v="2"/>
    <x v="3"/>
  </r>
  <r>
    <x v="1817"/>
    <x v="331"/>
    <x v="1"/>
    <x v="1"/>
    <x v="0"/>
    <x v="3"/>
    <x v="13"/>
    <x v="4"/>
    <x v="3"/>
    <x v="57"/>
    <x v="4"/>
    <x v="1223"/>
    <x v="2"/>
    <x v="1"/>
  </r>
  <r>
    <x v="1818"/>
    <x v="331"/>
    <x v="1"/>
    <x v="0"/>
    <x v="0"/>
    <x v="2"/>
    <x v="17"/>
    <x v="1"/>
    <x v="3"/>
    <x v="24"/>
    <x v="4"/>
    <x v="562"/>
    <x v="1"/>
    <x v="1"/>
  </r>
  <r>
    <x v="1819"/>
    <x v="331"/>
    <x v="3"/>
    <x v="2"/>
    <x v="0"/>
    <x v="1"/>
    <x v="22"/>
    <x v="12"/>
    <x v="3"/>
    <x v="47"/>
    <x v="1"/>
    <x v="1224"/>
    <x v="0"/>
    <x v="3"/>
  </r>
  <r>
    <x v="1820"/>
    <x v="332"/>
    <x v="2"/>
    <x v="3"/>
    <x v="0"/>
    <x v="4"/>
    <x v="11"/>
    <x v="5"/>
    <x v="2"/>
    <x v="13"/>
    <x v="4"/>
    <x v="528"/>
    <x v="1"/>
    <x v="2"/>
  </r>
  <r>
    <x v="1821"/>
    <x v="332"/>
    <x v="4"/>
    <x v="2"/>
    <x v="1"/>
    <x v="2"/>
    <x v="3"/>
    <x v="8"/>
    <x v="5"/>
    <x v="94"/>
    <x v="6"/>
    <x v="1225"/>
    <x v="0"/>
    <x v="4"/>
  </r>
  <r>
    <x v="1822"/>
    <x v="332"/>
    <x v="0"/>
    <x v="0"/>
    <x v="0"/>
    <x v="4"/>
    <x v="12"/>
    <x v="2"/>
    <x v="2"/>
    <x v="38"/>
    <x v="6"/>
    <x v="628"/>
    <x v="2"/>
    <x v="0"/>
  </r>
  <r>
    <x v="1823"/>
    <x v="333"/>
    <x v="1"/>
    <x v="0"/>
    <x v="0"/>
    <x v="0"/>
    <x v="0"/>
    <x v="4"/>
    <x v="5"/>
    <x v="0"/>
    <x v="0"/>
    <x v="578"/>
    <x v="2"/>
    <x v="1"/>
  </r>
  <r>
    <x v="1824"/>
    <x v="333"/>
    <x v="0"/>
    <x v="2"/>
    <x v="1"/>
    <x v="0"/>
    <x v="19"/>
    <x v="0"/>
    <x v="2"/>
    <x v="28"/>
    <x v="3"/>
    <x v="542"/>
    <x v="0"/>
    <x v="0"/>
  </r>
  <r>
    <x v="1825"/>
    <x v="333"/>
    <x v="0"/>
    <x v="0"/>
    <x v="0"/>
    <x v="1"/>
    <x v="26"/>
    <x v="3"/>
    <x v="1"/>
    <x v="65"/>
    <x v="5"/>
    <x v="1226"/>
    <x v="2"/>
    <x v="0"/>
  </r>
  <r>
    <x v="1826"/>
    <x v="333"/>
    <x v="0"/>
    <x v="3"/>
    <x v="0"/>
    <x v="4"/>
    <x v="12"/>
    <x v="0"/>
    <x v="12"/>
    <x v="72"/>
    <x v="0"/>
    <x v="536"/>
    <x v="0"/>
    <x v="0"/>
  </r>
  <r>
    <x v="1827"/>
    <x v="333"/>
    <x v="1"/>
    <x v="0"/>
    <x v="0"/>
    <x v="1"/>
    <x v="26"/>
    <x v="13"/>
    <x v="3"/>
    <x v="65"/>
    <x v="1"/>
    <x v="512"/>
    <x v="0"/>
    <x v="1"/>
  </r>
  <r>
    <x v="1828"/>
    <x v="333"/>
    <x v="3"/>
    <x v="2"/>
    <x v="1"/>
    <x v="3"/>
    <x v="13"/>
    <x v="12"/>
    <x v="0"/>
    <x v="84"/>
    <x v="0"/>
    <x v="1227"/>
    <x v="0"/>
    <x v="3"/>
  </r>
  <r>
    <x v="1829"/>
    <x v="333"/>
    <x v="1"/>
    <x v="1"/>
    <x v="1"/>
    <x v="1"/>
    <x v="26"/>
    <x v="4"/>
    <x v="1"/>
    <x v="138"/>
    <x v="0"/>
    <x v="1228"/>
    <x v="2"/>
    <x v="1"/>
  </r>
  <r>
    <x v="1830"/>
    <x v="333"/>
    <x v="0"/>
    <x v="2"/>
    <x v="0"/>
    <x v="0"/>
    <x v="27"/>
    <x v="0"/>
    <x v="3"/>
    <x v="85"/>
    <x v="1"/>
    <x v="1229"/>
    <x v="0"/>
    <x v="0"/>
  </r>
  <r>
    <x v="1831"/>
    <x v="333"/>
    <x v="1"/>
    <x v="3"/>
    <x v="0"/>
    <x v="3"/>
    <x v="13"/>
    <x v="13"/>
    <x v="3"/>
    <x v="61"/>
    <x v="0"/>
    <x v="723"/>
    <x v="0"/>
    <x v="1"/>
  </r>
  <r>
    <x v="1832"/>
    <x v="334"/>
    <x v="3"/>
    <x v="0"/>
    <x v="1"/>
    <x v="2"/>
    <x v="8"/>
    <x v="6"/>
    <x v="5"/>
    <x v="45"/>
    <x v="2"/>
    <x v="647"/>
    <x v="1"/>
    <x v="3"/>
  </r>
  <r>
    <x v="1833"/>
    <x v="334"/>
    <x v="3"/>
    <x v="2"/>
    <x v="0"/>
    <x v="4"/>
    <x v="12"/>
    <x v="6"/>
    <x v="0"/>
    <x v="39"/>
    <x v="1"/>
    <x v="1230"/>
    <x v="1"/>
    <x v="3"/>
  </r>
  <r>
    <x v="1834"/>
    <x v="334"/>
    <x v="1"/>
    <x v="1"/>
    <x v="1"/>
    <x v="2"/>
    <x v="17"/>
    <x v="13"/>
    <x v="1"/>
    <x v="24"/>
    <x v="1"/>
    <x v="102"/>
    <x v="0"/>
    <x v="1"/>
  </r>
  <r>
    <x v="1835"/>
    <x v="334"/>
    <x v="4"/>
    <x v="0"/>
    <x v="0"/>
    <x v="3"/>
    <x v="13"/>
    <x v="14"/>
    <x v="3"/>
    <x v="53"/>
    <x v="5"/>
    <x v="1231"/>
    <x v="2"/>
    <x v="4"/>
  </r>
  <r>
    <x v="1836"/>
    <x v="334"/>
    <x v="4"/>
    <x v="2"/>
    <x v="0"/>
    <x v="1"/>
    <x v="24"/>
    <x v="8"/>
    <x v="3"/>
    <x v="63"/>
    <x v="1"/>
    <x v="1232"/>
    <x v="0"/>
    <x v="4"/>
  </r>
  <r>
    <x v="1837"/>
    <x v="335"/>
    <x v="0"/>
    <x v="0"/>
    <x v="0"/>
    <x v="3"/>
    <x v="14"/>
    <x v="3"/>
    <x v="0"/>
    <x v="76"/>
    <x v="1"/>
    <x v="1005"/>
    <x v="2"/>
    <x v="0"/>
  </r>
  <r>
    <x v="1838"/>
    <x v="335"/>
    <x v="3"/>
    <x v="1"/>
    <x v="0"/>
    <x v="0"/>
    <x v="27"/>
    <x v="9"/>
    <x v="3"/>
    <x v="137"/>
    <x v="4"/>
    <x v="1120"/>
    <x v="2"/>
    <x v="3"/>
  </r>
  <r>
    <x v="1839"/>
    <x v="335"/>
    <x v="4"/>
    <x v="0"/>
    <x v="0"/>
    <x v="5"/>
    <x v="18"/>
    <x v="10"/>
    <x v="2"/>
    <x v="139"/>
    <x v="6"/>
    <x v="1233"/>
    <x v="2"/>
    <x v="4"/>
  </r>
  <r>
    <x v="1840"/>
    <x v="335"/>
    <x v="1"/>
    <x v="1"/>
    <x v="0"/>
    <x v="3"/>
    <x v="14"/>
    <x v="13"/>
    <x v="3"/>
    <x v="124"/>
    <x v="5"/>
    <x v="741"/>
    <x v="0"/>
    <x v="1"/>
  </r>
  <r>
    <x v="1841"/>
    <x v="335"/>
    <x v="1"/>
    <x v="3"/>
    <x v="0"/>
    <x v="3"/>
    <x v="14"/>
    <x v="13"/>
    <x v="2"/>
    <x v="129"/>
    <x v="6"/>
    <x v="175"/>
    <x v="0"/>
    <x v="1"/>
  </r>
  <r>
    <x v="1842"/>
    <x v="335"/>
    <x v="3"/>
    <x v="0"/>
    <x v="0"/>
    <x v="0"/>
    <x v="19"/>
    <x v="9"/>
    <x v="5"/>
    <x v="28"/>
    <x v="1"/>
    <x v="794"/>
    <x v="2"/>
    <x v="3"/>
  </r>
  <r>
    <x v="1843"/>
    <x v="335"/>
    <x v="3"/>
    <x v="1"/>
    <x v="0"/>
    <x v="2"/>
    <x v="9"/>
    <x v="12"/>
    <x v="3"/>
    <x v="10"/>
    <x v="6"/>
    <x v="161"/>
    <x v="0"/>
    <x v="3"/>
  </r>
  <r>
    <x v="1844"/>
    <x v="335"/>
    <x v="0"/>
    <x v="0"/>
    <x v="0"/>
    <x v="1"/>
    <x v="22"/>
    <x v="0"/>
    <x v="10"/>
    <x v="126"/>
    <x v="6"/>
    <x v="84"/>
    <x v="0"/>
    <x v="0"/>
  </r>
  <r>
    <x v="1845"/>
    <x v="336"/>
    <x v="1"/>
    <x v="3"/>
    <x v="0"/>
    <x v="5"/>
    <x v="21"/>
    <x v="4"/>
    <x v="3"/>
    <x v="35"/>
    <x v="4"/>
    <x v="247"/>
    <x v="2"/>
    <x v="1"/>
  </r>
  <r>
    <x v="1846"/>
    <x v="336"/>
    <x v="3"/>
    <x v="1"/>
    <x v="1"/>
    <x v="4"/>
    <x v="11"/>
    <x v="12"/>
    <x v="5"/>
    <x v="13"/>
    <x v="1"/>
    <x v="119"/>
    <x v="0"/>
    <x v="3"/>
  </r>
  <r>
    <x v="1847"/>
    <x v="336"/>
    <x v="1"/>
    <x v="0"/>
    <x v="1"/>
    <x v="0"/>
    <x v="0"/>
    <x v="1"/>
    <x v="3"/>
    <x v="107"/>
    <x v="6"/>
    <x v="203"/>
    <x v="1"/>
    <x v="1"/>
  </r>
  <r>
    <x v="1848"/>
    <x v="336"/>
    <x v="2"/>
    <x v="2"/>
    <x v="0"/>
    <x v="2"/>
    <x v="5"/>
    <x v="7"/>
    <x v="3"/>
    <x v="29"/>
    <x v="6"/>
    <x v="255"/>
    <x v="3"/>
    <x v="2"/>
  </r>
  <r>
    <x v="1849"/>
    <x v="337"/>
    <x v="3"/>
    <x v="2"/>
    <x v="0"/>
    <x v="1"/>
    <x v="22"/>
    <x v="6"/>
    <x v="3"/>
    <x v="148"/>
    <x v="5"/>
    <x v="1234"/>
    <x v="1"/>
    <x v="3"/>
  </r>
  <r>
    <x v="1850"/>
    <x v="337"/>
    <x v="1"/>
    <x v="3"/>
    <x v="0"/>
    <x v="0"/>
    <x v="0"/>
    <x v="4"/>
    <x v="4"/>
    <x v="0"/>
    <x v="0"/>
    <x v="1235"/>
    <x v="2"/>
    <x v="1"/>
  </r>
  <r>
    <x v="1851"/>
    <x v="337"/>
    <x v="3"/>
    <x v="1"/>
    <x v="0"/>
    <x v="0"/>
    <x v="27"/>
    <x v="6"/>
    <x v="2"/>
    <x v="137"/>
    <x v="3"/>
    <x v="1236"/>
    <x v="1"/>
    <x v="3"/>
  </r>
  <r>
    <x v="1852"/>
    <x v="337"/>
    <x v="3"/>
    <x v="0"/>
    <x v="0"/>
    <x v="4"/>
    <x v="12"/>
    <x v="6"/>
    <x v="5"/>
    <x v="72"/>
    <x v="3"/>
    <x v="1237"/>
    <x v="1"/>
    <x v="3"/>
  </r>
  <r>
    <x v="1853"/>
    <x v="337"/>
    <x v="1"/>
    <x v="0"/>
    <x v="1"/>
    <x v="1"/>
    <x v="26"/>
    <x v="13"/>
    <x v="2"/>
    <x v="65"/>
    <x v="1"/>
    <x v="324"/>
    <x v="0"/>
    <x v="1"/>
  </r>
  <r>
    <x v="1854"/>
    <x v="338"/>
    <x v="0"/>
    <x v="0"/>
    <x v="0"/>
    <x v="1"/>
    <x v="20"/>
    <x v="3"/>
    <x v="4"/>
    <x v="158"/>
    <x v="5"/>
    <x v="873"/>
    <x v="2"/>
    <x v="0"/>
  </r>
  <r>
    <x v="1855"/>
    <x v="338"/>
    <x v="1"/>
    <x v="0"/>
    <x v="0"/>
    <x v="2"/>
    <x v="3"/>
    <x v="13"/>
    <x v="1"/>
    <x v="132"/>
    <x v="4"/>
    <x v="793"/>
    <x v="0"/>
    <x v="1"/>
  </r>
  <r>
    <x v="1856"/>
    <x v="338"/>
    <x v="3"/>
    <x v="3"/>
    <x v="0"/>
    <x v="4"/>
    <x v="12"/>
    <x v="12"/>
    <x v="10"/>
    <x v="72"/>
    <x v="3"/>
    <x v="1238"/>
    <x v="0"/>
    <x v="3"/>
  </r>
  <r>
    <x v="1857"/>
    <x v="338"/>
    <x v="2"/>
    <x v="0"/>
    <x v="1"/>
    <x v="1"/>
    <x v="20"/>
    <x v="5"/>
    <x v="2"/>
    <x v="158"/>
    <x v="4"/>
    <x v="1239"/>
    <x v="1"/>
    <x v="2"/>
  </r>
  <r>
    <x v="1858"/>
    <x v="339"/>
    <x v="4"/>
    <x v="3"/>
    <x v="0"/>
    <x v="5"/>
    <x v="18"/>
    <x v="14"/>
    <x v="3"/>
    <x v="27"/>
    <x v="0"/>
    <x v="1240"/>
    <x v="2"/>
    <x v="4"/>
  </r>
  <r>
    <x v="1859"/>
    <x v="339"/>
    <x v="3"/>
    <x v="2"/>
    <x v="1"/>
    <x v="3"/>
    <x v="4"/>
    <x v="9"/>
    <x v="3"/>
    <x v="62"/>
    <x v="5"/>
    <x v="1241"/>
    <x v="2"/>
    <x v="3"/>
  </r>
  <r>
    <x v="1860"/>
    <x v="339"/>
    <x v="3"/>
    <x v="0"/>
    <x v="0"/>
    <x v="0"/>
    <x v="0"/>
    <x v="6"/>
    <x v="4"/>
    <x v="0"/>
    <x v="0"/>
    <x v="1235"/>
    <x v="1"/>
    <x v="3"/>
  </r>
  <r>
    <x v="1861"/>
    <x v="339"/>
    <x v="4"/>
    <x v="0"/>
    <x v="0"/>
    <x v="5"/>
    <x v="25"/>
    <x v="14"/>
    <x v="3"/>
    <x v="51"/>
    <x v="5"/>
    <x v="1242"/>
    <x v="2"/>
    <x v="4"/>
  </r>
  <r>
    <x v="1862"/>
    <x v="339"/>
    <x v="0"/>
    <x v="0"/>
    <x v="0"/>
    <x v="2"/>
    <x v="9"/>
    <x v="0"/>
    <x v="4"/>
    <x v="102"/>
    <x v="1"/>
    <x v="1243"/>
    <x v="0"/>
    <x v="0"/>
  </r>
  <r>
    <x v="1863"/>
    <x v="340"/>
    <x v="1"/>
    <x v="2"/>
    <x v="1"/>
    <x v="2"/>
    <x v="9"/>
    <x v="1"/>
    <x v="6"/>
    <x v="10"/>
    <x v="4"/>
    <x v="274"/>
    <x v="1"/>
    <x v="1"/>
  </r>
  <r>
    <x v="1864"/>
    <x v="340"/>
    <x v="1"/>
    <x v="0"/>
    <x v="0"/>
    <x v="3"/>
    <x v="23"/>
    <x v="4"/>
    <x v="3"/>
    <x v="90"/>
    <x v="4"/>
    <x v="497"/>
    <x v="2"/>
    <x v="1"/>
  </r>
  <r>
    <x v="1865"/>
    <x v="340"/>
    <x v="2"/>
    <x v="3"/>
    <x v="0"/>
    <x v="4"/>
    <x v="11"/>
    <x v="5"/>
    <x v="2"/>
    <x v="13"/>
    <x v="4"/>
    <x v="528"/>
    <x v="1"/>
    <x v="2"/>
  </r>
  <r>
    <x v="1866"/>
    <x v="340"/>
    <x v="0"/>
    <x v="0"/>
    <x v="1"/>
    <x v="2"/>
    <x v="9"/>
    <x v="0"/>
    <x v="5"/>
    <x v="10"/>
    <x v="0"/>
    <x v="241"/>
    <x v="0"/>
    <x v="0"/>
  </r>
  <r>
    <x v="1867"/>
    <x v="340"/>
    <x v="1"/>
    <x v="3"/>
    <x v="1"/>
    <x v="1"/>
    <x v="24"/>
    <x v="13"/>
    <x v="4"/>
    <x v="79"/>
    <x v="1"/>
    <x v="1244"/>
    <x v="0"/>
    <x v="1"/>
  </r>
  <r>
    <x v="1868"/>
    <x v="340"/>
    <x v="4"/>
    <x v="3"/>
    <x v="0"/>
    <x v="5"/>
    <x v="21"/>
    <x v="14"/>
    <x v="3"/>
    <x v="108"/>
    <x v="1"/>
    <x v="262"/>
    <x v="2"/>
    <x v="4"/>
  </r>
  <r>
    <x v="1869"/>
    <x v="340"/>
    <x v="0"/>
    <x v="0"/>
    <x v="0"/>
    <x v="2"/>
    <x v="5"/>
    <x v="0"/>
    <x v="3"/>
    <x v="33"/>
    <x v="4"/>
    <x v="1245"/>
    <x v="0"/>
    <x v="0"/>
  </r>
  <r>
    <x v="1870"/>
    <x v="340"/>
    <x v="0"/>
    <x v="0"/>
    <x v="0"/>
    <x v="2"/>
    <x v="17"/>
    <x v="0"/>
    <x v="0"/>
    <x v="22"/>
    <x v="4"/>
    <x v="1246"/>
    <x v="0"/>
    <x v="0"/>
  </r>
  <r>
    <x v="1871"/>
    <x v="341"/>
    <x v="0"/>
    <x v="0"/>
    <x v="0"/>
    <x v="4"/>
    <x v="6"/>
    <x v="0"/>
    <x v="5"/>
    <x v="6"/>
    <x v="1"/>
    <x v="152"/>
    <x v="0"/>
    <x v="0"/>
  </r>
  <r>
    <x v="1872"/>
    <x v="341"/>
    <x v="3"/>
    <x v="0"/>
    <x v="0"/>
    <x v="0"/>
    <x v="0"/>
    <x v="6"/>
    <x v="0"/>
    <x v="0"/>
    <x v="4"/>
    <x v="568"/>
    <x v="1"/>
    <x v="3"/>
  </r>
  <r>
    <x v="1873"/>
    <x v="341"/>
    <x v="0"/>
    <x v="3"/>
    <x v="1"/>
    <x v="5"/>
    <x v="15"/>
    <x v="3"/>
    <x v="3"/>
    <x v="20"/>
    <x v="0"/>
    <x v="366"/>
    <x v="2"/>
    <x v="0"/>
  </r>
  <r>
    <x v="1874"/>
    <x v="341"/>
    <x v="1"/>
    <x v="1"/>
    <x v="0"/>
    <x v="1"/>
    <x v="22"/>
    <x v="1"/>
    <x v="1"/>
    <x v="36"/>
    <x v="6"/>
    <x v="1247"/>
    <x v="1"/>
    <x v="1"/>
  </r>
  <r>
    <x v="1875"/>
    <x v="342"/>
    <x v="3"/>
    <x v="1"/>
    <x v="0"/>
    <x v="2"/>
    <x v="9"/>
    <x v="9"/>
    <x v="6"/>
    <x v="10"/>
    <x v="0"/>
    <x v="104"/>
    <x v="2"/>
    <x v="3"/>
  </r>
  <r>
    <x v="1876"/>
    <x v="342"/>
    <x v="1"/>
    <x v="0"/>
    <x v="1"/>
    <x v="2"/>
    <x v="2"/>
    <x v="1"/>
    <x v="0"/>
    <x v="2"/>
    <x v="2"/>
    <x v="746"/>
    <x v="1"/>
    <x v="1"/>
  </r>
  <r>
    <x v="1877"/>
    <x v="342"/>
    <x v="3"/>
    <x v="0"/>
    <x v="0"/>
    <x v="3"/>
    <x v="4"/>
    <x v="12"/>
    <x v="3"/>
    <x v="41"/>
    <x v="1"/>
    <x v="380"/>
    <x v="0"/>
    <x v="3"/>
  </r>
  <r>
    <x v="1878"/>
    <x v="342"/>
    <x v="4"/>
    <x v="3"/>
    <x v="0"/>
    <x v="5"/>
    <x v="15"/>
    <x v="14"/>
    <x v="3"/>
    <x v="25"/>
    <x v="6"/>
    <x v="1122"/>
    <x v="2"/>
    <x v="4"/>
  </r>
  <r>
    <x v="1879"/>
    <x v="343"/>
    <x v="3"/>
    <x v="2"/>
    <x v="1"/>
    <x v="0"/>
    <x v="10"/>
    <x v="12"/>
    <x v="0"/>
    <x v="77"/>
    <x v="4"/>
    <x v="1248"/>
    <x v="0"/>
    <x v="3"/>
  </r>
  <r>
    <x v="1880"/>
    <x v="343"/>
    <x v="3"/>
    <x v="2"/>
    <x v="0"/>
    <x v="0"/>
    <x v="0"/>
    <x v="12"/>
    <x v="2"/>
    <x v="0"/>
    <x v="0"/>
    <x v="1249"/>
    <x v="0"/>
    <x v="3"/>
  </r>
  <r>
    <x v="1881"/>
    <x v="343"/>
    <x v="1"/>
    <x v="0"/>
    <x v="0"/>
    <x v="0"/>
    <x v="0"/>
    <x v="1"/>
    <x v="5"/>
    <x v="30"/>
    <x v="6"/>
    <x v="1250"/>
    <x v="1"/>
    <x v="1"/>
  </r>
  <r>
    <x v="1882"/>
    <x v="343"/>
    <x v="4"/>
    <x v="0"/>
    <x v="0"/>
    <x v="1"/>
    <x v="24"/>
    <x v="14"/>
    <x v="2"/>
    <x v="159"/>
    <x v="5"/>
    <x v="1251"/>
    <x v="2"/>
    <x v="4"/>
  </r>
  <r>
    <x v="1883"/>
    <x v="344"/>
    <x v="1"/>
    <x v="1"/>
    <x v="0"/>
    <x v="4"/>
    <x v="12"/>
    <x v="4"/>
    <x v="2"/>
    <x v="72"/>
    <x v="2"/>
    <x v="1252"/>
    <x v="2"/>
    <x v="1"/>
  </r>
  <r>
    <x v="1884"/>
    <x v="345"/>
    <x v="4"/>
    <x v="0"/>
    <x v="0"/>
    <x v="2"/>
    <x v="2"/>
    <x v="10"/>
    <x v="5"/>
    <x v="2"/>
    <x v="2"/>
    <x v="1253"/>
    <x v="2"/>
    <x v="4"/>
  </r>
  <r>
    <x v="1885"/>
    <x v="345"/>
    <x v="3"/>
    <x v="0"/>
    <x v="0"/>
    <x v="2"/>
    <x v="5"/>
    <x v="6"/>
    <x v="1"/>
    <x v="147"/>
    <x v="0"/>
    <x v="1254"/>
    <x v="1"/>
    <x v="3"/>
  </r>
  <r>
    <x v="1886"/>
    <x v="345"/>
    <x v="2"/>
    <x v="0"/>
    <x v="1"/>
    <x v="0"/>
    <x v="10"/>
    <x v="11"/>
    <x v="3"/>
    <x v="17"/>
    <x v="5"/>
    <x v="37"/>
    <x v="1"/>
    <x v="2"/>
  </r>
  <r>
    <x v="1887"/>
    <x v="345"/>
    <x v="4"/>
    <x v="0"/>
    <x v="1"/>
    <x v="2"/>
    <x v="17"/>
    <x v="8"/>
    <x v="5"/>
    <x v="167"/>
    <x v="5"/>
    <x v="1050"/>
    <x v="0"/>
    <x v="4"/>
  </r>
  <r>
    <x v="1888"/>
    <x v="345"/>
    <x v="3"/>
    <x v="2"/>
    <x v="0"/>
    <x v="5"/>
    <x v="21"/>
    <x v="12"/>
    <x v="3"/>
    <x v="108"/>
    <x v="1"/>
    <x v="262"/>
    <x v="0"/>
    <x v="3"/>
  </r>
  <r>
    <x v="1889"/>
    <x v="345"/>
    <x v="3"/>
    <x v="0"/>
    <x v="1"/>
    <x v="3"/>
    <x v="14"/>
    <x v="6"/>
    <x v="3"/>
    <x v="144"/>
    <x v="1"/>
    <x v="1255"/>
    <x v="1"/>
    <x v="3"/>
  </r>
  <r>
    <x v="1890"/>
    <x v="346"/>
    <x v="2"/>
    <x v="3"/>
    <x v="0"/>
    <x v="5"/>
    <x v="15"/>
    <x v="11"/>
    <x v="3"/>
    <x v="20"/>
    <x v="5"/>
    <x v="303"/>
    <x v="1"/>
    <x v="2"/>
  </r>
  <r>
    <x v="1891"/>
    <x v="346"/>
    <x v="3"/>
    <x v="2"/>
    <x v="0"/>
    <x v="0"/>
    <x v="27"/>
    <x v="9"/>
    <x v="2"/>
    <x v="69"/>
    <x v="3"/>
    <x v="1256"/>
    <x v="2"/>
    <x v="3"/>
  </r>
  <r>
    <x v="1892"/>
    <x v="346"/>
    <x v="0"/>
    <x v="2"/>
    <x v="1"/>
    <x v="2"/>
    <x v="9"/>
    <x v="3"/>
    <x v="2"/>
    <x v="122"/>
    <x v="4"/>
    <x v="1257"/>
    <x v="2"/>
    <x v="0"/>
  </r>
  <r>
    <x v="1893"/>
    <x v="346"/>
    <x v="2"/>
    <x v="2"/>
    <x v="0"/>
    <x v="2"/>
    <x v="9"/>
    <x v="11"/>
    <x v="3"/>
    <x v="11"/>
    <x v="6"/>
    <x v="612"/>
    <x v="1"/>
    <x v="2"/>
  </r>
  <r>
    <x v="1894"/>
    <x v="347"/>
    <x v="3"/>
    <x v="0"/>
    <x v="1"/>
    <x v="2"/>
    <x v="9"/>
    <x v="12"/>
    <x v="10"/>
    <x v="10"/>
    <x v="6"/>
    <x v="198"/>
    <x v="0"/>
    <x v="3"/>
  </r>
  <r>
    <x v="1895"/>
    <x v="347"/>
    <x v="2"/>
    <x v="2"/>
    <x v="0"/>
    <x v="2"/>
    <x v="2"/>
    <x v="7"/>
    <x v="5"/>
    <x v="19"/>
    <x v="6"/>
    <x v="1258"/>
    <x v="3"/>
    <x v="2"/>
  </r>
  <r>
    <x v="1896"/>
    <x v="347"/>
    <x v="0"/>
    <x v="2"/>
    <x v="0"/>
    <x v="0"/>
    <x v="27"/>
    <x v="3"/>
    <x v="2"/>
    <x v="69"/>
    <x v="1"/>
    <x v="968"/>
    <x v="2"/>
    <x v="0"/>
  </r>
  <r>
    <x v="1897"/>
    <x v="347"/>
    <x v="3"/>
    <x v="2"/>
    <x v="1"/>
    <x v="5"/>
    <x v="15"/>
    <x v="9"/>
    <x v="0"/>
    <x v="20"/>
    <x v="0"/>
    <x v="1016"/>
    <x v="2"/>
    <x v="3"/>
  </r>
  <r>
    <x v="1898"/>
    <x v="347"/>
    <x v="4"/>
    <x v="1"/>
    <x v="0"/>
    <x v="5"/>
    <x v="18"/>
    <x v="10"/>
    <x v="3"/>
    <x v="27"/>
    <x v="4"/>
    <x v="29"/>
    <x v="2"/>
    <x v="4"/>
  </r>
  <r>
    <x v="1899"/>
    <x v="347"/>
    <x v="1"/>
    <x v="3"/>
    <x v="1"/>
    <x v="1"/>
    <x v="26"/>
    <x v="4"/>
    <x v="4"/>
    <x v="118"/>
    <x v="5"/>
    <x v="1259"/>
    <x v="2"/>
    <x v="1"/>
  </r>
  <r>
    <x v="1900"/>
    <x v="348"/>
    <x v="4"/>
    <x v="2"/>
    <x v="0"/>
    <x v="3"/>
    <x v="13"/>
    <x v="10"/>
    <x v="3"/>
    <x v="15"/>
    <x v="4"/>
    <x v="662"/>
    <x v="2"/>
    <x v="4"/>
  </r>
  <r>
    <x v="1901"/>
    <x v="348"/>
    <x v="0"/>
    <x v="1"/>
    <x v="0"/>
    <x v="3"/>
    <x v="14"/>
    <x v="2"/>
    <x v="3"/>
    <x v="124"/>
    <x v="5"/>
    <x v="741"/>
    <x v="2"/>
    <x v="0"/>
  </r>
  <r>
    <x v="1902"/>
    <x v="348"/>
    <x v="1"/>
    <x v="2"/>
    <x v="0"/>
    <x v="5"/>
    <x v="21"/>
    <x v="4"/>
    <x v="2"/>
    <x v="163"/>
    <x v="5"/>
    <x v="1260"/>
    <x v="2"/>
    <x v="1"/>
  </r>
  <r>
    <x v="1903"/>
    <x v="348"/>
    <x v="3"/>
    <x v="3"/>
    <x v="0"/>
    <x v="3"/>
    <x v="13"/>
    <x v="12"/>
    <x v="3"/>
    <x v="61"/>
    <x v="3"/>
    <x v="347"/>
    <x v="0"/>
    <x v="3"/>
  </r>
  <r>
    <x v="1904"/>
    <x v="348"/>
    <x v="0"/>
    <x v="2"/>
    <x v="0"/>
    <x v="3"/>
    <x v="4"/>
    <x v="0"/>
    <x v="3"/>
    <x v="48"/>
    <x v="2"/>
    <x v="698"/>
    <x v="0"/>
    <x v="0"/>
  </r>
  <r>
    <x v="1905"/>
    <x v="349"/>
    <x v="1"/>
    <x v="2"/>
    <x v="1"/>
    <x v="1"/>
    <x v="26"/>
    <x v="13"/>
    <x v="0"/>
    <x v="135"/>
    <x v="0"/>
    <x v="1261"/>
    <x v="0"/>
    <x v="1"/>
  </r>
  <r>
    <x v="1906"/>
    <x v="349"/>
    <x v="4"/>
    <x v="2"/>
    <x v="0"/>
    <x v="2"/>
    <x v="2"/>
    <x v="10"/>
    <x v="1"/>
    <x v="157"/>
    <x v="5"/>
    <x v="1146"/>
    <x v="2"/>
    <x v="4"/>
  </r>
  <r>
    <x v="1907"/>
    <x v="349"/>
    <x v="4"/>
    <x v="0"/>
    <x v="0"/>
    <x v="0"/>
    <x v="27"/>
    <x v="10"/>
    <x v="4"/>
    <x v="149"/>
    <x v="1"/>
    <x v="1262"/>
    <x v="2"/>
    <x v="4"/>
  </r>
  <r>
    <x v="1908"/>
    <x v="349"/>
    <x v="3"/>
    <x v="2"/>
    <x v="1"/>
    <x v="5"/>
    <x v="15"/>
    <x v="9"/>
    <x v="3"/>
    <x v="25"/>
    <x v="6"/>
    <x v="1122"/>
    <x v="2"/>
    <x v="3"/>
  </r>
  <r>
    <x v="1909"/>
    <x v="349"/>
    <x v="0"/>
    <x v="0"/>
    <x v="0"/>
    <x v="2"/>
    <x v="2"/>
    <x v="2"/>
    <x v="3"/>
    <x v="2"/>
    <x v="5"/>
    <x v="1263"/>
    <x v="2"/>
    <x v="0"/>
  </r>
  <r>
    <x v="1910"/>
    <x v="350"/>
    <x v="4"/>
    <x v="2"/>
    <x v="0"/>
    <x v="4"/>
    <x v="7"/>
    <x v="10"/>
    <x v="0"/>
    <x v="106"/>
    <x v="4"/>
    <x v="997"/>
    <x v="2"/>
    <x v="4"/>
  </r>
  <r>
    <x v="1911"/>
    <x v="350"/>
    <x v="1"/>
    <x v="0"/>
    <x v="1"/>
    <x v="4"/>
    <x v="6"/>
    <x v="13"/>
    <x v="10"/>
    <x v="6"/>
    <x v="6"/>
    <x v="639"/>
    <x v="0"/>
    <x v="1"/>
  </r>
  <r>
    <x v="1912"/>
    <x v="350"/>
    <x v="0"/>
    <x v="3"/>
    <x v="1"/>
    <x v="3"/>
    <x v="13"/>
    <x v="3"/>
    <x v="0"/>
    <x v="61"/>
    <x v="5"/>
    <x v="1264"/>
    <x v="2"/>
    <x v="0"/>
  </r>
  <r>
    <x v="1913"/>
    <x v="350"/>
    <x v="2"/>
    <x v="2"/>
    <x v="0"/>
    <x v="3"/>
    <x v="23"/>
    <x v="5"/>
    <x v="2"/>
    <x v="142"/>
    <x v="3"/>
    <x v="1265"/>
    <x v="1"/>
    <x v="2"/>
  </r>
  <r>
    <x v="1914"/>
    <x v="350"/>
    <x v="3"/>
    <x v="3"/>
    <x v="1"/>
    <x v="3"/>
    <x v="23"/>
    <x v="12"/>
    <x v="0"/>
    <x v="37"/>
    <x v="6"/>
    <x v="141"/>
    <x v="0"/>
    <x v="3"/>
  </r>
  <r>
    <x v="1915"/>
    <x v="350"/>
    <x v="3"/>
    <x v="1"/>
    <x v="1"/>
    <x v="3"/>
    <x v="13"/>
    <x v="9"/>
    <x v="3"/>
    <x v="57"/>
    <x v="2"/>
    <x v="710"/>
    <x v="2"/>
    <x v="3"/>
  </r>
  <r>
    <x v="1916"/>
    <x v="350"/>
    <x v="3"/>
    <x v="3"/>
    <x v="1"/>
    <x v="5"/>
    <x v="16"/>
    <x v="12"/>
    <x v="0"/>
    <x v="67"/>
    <x v="0"/>
    <x v="30"/>
    <x v="0"/>
    <x v="3"/>
  </r>
  <r>
    <x v="1917"/>
    <x v="350"/>
    <x v="4"/>
    <x v="2"/>
    <x v="1"/>
    <x v="0"/>
    <x v="0"/>
    <x v="8"/>
    <x v="5"/>
    <x v="50"/>
    <x v="6"/>
    <x v="677"/>
    <x v="0"/>
    <x v="4"/>
  </r>
  <r>
    <x v="1918"/>
    <x v="351"/>
    <x v="3"/>
    <x v="0"/>
    <x v="0"/>
    <x v="2"/>
    <x v="8"/>
    <x v="12"/>
    <x v="1"/>
    <x v="45"/>
    <x v="0"/>
    <x v="0"/>
    <x v="0"/>
    <x v="3"/>
  </r>
  <r>
    <x v="1919"/>
    <x v="351"/>
    <x v="0"/>
    <x v="0"/>
    <x v="0"/>
    <x v="1"/>
    <x v="22"/>
    <x v="2"/>
    <x v="6"/>
    <x v="126"/>
    <x v="5"/>
    <x v="1266"/>
    <x v="2"/>
    <x v="0"/>
  </r>
  <r>
    <x v="1920"/>
    <x v="351"/>
    <x v="3"/>
    <x v="1"/>
    <x v="0"/>
    <x v="2"/>
    <x v="9"/>
    <x v="9"/>
    <x v="2"/>
    <x v="23"/>
    <x v="0"/>
    <x v="1267"/>
    <x v="2"/>
    <x v="3"/>
  </r>
  <r>
    <x v="1921"/>
    <x v="351"/>
    <x v="3"/>
    <x v="0"/>
    <x v="0"/>
    <x v="0"/>
    <x v="0"/>
    <x v="12"/>
    <x v="5"/>
    <x v="0"/>
    <x v="0"/>
    <x v="578"/>
    <x v="0"/>
    <x v="3"/>
  </r>
  <r>
    <x v="1922"/>
    <x v="351"/>
    <x v="0"/>
    <x v="0"/>
    <x v="0"/>
    <x v="1"/>
    <x v="24"/>
    <x v="2"/>
    <x v="5"/>
    <x v="54"/>
    <x v="4"/>
    <x v="354"/>
    <x v="2"/>
    <x v="0"/>
  </r>
  <r>
    <x v="1923"/>
    <x v="351"/>
    <x v="3"/>
    <x v="1"/>
    <x v="1"/>
    <x v="3"/>
    <x v="4"/>
    <x v="6"/>
    <x v="3"/>
    <x v="62"/>
    <x v="1"/>
    <x v="988"/>
    <x v="1"/>
    <x v="3"/>
  </r>
  <r>
    <x v="1924"/>
    <x v="351"/>
    <x v="1"/>
    <x v="1"/>
    <x v="0"/>
    <x v="2"/>
    <x v="8"/>
    <x v="1"/>
    <x v="5"/>
    <x v="134"/>
    <x v="0"/>
    <x v="1268"/>
    <x v="1"/>
    <x v="1"/>
  </r>
  <r>
    <x v="1925"/>
    <x v="352"/>
    <x v="1"/>
    <x v="0"/>
    <x v="1"/>
    <x v="2"/>
    <x v="3"/>
    <x v="4"/>
    <x v="3"/>
    <x v="123"/>
    <x v="5"/>
    <x v="1269"/>
    <x v="2"/>
    <x v="1"/>
  </r>
  <r>
    <x v="1926"/>
    <x v="352"/>
    <x v="2"/>
    <x v="2"/>
    <x v="0"/>
    <x v="4"/>
    <x v="11"/>
    <x v="11"/>
    <x v="0"/>
    <x v="95"/>
    <x v="0"/>
    <x v="1270"/>
    <x v="1"/>
    <x v="2"/>
  </r>
  <r>
    <x v="1927"/>
    <x v="352"/>
    <x v="1"/>
    <x v="3"/>
    <x v="1"/>
    <x v="3"/>
    <x v="4"/>
    <x v="13"/>
    <x v="0"/>
    <x v="41"/>
    <x v="5"/>
    <x v="634"/>
    <x v="0"/>
    <x v="1"/>
  </r>
  <r>
    <x v="1928"/>
    <x v="352"/>
    <x v="3"/>
    <x v="1"/>
    <x v="0"/>
    <x v="5"/>
    <x v="21"/>
    <x v="12"/>
    <x v="3"/>
    <x v="35"/>
    <x v="0"/>
    <x v="680"/>
    <x v="0"/>
    <x v="3"/>
  </r>
  <r>
    <x v="1929"/>
    <x v="352"/>
    <x v="1"/>
    <x v="0"/>
    <x v="0"/>
    <x v="2"/>
    <x v="17"/>
    <x v="1"/>
    <x v="3"/>
    <x v="24"/>
    <x v="1"/>
    <x v="1271"/>
    <x v="1"/>
    <x v="1"/>
  </r>
  <r>
    <x v="1930"/>
    <x v="352"/>
    <x v="0"/>
    <x v="1"/>
    <x v="1"/>
    <x v="2"/>
    <x v="9"/>
    <x v="2"/>
    <x v="0"/>
    <x v="10"/>
    <x v="5"/>
    <x v="547"/>
    <x v="2"/>
    <x v="0"/>
  </r>
  <r>
    <x v="1931"/>
    <x v="352"/>
    <x v="0"/>
    <x v="0"/>
    <x v="1"/>
    <x v="2"/>
    <x v="3"/>
    <x v="3"/>
    <x v="3"/>
    <x v="94"/>
    <x v="1"/>
    <x v="867"/>
    <x v="2"/>
    <x v="0"/>
  </r>
  <r>
    <x v="1932"/>
    <x v="352"/>
    <x v="3"/>
    <x v="3"/>
    <x v="0"/>
    <x v="3"/>
    <x v="14"/>
    <x v="6"/>
    <x v="3"/>
    <x v="18"/>
    <x v="5"/>
    <x v="622"/>
    <x v="1"/>
    <x v="3"/>
  </r>
  <r>
    <x v="1933"/>
    <x v="352"/>
    <x v="1"/>
    <x v="0"/>
    <x v="0"/>
    <x v="2"/>
    <x v="5"/>
    <x v="4"/>
    <x v="4"/>
    <x v="29"/>
    <x v="4"/>
    <x v="1089"/>
    <x v="2"/>
    <x v="1"/>
  </r>
  <r>
    <x v="1934"/>
    <x v="352"/>
    <x v="0"/>
    <x v="3"/>
    <x v="0"/>
    <x v="4"/>
    <x v="11"/>
    <x v="3"/>
    <x v="10"/>
    <x v="130"/>
    <x v="2"/>
    <x v="1272"/>
    <x v="2"/>
    <x v="0"/>
  </r>
  <r>
    <x v="1935"/>
    <x v="352"/>
    <x v="3"/>
    <x v="0"/>
    <x v="1"/>
    <x v="1"/>
    <x v="22"/>
    <x v="9"/>
    <x v="2"/>
    <x v="156"/>
    <x v="0"/>
    <x v="1273"/>
    <x v="2"/>
    <x v="3"/>
  </r>
  <r>
    <x v="1936"/>
    <x v="352"/>
    <x v="2"/>
    <x v="0"/>
    <x v="1"/>
    <x v="2"/>
    <x v="17"/>
    <x v="7"/>
    <x v="2"/>
    <x v="24"/>
    <x v="0"/>
    <x v="353"/>
    <x v="3"/>
    <x v="2"/>
  </r>
  <r>
    <x v="1937"/>
    <x v="352"/>
    <x v="3"/>
    <x v="0"/>
    <x v="0"/>
    <x v="5"/>
    <x v="18"/>
    <x v="12"/>
    <x v="3"/>
    <x v="153"/>
    <x v="1"/>
    <x v="190"/>
    <x v="0"/>
    <x v="3"/>
  </r>
  <r>
    <x v="1938"/>
    <x v="353"/>
    <x v="3"/>
    <x v="2"/>
    <x v="0"/>
    <x v="3"/>
    <x v="4"/>
    <x v="6"/>
    <x v="3"/>
    <x v="48"/>
    <x v="4"/>
    <x v="1274"/>
    <x v="1"/>
    <x v="3"/>
  </r>
  <r>
    <x v="1939"/>
    <x v="353"/>
    <x v="0"/>
    <x v="0"/>
    <x v="1"/>
    <x v="2"/>
    <x v="9"/>
    <x v="3"/>
    <x v="2"/>
    <x v="10"/>
    <x v="1"/>
    <x v="183"/>
    <x v="2"/>
    <x v="0"/>
  </r>
  <r>
    <x v="1940"/>
    <x v="353"/>
    <x v="4"/>
    <x v="0"/>
    <x v="0"/>
    <x v="5"/>
    <x v="25"/>
    <x v="10"/>
    <x v="3"/>
    <x v="101"/>
    <x v="0"/>
    <x v="377"/>
    <x v="2"/>
    <x v="4"/>
  </r>
  <r>
    <x v="1941"/>
    <x v="354"/>
    <x v="1"/>
    <x v="1"/>
    <x v="0"/>
    <x v="2"/>
    <x v="8"/>
    <x v="13"/>
    <x v="3"/>
    <x v="45"/>
    <x v="0"/>
    <x v="797"/>
    <x v="0"/>
    <x v="1"/>
  </r>
  <r>
    <x v="1942"/>
    <x v="354"/>
    <x v="0"/>
    <x v="0"/>
    <x v="0"/>
    <x v="3"/>
    <x v="13"/>
    <x v="2"/>
    <x v="3"/>
    <x v="61"/>
    <x v="4"/>
    <x v="961"/>
    <x v="2"/>
    <x v="0"/>
  </r>
  <r>
    <x v="1943"/>
    <x v="354"/>
    <x v="0"/>
    <x v="2"/>
    <x v="1"/>
    <x v="2"/>
    <x v="5"/>
    <x v="3"/>
    <x v="2"/>
    <x v="5"/>
    <x v="2"/>
    <x v="792"/>
    <x v="2"/>
    <x v="0"/>
  </r>
  <r>
    <x v="1944"/>
    <x v="354"/>
    <x v="4"/>
    <x v="2"/>
    <x v="1"/>
    <x v="2"/>
    <x v="9"/>
    <x v="10"/>
    <x v="0"/>
    <x v="86"/>
    <x v="2"/>
    <x v="1275"/>
    <x v="2"/>
    <x v="4"/>
  </r>
  <r>
    <x v="1945"/>
    <x v="354"/>
    <x v="2"/>
    <x v="0"/>
    <x v="1"/>
    <x v="2"/>
    <x v="3"/>
    <x v="7"/>
    <x v="2"/>
    <x v="132"/>
    <x v="6"/>
    <x v="36"/>
    <x v="3"/>
    <x v="2"/>
  </r>
  <r>
    <x v="1946"/>
    <x v="354"/>
    <x v="0"/>
    <x v="1"/>
    <x v="0"/>
    <x v="1"/>
    <x v="26"/>
    <x v="0"/>
    <x v="0"/>
    <x v="138"/>
    <x v="5"/>
    <x v="556"/>
    <x v="0"/>
    <x v="0"/>
  </r>
  <r>
    <x v="1947"/>
    <x v="355"/>
    <x v="2"/>
    <x v="2"/>
    <x v="0"/>
    <x v="5"/>
    <x v="25"/>
    <x v="5"/>
    <x v="3"/>
    <x v="165"/>
    <x v="1"/>
    <x v="811"/>
    <x v="1"/>
    <x v="2"/>
  </r>
  <r>
    <x v="1948"/>
    <x v="355"/>
    <x v="3"/>
    <x v="0"/>
    <x v="0"/>
    <x v="3"/>
    <x v="13"/>
    <x v="6"/>
    <x v="3"/>
    <x v="15"/>
    <x v="1"/>
    <x v="815"/>
    <x v="1"/>
    <x v="3"/>
  </r>
  <r>
    <x v="1949"/>
    <x v="355"/>
    <x v="4"/>
    <x v="3"/>
    <x v="0"/>
    <x v="4"/>
    <x v="6"/>
    <x v="8"/>
    <x v="6"/>
    <x v="110"/>
    <x v="0"/>
    <x v="1276"/>
    <x v="0"/>
    <x v="4"/>
  </r>
  <r>
    <x v="1950"/>
    <x v="355"/>
    <x v="3"/>
    <x v="2"/>
    <x v="0"/>
    <x v="5"/>
    <x v="15"/>
    <x v="12"/>
    <x v="3"/>
    <x v="20"/>
    <x v="6"/>
    <x v="246"/>
    <x v="0"/>
    <x v="3"/>
  </r>
  <r>
    <x v="1951"/>
    <x v="355"/>
    <x v="0"/>
    <x v="2"/>
    <x v="1"/>
    <x v="4"/>
    <x v="6"/>
    <x v="3"/>
    <x v="1"/>
    <x v="6"/>
    <x v="5"/>
    <x v="1277"/>
    <x v="2"/>
    <x v="0"/>
  </r>
  <r>
    <x v="1952"/>
    <x v="356"/>
    <x v="2"/>
    <x v="2"/>
    <x v="0"/>
    <x v="2"/>
    <x v="5"/>
    <x v="11"/>
    <x v="3"/>
    <x v="33"/>
    <x v="2"/>
    <x v="278"/>
    <x v="1"/>
    <x v="2"/>
  </r>
  <r>
    <x v="1953"/>
    <x v="356"/>
    <x v="1"/>
    <x v="3"/>
    <x v="0"/>
    <x v="5"/>
    <x v="18"/>
    <x v="4"/>
    <x v="3"/>
    <x v="139"/>
    <x v="1"/>
    <x v="341"/>
    <x v="2"/>
    <x v="1"/>
  </r>
  <r>
    <x v="1954"/>
    <x v="356"/>
    <x v="1"/>
    <x v="1"/>
    <x v="0"/>
    <x v="3"/>
    <x v="4"/>
    <x v="4"/>
    <x v="0"/>
    <x v="62"/>
    <x v="5"/>
    <x v="789"/>
    <x v="2"/>
    <x v="1"/>
  </r>
  <r>
    <x v="1955"/>
    <x v="356"/>
    <x v="0"/>
    <x v="2"/>
    <x v="0"/>
    <x v="5"/>
    <x v="18"/>
    <x v="0"/>
    <x v="3"/>
    <x v="74"/>
    <x v="1"/>
    <x v="888"/>
    <x v="0"/>
    <x v="0"/>
  </r>
  <r>
    <x v="1956"/>
    <x v="357"/>
    <x v="4"/>
    <x v="2"/>
    <x v="1"/>
    <x v="5"/>
    <x v="18"/>
    <x v="8"/>
    <x v="3"/>
    <x v="74"/>
    <x v="0"/>
    <x v="769"/>
    <x v="0"/>
    <x v="4"/>
  </r>
  <r>
    <x v="1957"/>
    <x v="357"/>
    <x v="1"/>
    <x v="0"/>
    <x v="1"/>
    <x v="0"/>
    <x v="19"/>
    <x v="1"/>
    <x v="5"/>
    <x v="52"/>
    <x v="6"/>
    <x v="794"/>
    <x v="1"/>
    <x v="1"/>
  </r>
  <r>
    <x v="1958"/>
    <x v="357"/>
    <x v="3"/>
    <x v="0"/>
    <x v="1"/>
    <x v="3"/>
    <x v="4"/>
    <x v="9"/>
    <x v="3"/>
    <x v="41"/>
    <x v="1"/>
    <x v="380"/>
    <x v="2"/>
    <x v="3"/>
  </r>
  <r>
    <x v="1959"/>
    <x v="357"/>
    <x v="3"/>
    <x v="1"/>
    <x v="0"/>
    <x v="5"/>
    <x v="15"/>
    <x v="9"/>
    <x v="3"/>
    <x v="164"/>
    <x v="5"/>
    <x v="1278"/>
    <x v="2"/>
    <x v="3"/>
  </r>
  <r>
    <x v="1960"/>
    <x v="357"/>
    <x v="3"/>
    <x v="0"/>
    <x v="1"/>
    <x v="1"/>
    <x v="24"/>
    <x v="9"/>
    <x v="3"/>
    <x v="79"/>
    <x v="4"/>
    <x v="1279"/>
    <x v="2"/>
    <x v="3"/>
  </r>
  <r>
    <x v="1961"/>
    <x v="357"/>
    <x v="1"/>
    <x v="2"/>
    <x v="1"/>
    <x v="0"/>
    <x v="10"/>
    <x v="13"/>
    <x v="3"/>
    <x v="17"/>
    <x v="0"/>
    <x v="156"/>
    <x v="0"/>
    <x v="1"/>
  </r>
  <r>
    <x v="1962"/>
    <x v="357"/>
    <x v="0"/>
    <x v="0"/>
    <x v="0"/>
    <x v="5"/>
    <x v="15"/>
    <x v="2"/>
    <x v="3"/>
    <x v="42"/>
    <x v="2"/>
    <x v="1280"/>
    <x v="2"/>
    <x v="0"/>
  </r>
  <r>
    <x v="1963"/>
    <x v="357"/>
    <x v="1"/>
    <x v="1"/>
    <x v="0"/>
    <x v="2"/>
    <x v="9"/>
    <x v="1"/>
    <x v="2"/>
    <x v="11"/>
    <x v="5"/>
    <x v="1281"/>
    <x v="1"/>
    <x v="1"/>
  </r>
  <r>
    <x v="1964"/>
    <x v="357"/>
    <x v="1"/>
    <x v="2"/>
    <x v="0"/>
    <x v="1"/>
    <x v="1"/>
    <x v="1"/>
    <x v="0"/>
    <x v="58"/>
    <x v="1"/>
    <x v="1282"/>
    <x v="1"/>
    <x v="1"/>
  </r>
  <r>
    <x v="1965"/>
    <x v="357"/>
    <x v="1"/>
    <x v="0"/>
    <x v="1"/>
    <x v="3"/>
    <x v="23"/>
    <x v="4"/>
    <x v="0"/>
    <x v="145"/>
    <x v="5"/>
    <x v="1283"/>
    <x v="2"/>
    <x v="1"/>
  </r>
  <r>
    <x v="1966"/>
    <x v="357"/>
    <x v="4"/>
    <x v="2"/>
    <x v="1"/>
    <x v="5"/>
    <x v="18"/>
    <x v="14"/>
    <x v="3"/>
    <x v="27"/>
    <x v="2"/>
    <x v="1284"/>
    <x v="2"/>
    <x v="4"/>
  </r>
  <r>
    <x v="1967"/>
    <x v="357"/>
    <x v="3"/>
    <x v="2"/>
    <x v="0"/>
    <x v="1"/>
    <x v="22"/>
    <x v="6"/>
    <x v="5"/>
    <x v="156"/>
    <x v="1"/>
    <x v="1285"/>
    <x v="1"/>
    <x v="3"/>
  </r>
  <r>
    <x v="1968"/>
    <x v="357"/>
    <x v="1"/>
    <x v="3"/>
    <x v="1"/>
    <x v="3"/>
    <x v="14"/>
    <x v="1"/>
    <x v="0"/>
    <x v="151"/>
    <x v="3"/>
    <x v="473"/>
    <x v="1"/>
    <x v="1"/>
  </r>
  <r>
    <x v="1969"/>
    <x v="357"/>
    <x v="1"/>
    <x v="0"/>
    <x v="0"/>
    <x v="1"/>
    <x v="1"/>
    <x v="13"/>
    <x v="5"/>
    <x v="127"/>
    <x v="5"/>
    <x v="1286"/>
    <x v="0"/>
    <x v="1"/>
  </r>
  <r>
    <x v="1970"/>
    <x v="357"/>
    <x v="4"/>
    <x v="0"/>
    <x v="0"/>
    <x v="3"/>
    <x v="14"/>
    <x v="14"/>
    <x v="0"/>
    <x v="18"/>
    <x v="4"/>
    <x v="1287"/>
    <x v="2"/>
    <x v="4"/>
  </r>
  <r>
    <x v="1971"/>
    <x v="357"/>
    <x v="1"/>
    <x v="2"/>
    <x v="1"/>
    <x v="1"/>
    <x v="24"/>
    <x v="13"/>
    <x v="2"/>
    <x v="54"/>
    <x v="0"/>
    <x v="864"/>
    <x v="0"/>
    <x v="1"/>
  </r>
  <r>
    <x v="1972"/>
    <x v="357"/>
    <x v="0"/>
    <x v="1"/>
    <x v="0"/>
    <x v="5"/>
    <x v="16"/>
    <x v="3"/>
    <x v="2"/>
    <x v="21"/>
    <x v="2"/>
    <x v="1288"/>
    <x v="2"/>
    <x v="0"/>
  </r>
  <r>
    <x v="1973"/>
    <x v="358"/>
    <x v="1"/>
    <x v="2"/>
    <x v="0"/>
    <x v="1"/>
    <x v="1"/>
    <x v="13"/>
    <x v="5"/>
    <x v="154"/>
    <x v="5"/>
    <x v="1289"/>
    <x v="0"/>
    <x v="1"/>
  </r>
  <r>
    <x v="1974"/>
    <x v="358"/>
    <x v="0"/>
    <x v="2"/>
    <x v="0"/>
    <x v="0"/>
    <x v="10"/>
    <x v="0"/>
    <x v="5"/>
    <x v="17"/>
    <x v="5"/>
    <x v="18"/>
    <x v="0"/>
    <x v="0"/>
  </r>
  <r>
    <x v="1975"/>
    <x v="358"/>
    <x v="2"/>
    <x v="3"/>
    <x v="0"/>
    <x v="5"/>
    <x v="25"/>
    <x v="7"/>
    <x v="3"/>
    <x v="101"/>
    <x v="0"/>
    <x v="377"/>
    <x v="3"/>
    <x v="2"/>
  </r>
  <r>
    <x v="1976"/>
    <x v="358"/>
    <x v="0"/>
    <x v="3"/>
    <x v="0"/>
    <x v="3"/>
    <x v="13"/>
    <x v="2"/>
    <x v="3"/>
    <x v="53"/>
    <x v="1"/>
    <x v="977"/>
    <x v="2"/>
    <x v="0"/>
  </r>
  <r>
    <x v="1977"/>
    <x v="358"/>
    <x v="2"/>
    <x v="2"/>
    <x v="0"/>
    <x v="2"/>
    <x v="8"/>
    <x v="11"/>
    <x v="0"/>
    <x v="99"/>
    <x v="1"/>
    <x v="654"/>
    <x v="1"/>
    <x v="2"/>
  </r>
  <r>
    <x v="1978"/>
    <x v="359"/>
    <x v="4"/>
    <x v="2"/>
    <x v="0"/>
    <x v="5"/>
    <x v="25"/>
    <x v="10"/>
    <x v="0"/>
    <x v="51"/>
    <x v="5"/>
    <x v="1118"/>
    <x v="2"/>
    <x v="4"/>
  </r>
  <r>
    <x v="1979"/>
    <x v="359"/>
    <x v="1"/>
    <x v="2"/>
    <x v="0"/>
    <x v="3"/>
    <x v="23"/>
    <x v="4"/>
    <x v="5"/>
    <x v="131"/>
    <x v="5"/>
    <x v="1290"/>
    <x v="2"/>
    <x v="1"/>
  </r>
  <r>
    <x v="1980"/>
    <x v="359"/>
    <x v="0"/>
    <x v="3"/>
    <x v="0"/>
    <x v="5"/>
    <x v="16"/>
    <x v="3"/>
    <x v="3"/>
    <x v="67"/>
    <x v="1"/>
    <x v="345"/>
    <x v="2"/>
    <x v="0"/>
  </r>
  <r>
    <x v="1981"/>
    <x v="359"/>
    <x v="0"/>
    <x v="3"/>
    <x v="1"/>
    <x v="5"/>
    <x v="18"/>
    <x v="3"/>
    <x v="3"/>
    <x v="75"/>
    <x v="5"/>
    <x v="1291"/>
    <x v="2"/>
    <x v="0"/>
  </r>
  <r>
    <x v="1982"/>
    <x v="359"/>
    <x v="2"/>
    <x v="3"/>
    <x v="0"/>
    <x v="5"/>
    <x v="21"/>
    <x v="7"/>
    <x v="3"/>
    <x v="35"/>
    <x v="6"/>
    <x v="138"/>
    <x v="3"/>
    <x v="2"/>
  </r>
  <r>
    <x v="1983"/>
    <x v="359"/>
    <x v="3"/>
    <x v="0"/>
    <x v="0"/>
    <x v="5"/>
    <x v="25"/>
    <x v="6"/>
    <x v="0"/>
    <x v="101"/>
    <x v="1"/>
    <x v="1292"/>
    <x v="1"/>
    <x v="3"/>
  </r>
  <r>
    <x v="1984"/>
    <x v="359"/>
    <x v="1"/>
    <x v="3"/>
    <x v="0"/>
    <x v="4"/>
    <x v="6"/>
    <x v="4"/>
    <x v="2"/>
    <x v="6"/>
    <x v="3"/>
    <x v="758"/>
    <x v="2"/>
    <x v="1"/>
  </r>
  <r>
    <x v="1985"/>
    <x v="360"/>
    <x v="0"/>
    <x v="2"/>
    <x v="0"/>
    <x v="2"/>
    <x v="9"/>
    <x v="2"/>
    <x v="4"/>
    <x v="11"/>
    <x v="6"/>
    <x v="1293"/>
    <x v="2"/>
    <x v="0"/>
  </r>
  <r>
    <x v="1986"/>
    <x v="360"/>
    <x v="0"/>
    <x v="0"/>
    <x v="1"/>
    <x v="0"/>
    <x v="27"/>
    <x v="3"/>
    <x v="5"/>
    <x v="85"/>
    <x v="6"/>
    <x v="1294"/>
    <x v="2"/>
    <x v="0"/>
  </r>
  <r>
    <x v="1987"/>
    <x v="360"/>
    <x v="3"/>
    <x v="0"/>
    <x v="1"/>
    <x v="2"/>
    <x v="9"/>
    <x v="9"/>
    <x v="2"/>
    <x v="10"/>
    <x v="6"/>
    <x v="255"/>
    <x v="2"/>
    <x v="3"/>
  </r>
  <r>
    <x v="1988"/>
    <x v="360"/>
    <x v="1"/>
    <x v="0"/>
    <x v="0"/>
    <x v="2"/>
    <x v="17"/>
    <x v="13"/>
    <x v="4"/>
    <x v="93"/>
    <x v="1"/>
    <x v="1295"/>
    <x v="0"/>
    <x v="1"/>
  </r>
  <r>
    <x v="1989"/>
    <x v="361"/>
    <x v="2"/>
    <x v="3"/>
    <x v="1"/>
    <x v="5"/>
    <x v="25"/>
    <x v="7"/>
    <x v="3"/>
    <x v="101"/>
    <x v="5"/>
    <x v="177"/>
    <x v="3"/>
    <x v="2"/>
  </r>
  <r>
    <x v="1990"/>
    <x v="361"/>
    <x v="0"/>
    <x v="0"/>
    <x v="0"/>
    <x v="0"/>
    <x v="27"/>
    <x v="2"/>
    <x v="2"/>
    <x v="128"/>
    <x v="5"/>
    <x v="1296"/>
    <x v="2"/>
    <x v="0"/>
  </r>
  <r>
    <x v="1991"/>
    <x v="361"/>
    <x v="4"/>
    <x v="0"/>
    <x v="1"/>
    <x v="2"/>
    <x v="9"/>
    <x v="10"/>
    <x v="5"/>
    <x v="10"/>
    <x v="1"/>
    <x v="1297"/>
    <x v="2"/>
    <x v="4"/>
  </r>
  <r>
    <x v="1992"/>
    <x v="361"/>
    <x v="3"/>
    <x v="1"/>
    <x v="0"/>
    <x v="4"/>
    <x v="12"/>
    <x v="12"/>
    <x v="3"/>
    <x v="121"/>
    <x v="1"/>
    <x v="1298"/>
    <x v="0"/>
    <x v="3"/>
  </r>
  <r>
    <x v="1993"/>
    <x v="361"/>
    <x v="0"/>
    <x v="0"/>
    <x v="0"/>
    <x v="5"/>
    <x v="15"/>
    <x v="2"/>
    <x v="3"/>
    <x v="20"/>
    <x v="5"/>
    <x v="303"/>
    <x v="2"/>
    <x v="0"/>
  </r>
  <r>
    <x v="1994"/>
    <x v="362"/>
    <x v="2"/>
    <x v="2"/>
    <x v="1"/>
    <x v="0"/>
    <x v="19"/>
    <x v="11"/>
    <x v="3"/>
    <x v="161"/>
    <x v="5"/>
    <x v="1299"/>
    <x v="1"/>
    <x v="2"/>
  </r>
  <r>
    <x v="1995"/>
    <x v="362"/>
    <x v="2"/>
    <x v="2"/>
    <x v="0"/>
    <x v="1"/>
    <x v="1"/>
    <x v="5"/>
    <x v="0"/>
    <x v="127"/>
    <x v="6"/>
    <x v="1225"/>
    <x v="1"/>
    <x v="2"/>
  </r>
  <r>
    <x v="1996"/>
    <x v="362"/>
    <x v="0"/>
    <x v="0"/>
    <x v="0"/>
    <x v="1"/>
    <x v="24"/>
    <x v="3"/>
    <x v="3"/>
    <x v="54"/>
    <x v="6"/>
    <x v="355"/>
    <x v="2"/>
    <x v="0"/>
  </r>
  <r>
    <x v="1997"/>
    <x v="362"/>
    <x v="1"/>
    <x v="1"/>
    <x v="1"/>
    <x v="0"/>
    <x v="19"/>
    <x v="1"/>
    <x v="2"/>
    <x v="28"/>
    <x v="1"/>
    <x v="272"/>
    <x v="1"/>
    <x v="1"/>
  </r>
  <r>
    <x v="1998"/>
    <x v="362"/>
    <x v="4"/>
    <x v="0"/>
    <x v="1"/>
    <x v="2"/>
    <x v="17"/>
    <x v="14"/>
    <x v="2"/>
    <x v="93"/>
    <x v="1"/>
    <x v="1300"/>
    <x v="2"/>
    <x v="4"/>
  </r>
  <r>
    <x v="1999"/>
    <x v="362"/>
    <x v="0"/>
    <x v="0"/>
    <x v="0"/>
    <x v="0"/>
    <x v="0"/>
    <x v="2"/>
    <x v="3"/>
    <x v="26"/>
    <x v="6"/>
    <x v="130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19101-A350-4F48-A000-344898B690A0}" name="PivotTable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3:I9"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6">
        <item x="4"/>
        <item x="0"/>
        <item x="3"/>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Revenue" fld="11" baseField="0" baseItem="0"/>
  </dataFields>
  <formats count="1">
    <format dxfId="81">
      <pivotArea collapsedLevelsAreSubtotals="1"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01D09-9A68-4F12-BA3D-AC7A121D8997}"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367"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axis="axisRow" showAll="0" sortType="descending">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64">
    <i>
      <x v="5"/>
    </i>
    <i>
      <x v="62"/>
    </i>
    <i>
      <x v="345"/>
    </i>
    <i>
      <x v="3"/>
    </i>
    <i>
      <x v="188"/>
    </i>
    <i>
      <x v="184"/>
    </i>
    <i>
      <x v="247"/>
    </i>
    <i>
      <x v="259"/>
    </i>
    <i>
      <x v="316"/>
    </i>
    <i>
      <x v="131"/>
    </i>
    <i>
      <x v="164"/>
    </i>
    <i>
      <x v="139"/>
    </i>
    <i>
      <x v="193"/>
    </i>
    <i>
      <x v="187"/>
    </i>
    <i>
      <x v="27"/>
    </i>
    <i>
      <x v="147"/>
    </i>
    <i>
      <x v="291"/>
    </i>
    <i>
      <x v="326"/>
    </i>
    <i>
      <x v="165"/>
    </i>
    <i>
      <x v="201"/>
    </i>
    <i>
      <x v="289"/>
    </i>
    <i>
      <x v="331"/>
    </i>
    <i>
      <x v="286"/>
    </i>
    <i>
      <x v="354"/>
    </i>
    <i>
      <x v="194"/>
    </i>
    <i>
      <x v="223"/>
    </i>
    <i>
      <x v="242"/>
    </i>
    <i>
      <x v="56"/>
    </i>
    <i>
      <x v="122"/>
    </i>
    <i>
      <x v="10"/>
    </i>
    <i>
      <x v="343"/>
    </i>
    <i>
      <x v="32"/>
    </i>
    <i>
      <x v="235"/>
    </i>
    <i>
      <x v="104"/>
    </i>
    <i>
      <x v="111"/>
    </i>
    <i>
      <x v="263"/>
    </i>
    <i>
      <x v="105"/>
    </i>
    <i>
      <x v="136"/>
    </i>
    <i>
      <x v="319"/>
    </i>
    <i>
      <x v="61"/>
    </i>
    <i>
      <x v="279"/>
    </i>
    <i>
      <x v="262"/>
    </i>
    <i>
      <x v="293"/>
    </i>
    <i>
      <x v="189"/>
    </i>
    <i>
      <x v="298"/>
    </i>
    <i>
      <x v="296"/>
    </i>
    <i>
      <x v="93"/>
    </i>
    <i>
      <x v="294"/>
    </i>
    <i>
      <x v="340"/>
    </i>
    <i>
      <x v="243"/>
    </i>
    <i>
      <x v="15"/>
    </i>
    <i>
      <x v="327"/>
    </i>
    <i>
      <x v="134"/>
    </i>
    <i>
      <x v="192"/>
    </i>
    <i>
      <x v="72"/>
    </i>
    <i>
      <x v="253"/>
    </i>
    <i>
      <x v="204"/>
    </i>
    <i>
      <x v="206"/>
    </i>
    <i>
      <x v="358"/>
    </i>
    <i>
      <x v="213"/>
    </i>
    <i>
      <x v="7"/>
    </i>
    <i>
      <x v="68"/>
    </i>
    <i>
      <x v="212"/>
    </i>
    <i>
      <x v="108"/>
    </i>
    <i>
      <x v="320"/>
    </i>
    <i>
      <x v="85"/>
    </i>
    <i>
      <x v="65"/>
    </i>
    <i>
      <x v="118"/>
    </i>
    <i>
      <x v="120"/>
    </i>
    <i>
      <x v="344"/>
    </i>
    <i>
      <x v="167"/>
    </i>
    <i>
      <x v="335"/>
    </i>
    <i>
      <x v="42"/>
    </i>
    <i>
      <x v="50"/>
    </i>
    <i>
      <x v="169"/>
    </i>
    <i>
      <x v="132"/>
    </i>
    <i>
      <x v="185"/>
    </i>
    <i>
      <x v="251"/>
    </i>
    <i>
      <x v="299"/>
    </i>
    <i>
      <x v="53"/>
    </i>
    <i>
      <x v="115"/>
    </i>
    <i>
      <x v="116"/>
    </i>
    <i>
      <x v="112"/>
    </i>
    <i>
      <x v="46"/>
    </i>
    <i>
      <x v="324"/>
    </i>
    <i>
      <x v="14"/>
    </i>
    <i>
      <x v="1"/>
    </i>
    <i>
      <x v="283"/>
    </i>
    <i>
      <x v="355"/>
    </i>
    <i>
      <x v="159"/>
    </i>
    <i>
      <x v="63"/>
    </i>
    <i>
      <x v="359"/>
    </i>
    <i>
      <x v="305"/>
    </i>
    <i>
      <x v="225"/>
    </i>
    <i>
      <x v="172"/>
    </i>
    <i>
      <x v="6"/>
    </i>
    <i>
      <x v="129"/>
    </i>
    <i>
      <x v="23"/>
    </i>
    <i>
      <x v="144"/>
    </i>
    <i>
      <x v="12"/>
    </i>
    <i>
      <x v="74"/>
    </i>
    <i>
      <x v="246"/>
    </i>
    <i>
      <x v="66"/>
    </i>
    <i>
      <x v="208"/>
    </i>
    <i>
      <x v="268"/>
    </i>
    <i>
      <x v="40"/>
    </i>
    <i>
      <x v="264"/>
    </i>
    <i>
      <x v="310"/>
    </i>
    <i>
      <x v="198"/>
    </i>
    <i>
      <x v="282"/>
    </i>
    <i>
      <x v="45"/>
    </i>
    <i>
      <x v="228"/>
    </i>
    <i>
      <x v="171"/>
    </i>
    <i>
      <x v="338"/>
    </i>
    <i>
      <x v="143"/>
    </i>
    <i>
      <x v="51"/>
    </i>
    <i>
      <x v="127"/>
    </i>
    <i>
      <x v="133"/>
    </i>
    <i>
      <x v="67"/>
    </i>
    <i>
      <x v="304"/>
    </i>
    <i>
      <x v="302"/>
    </i>
    <i>
      <x v="277"/>
    </i>
    <i>
      <x v="195"/>
    </i>
    <i>
      <x v="256"/>
    </i>
    <i>
      <x v="274"/>
    </i>
    <i>
      <x v="179"/>
    </i>
    <i>
      <x v="300"/>
    </i>
    <i>
      <x v="278"/>
    </i>
    <i>
      <x v="154"/>
    </i>
    <i>
      <x v="351"/>
    </i>
    <i>
      <x v="161"/>
    </i>
    <i>
      <x v="226"/>
    </i>
    <i>
      <x v="224"/>
    </i>
    <i>
      <x v="323"/>
    </i>
    <i>
      <x v="77"/>
    </i>
    <i>
      <x v="57"/>
    </i>
    <i>
      <x v="317"/>
    </i>
    <i>
      <x v="342"/>
    </i>
    <i>
      <x v="97"/>
    </i>
    <i>
      <x v="152"/>
    </i>
    <i>
      <x v="43"/>
    </i>
    <i>
      <x v="98"/>
    </i>
    <i>
      <x v="249"/>
    </i>
    <i>
      <x v="216"/>
    </i>
    <i>
      <x v="205"/>
    </i>
    <i>
      <x v="47"/>
    </i>
    <i>
      <x v="34"/>
    </i>
    <i>
      <x v="82"/>
    </i>
    <i>
      <x v="71"/>
    </i>
    <i>
      <x v="238"/>
    </i>
    <i>
      <x v="229"/>
    </i>
    <i>
      <x v="284"/>
    </i>
    <i>
      <x v="117"/>
    </i>
    <i>
      <x v="55"/>
    </i>
    <i>
      <x v="13"/>
    </i>
    <i>
      <x v="236"/>
    </i>
    <i>
      <x v="146"/>
    </i>
    <i>
      <x v="101"/>
    </i>
    <i>
      <x v="254"/>
    </i>
    <i>
      <x v="22"/>
    </i>
    <i>
      <x v="248"/>
    </i>
    <i>
      <x v="20"/>
    </i>
    <i>
      <x v="178"/>
    </i>
    <i>
      <x v="209"/>
    </i>
    <i>
      <x v="301"/>
    </i>
    <i>
      <x v="176"/>
    </i>
    <i>
      <x v="267"/>
    </i>
    <i>
      <x v="244"/>
    </i>
    <i>
      <x v="322"/>
    </i>
    <i>
      <x v="303"/>
    </i>
    <i>
      <x v="260"/>
    </i>
    <i>
      <x v="141"/>
    </i>
    <i>
      <x v="182"/>
    </i>
    <i>
      <x v="255"/>
    </i>
    <i>
      <x v="17"/>
    </i>
    <i>
      <x v="75"/>
    </i>
    <i>
      <x v="16"/>
    </i>
    <i>
      <x v="232"/>
    </i>
    <i>
      <x v="35"/>
    </i>
    <i>
      <x v="318"/>
    </i>
    <i>
      <x v="26"/>
    </i>
    <i>
      <x v="21"/>
    </i>
    <i>
      <x v="346"/>
    </i>
    <i>
      <x v="151"/>
    </i>
    <i>
      <x v="347"/>
    </i>
    <i>
      <x v="272"/>
    </i>
    <i>
      <x v="197"/>
    </i>
    <i>
      <x v="233"/>
    </i>
    <i>
      <x v="261"/>
    </i>
    <i>
      <x v="37"/>
    </i>
    <i>
      <x v="341"/>
    </i>
    <i>
      <x v="119"/>
    </i>
    <i>
      <x v="79"/>
    </i>
    <i>
      <x v="106"/>
    </i>
    <i>
      <x v="29"/>
    </i>
    <i>
      <x v="292"/>
    </i>
    <i>
      <x v="196"/>
    </i>
    <i>
      <x v="170"/>
    </i>
    <i>
      <x v="99"/>
    </i>
    <i>
      <x v="81"/>
    </i>
    <i>
      <x v="280"/>
    </i>
    <i>
      <x v="361"/>
    </i>
    <i>
      <x v="156"/>
    </i>
    <i>
      <x v="142"/>
    </i>
    <i>
      <x v="145"/>
    </i>
    <i>
      <x v="113"/>
    </i>
    <i>
      <x v="84"/>
    </i>
    <i>
      <x v="227"/>
    </i>
    <i>
      <x v="9"/>
    </i>
    <i>
      <x v="352"/>
    </i>
    <i>
      <x v="90"/>
    </i>
    <i>
      <x v="202"/>
    </i>
    <i>
      <x v="4"/>
    </i>
    <i>
      <x v="186"/>
    </i>
    <i>
      <x v="315"/>
    </i>
    <i>
      <x v="276"/>
    </i>
    <i>
      <x v="59"/>
    </i>
    <i>
      <x v="110"/>
    </i>
    <i>
      <x v="48"/>
    </i>
    <i>
      <x v="83"/>
    </i>
    <i>
      <x v="285"/>
    </i>
    <i>
      <x v="295"/>
    </i>
    <i>
      <x v="49"/>
    </i>
    <i>
      <x v="94"/>
    </i>
    <i>
      <x v="207"/>
    </i>
    <i>
      <x v="70"/>
    </i>
    <i>
      <x v="100"/>
    </i>
    <i>
      <x v="121"/>
    </i>
    <i>
      <x v="92"/>
    </i>
    <i>
      <x v="200"/>
    </i>
    <i>
      <x v="330"/>
    </i>
    <i>
      <x v="109"/>
    </i>
    <i>
      <x v="130"/>
    </i>
    <i>
      <x v="174"/>
    </i>
    <i>
      <x v="175"/>
    </i>
    <i>
      <x v="181"/>
    </i>
    <i>
      <x v="266"/>
    </i>
    <i>
      <x v="140"/>
    </i>
    <i>
      <x v="357"/>
    </i>
    <i>
      <x v="219"/>
    </i>
    <i>
      <x v="281"/>
    </i>
    <i>
      <x v="199"/>
    </i>
    <i>
      <x v="239"/>
    </i>
    <i>
      <x v="269"/>
    </i>
    <i>
      <x v="336"/>
    </i>
    <i>
      <x v="73"/>
    </i>
    <i>
      <x v="241"/>
    </i>
    <i>
      <x v="41"/>
    </i>
    <i>
      <x v="337"/>
    </i>
    <i>
      <x v="177"/>
    </i>
    <i>
      <x v="95"/>
    </i>
    <i>
      <x v="64"/>
    </i>
    <i>
      <x v="128"/>
    </i>
    <i>
      <x v="155"/>
    </i>
    <i>
      <x v="125"/>
    </i>
    <i>
      <x v="245"/>
    </i>
    <i>
      <x v="153"/>
    </i>
    <i>
      <x v="222"/>
    </i>
    <i>
      <x v="58"/>
    </i>
    <i>
      <x v="158"/>
    </i>
    <i>
      <x v="214"/>
    </i>
    <i>
      <x v="107"/>
    </i>
    <i>
      <x v="36"/>
    </i>
    <i>
      <x v="54"/>
    </i>
    <i>
      <x v="290"/>
    </i>
    <i>
      <x v="123"/>
    </i>
    <i>
      <x v="240"/>
    </i>
    <i>
      <x v="138"/>
    </i>
    <i>
      <x v="265"/>
    </i>
    <i>
      <x v="362"/>
    </i>
    <i>
      <x v="160"/>
    </i>
    <i>
      <x v="211"/>
    </i>
    <i>
      <x v="215"/>
    </i>
    <i>
      <x v="30"/>
    </i>
    <i>
      <x v="33"/>
    </i>
    <i>
      <x v="270"/>
    </i>
    <i>
      <x v="321"/>
    </i>
    <i>
      <x v="190"/>
    </i>
    <i>
      <x v="89"/>
    </i>
    <i>
      <x v="39"/>
    </i>
    <i>
      <x v="339"/>
    </i>
    <i>
      <x v="76"/>
    </i>
    <i>
      <x v="230"/>
    </i>
    <i>
      <x v="124"/>
    </i>
    <i>
      <x v="148"/>
    </i>
    <i>
      <x v="126"/>
    </i>
    <i>
      <x v="168"/>
    </i>
    <i>
      <x v="353"/>
    </i>
    <i>
      <x v="80"/>
    </i>
    <i>
      <x v="360"/>
    </i>
    <i>
      <x/>
    </i>
    <i>
      <x v="258"/>
    </i>
    <i>
      <x v="102"/>
    </i>
    <i>
      <x v="96"/>
    </i>
    <i>
      <x v="273"/>
    </i>
    <i>
      <x v="25"/>
    </i>
    <i>
      <x v="288"/>
    </i>
    <i>
      <x v="52"/>
    </i>
    <i>
      <x v="78"/>
    </i>
    <i>
      <x v="11"/>
    </i>
    <i>
      <x v="69"/>
    </i>
    <i>
      <x v="329"/>
    </i>
    <i>
      <x v="44"/>
    </i>
    <i>
      <x v="166"/>
    </i>
    <i>
      <x v="183"/>
    </i>
    <i>
      <x v="349"/>
    </i>
    <i>
      <x v="86"/>
    </i>
    <i>
      <x v="297"/>
    </i>
    <i>
      <x v="163"/>
    </i>
    <i>
      <x v="157"/>
    </i>
    <i>
      <x v="257"/>
    </i>
    <i>
      <x v="237"/>
    </i>
    <i>
      <x v="350"/>
    </i>
    <i>
      <x v="2"/>
    </i>
    <i>
      <x v="309"/>
    </i>
    <i>
      <x v="28"/>
    </i>
    <i>
      <x v="91"/>
    </i>
    <i>
      <x v="162"/>
    </i>
    <i>
      <x v="250"/>
    </i>
    <i>
      <x v="31"/>
    </i>
    <i>
      <x v="24"/>
    </i>
    <i>
      <x v="150"/>
    </i>
    <i>
      <x v="88"/>
    </i>
    <i>
      <x v="332"/>
    </i>
    <i>
      <x v="135"/>
    </i>
    <i>
      <x v="8"/>
    </i>
    <i>
      <x v="87"/>
    </i>
    <i>
      <x v="149"/>
    </i>
    <i>
      <x v="275"/>
    </i>
    <i>
      <x v="306"/>
    </i>
    <i>
      <x v="180"/>
    </i>
    <i>
      <x v="234"/>
    </i>
    <i>
      <x v="210"/>
    </i>
    <i>
      <x v="348"/>
    </i>
    <i>
      <x v="220"/>
    </i>
    <i>
      <x v="314"/>
    </i>
    <i>
      <x v="173"/>
    </i>
    <i>
      <x v="334"/>
    </i>
    <i>
      <x v="114"/>
    </i>
    <i>
      <x v="325"/>
    </i>
    <i>
      <x v="38"/>
    </i>
    <i>
      <x v="19"/>
    </i>
    <i>
      <x v="103"/>
    </i>
    <i>
      <x v="271"/>
    </i>
    <i>
      <x v="18"/>
    </i>
    <i>
      <x v="252"/>
    </i>
    <i>
      <x v="60"/>
    </i>
    <i>
      <x v="137"/>
    </i>
    <i>
      <x v="308"/>
    </i>
    <i>
      <x v="313"/>
    </i>
    <i>
      <x v="191"/>
    </i>
    <i>
      <x v="307"/>
    </i>
    <i>
      <x v="333"/>
    </i>
    <i>
      <x v="231"/>
    </i>
    <i>
      <x v="312"/>
    </i>
    <i>
      <x v="221"/>
    </i>
    <i>
      <x v="328"/>
    </i>
    <i>
      <x v="287"/>
    </i>
    <i>
      <x v="356"/>
    </i>
    <i>
      <x v="217"/>
    </i>
    <i>
      <x v="218"/>
    </i>
    <i>
      <x v="203"/>
    </i>
    <i>
      <x v="311"/>
    </i>
    <i t="grand">
      <x/>
    </i>
  </rowItems>
  <colItems count="1">
    <i/>
  </colItems>
  <dataFields count="1">
    <dataField name="Sum of Revenue" fld="11" baseField="0" baseItem="0"/>
  </dataFields>
  <formats count="1">
    <format dxfId="82">
      <pivotArea collapsedLevelsAreSubtotals="1" fieldPosition="0">
        <references count="1">
          <reference field="4294967294" count="1">
            <x v="0"/>
          </reference>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AC31B-52F5-496D-B36D-E95A318C0D60}"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dataField="1"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showAll="0">
      <items count="5">
        <item h="1" x="3"/>
        <item x="1"/>
        <item h="1" x="0"/>
        <item h="1" x="2"/>
        <item t="default"/>
      </items>
    </pivotField>
    <pivotField showAll="0">
      <items count="3">
        <item h="1" x="1"/>
        <item x="0"/>
        <item t="default"/>
      </items>
    </pivotField>
    <pivotField showAll="0">
      <items count="7">
        <item x="2"/>
        <item h="1" x="5"/>
        <item h="1" x="3"/>
        <item h="1" x="4"/>
        <item h="1" x="1"/>
        <item h="1" x="0"/>
        <item t="default"/>
      </items>
    </pivotField>
    <pivotField showAll="0">
      <items count="29">
        <item x="13"/>
        <item x="4"/>
        <item x="18"/>
        <item x="26"/>
        <item x="16"/>
        <item x="7"/>
        <item x="27"/>
        <item x="19"/>
        <item x="15"/>
        <item x="17"/>
        <item x="21"/>
        <item x="25"/>
        <item x="9"/>
        <item x="0"/>
        <item x="11"/>
        <item x="3"/>
        <item x="6"/>
        <item x="1"/>
        <item x="20"/>
        <item x="23"/>
        <item x="24"/>
        <item x="22"/>
        <item x="14"/>
        <item x="10"/>
        <item x="2"/>
        <item x="5"/>
        <item x="12"/>
        <item x="8"/>
        <item t="default"/>
      </items>
    </pivotField>
    <pivotField showAll="0">
      <items count="16">
        <item x="12"/>
        <item x="3"/>
        <item x="11"/>
        <item x="14"/>
        <item x="6"/>
        <item x="13"/>
        <item x="0"/>
        <item x="10"/>
        <item x="1"/>
        <item x="8"/>
        <item x="9"/>
        <item x="2"/>
        <item x="5"/>
        <item x="4"/>
        <item x="7"/>
        <item t="default"/>
      </items>
    </pivotField>
    <pivotField dataField="1" showAll="0">
      <items count="16">
        <item x="3"/>
        <item x="0"/>
        <item x="2"/>
        <item x="5"/>
        <item x="1"/>
        <item x="4"/>
        <item x="6"/>
        <item x="10"/>
        <item x="12"/>
        <item x="8"/>
        <item x="7"/>
        <item x="11"/>
        <item x="13"/>
        <item x="14"/>
        <item x="9"/>
        <item t="default"/>
      </items>
    </pivotField>
    <pivotField showAll="0">
      <items count="169">
        <item x="126"/>
        <item x="36"/>
        <item x="47"/>
        <item x="156"/>
        <item x="64"/>
        <item x="148"/>
        <item x="158"/>
        <item x="160"/>
        <item x="31"/>
        <item x="59"/>
        <item x="143"/>
        <item x="114"/>
        <item x="3"/>
        <item x="132"/>
        <item x="94"/>
        <item x="7"/>
        <item x="123"/>
        <item x="92"/>
        <item x="152"/>
        <item x="79"/>
        <item x="54"/>
        <item x="49"/>
        <item x="63"/>
        <item x="106"/>
        <item x="159"/>
        <item x="8"/>
        <item x="34"/>
        <item x="103"/>
        <item x="116"/>
        <item x="136"/>
        <item x="166"/>
        <item x="16"/>
        <item x="127"/>
        <item x="58"/>
        <item x="154"/>
        <item x="1"/>
        <item x="135"/>
        <item x="146"/>
        <item x="65"/>
        <item x="119"/>
        <item x="102"/>
        <item x="138"/>
        <item x="11"/>
        <item x="118"/>
        <item x="10"/>
        <item x="23"/>
        <item x="86"/>
        <item x="122"/>
        <item x="43"/>
        <item x="99"/>
        <item x="45"/>
        <item x="9"/>
        <item x="134"/>
        <item x="56"/>
        <item x="112"/>
        <item x="157"/>
        <item x="2"/>
        <item x="19"/>
        <item x="12"/>
        <item x="120"/>
        <item x="109"/>
        <item x="100"/>
        <item x="17"/>
        <item x="88"/>
        <item x="89"/>
        <item x="55"/>
        <item x="22"/>
        <item x="77"/>
        <item x="24"/>
        <item x="87"/>
        <item x="167"/>
        <item x="93"/>
        <item x="29"/>
        <item x="147"/>
        <item x="33"/>
        <item x="66"/>
        <item x="5"/>
        <item x="133"/>
        <item x="115"/>
        <item x="107"/>
        <item x="0"/>
        <item x="30"/>
        <item x="50"/>
        <item x="26"/>
        <item x="46"/>
        <item x="117"/>
        <item x="6"/>
        <item x="44"/>
        <item x="110"/>
        <item x="104"/>
        <item x="39"/>
        <item x="38"/>
        <item x="72"/>
        <item x="14"/>
        <item x="140"/>
        <item x="121"/>
        <item x="149"/>
        <item x="85"/>
        <item x="69"/>
        <item x="137"/>
        <item x="128"/>
        <item x="80"/>
        <item x="52"/>
        <item x="82"/>
        <item x="28"/>
        <item x="155"/>
        <item x="161"/>
        <item x="71"/>
        <item x="162"/>
        <item x="53"/>
        <item x="61"/>
        <item x="84"/>
        <item x="57"/>
        <item x="15"/>
        <item x="37"/>
        <item x="142"/>
        <item x="90"/>
        <item x="130"/>
        <item x="98"/>
        <item x="95"/>
        <item x="145"/>
        <item x="131"/>
        <item x="13"/>
        <item x="83"/>
        <item x="113"/>
        <item x="32"/>
        <item x="62"/>
        <item x="81"/>
        <item x="41"/>
        <item x="48"/>
        <item x="68"/>
        <item x="4"/>
        <item x="124"/>
        <item x="76"/>
        <item x="129"/>
        <item x="144"/>
        <item x="18"/>
        <item x="151"/>
        <item x="150"/>
        <item x="91"/>
        <item x="67"/>
        <item x="111"/>
        <item x="21"/>
        <item x="60"/>
        <item x="141"/>
        <item x="73"/>
        <item x="35"/>
        <item x="163"/>
        <item x="40"/>
        <item x="108"/>
        <item x="75"/>
        <item x="153"/>
        <item x="27"/>
        <item x="105"/>
        <item x="139"/>
        <item x="78"/>
        <item x="74"/>
        <item x="125"/>
        <item x="101"/>
        <item x="165"/>
        <item x="97"/>
        <item x="51"/>
        <item x="25"/>
        <item x="70"/>
        <item x="20"/>
        <item x="96"/>
        <item x="42"/>
        <item x="164"/>
        <item t="default"/>
      </items>
    </pivotField>
    <pivotField showAll="0">
      <items count="8">
        <item x="6"/>
        <item x="4"/>
        <item x="1"/>
        <item x="5"/>
        <item x="0"/>
        <item x="2"/>
        <item x="3"/>
        <item t="default"/>
      </items>
    </pivotField>
    <pivotField dataField="1" showAll="0">
      <items count="1303">
        <item x="1030"/>
        <item x="269"/>
        <item x="1078"/>
        <item x="393"/>
        <item x="1224"/>
        <item x="529"/>
        <item x="457"/>
        <item x="1234"/>
        <item x="860"/>
        <item x="939"/>
        <item x="428"/>
        <item x="616"/>
        <item x="705"/>
        <item x="849"/>
        <item x="1045"/>
        <item x="1150"/>
        <item x="374"/>
        <item x="514"/>
        <item x="417"/>
        <item x="132"/>
        <item x="691"/>
        <item x="55"/>
        <item x="1006"/>
        <item x="619"/>
        <item x="655"/>
        <item x="488"/>
        <item x="1219"/>
        <item x="230"/>
        <item x="213"/>
        <item x="1011"/>
        <item x="28"/>
        <item x="199"/>
        <item x="879"/>
        <item x="867"/>
        <item x="715"/>
        <item x="1269"/>
        <item x="1049"/>
        <item x="498"/>
        <item x="1273"/>
        <item x="445"/>
        <item x="1071"/>
        <item x="426"/>
        <item x="499"/>
        <item x="780"/>
        <item x="1058"/>
        <item x="1279"/>
        <item x="1138"/>
        <item x="526"/>
        <item x="295"/>
        <item x="699"/>
        <item x="808"/>
        <item x="962"/>
        <item x="649"/>
        <item x="1232"/>
        <item x="355"/>
        <item x="511"/>
        <item x="563"/>
        <item x="415"/>
        <item x="487"/>
        <item x="994"/>
        <item x="877"/>
        <item x="1158"/>
        <item x="242"/>
        <item x="1285"/>
        <item x="17"/>
        <item x="411"/>
        <item x="679"/>
        <item x="87"/>
        <item x="424"/>
        <item x="431"/>
        <item x="674"/>
        <item x="862"/>
        <item x="1038"/>
        <item x="288"/>
        <item x="308"/>
        <item x="972"/>
        <item x="518"/>
        <item x="301"/>
        <item x="459"/>
        <item x="7"/>
        <item x="270"/>
        <item x="80"/>
        <item x="595"/>
        <item x="1239"/>
        <item x="122"/>
        <item x="441"/>
        <item x="1009"/>
        <item x="525"/>
        <item x="861"/>
        <item x="456"/>
        <item x="845"/>
        <item x="170"/>
        <item x="1055"/>
        <item x="41"/>
        <item x="430"/>
        <item x="1247"/>
        <item x="880"/>
        <item x="1128"/>
        <item x="1032"/>
        <item x="693"/>
        <item x="3"/>
        <item x="702"/>
        <item x="774"/>
        <item x="1162"/>
        <item x="751"/>
        <item x="1208"/>
        <item x="971"/>
        <item x="252"/>
        <item x="592"/>
        <item x="286"/>
        <item x="385"/>
        <item x="1186"/>
        <item x="256"/>
        <item x="1182"/>
        <item x="804"/>
        <item x="1164"/>
        <item x="1111"/>
        <item x="914"/>
        <item x="216"/>
        <item x="33"/>
        <item x="997"/>
        <item x="1266"/>
        <item x="414"/>
        <item x="1211"/>
        <item x="36"/>
        <item x="582"/>
        <item x="724"/>
        <item x="701"/>
        <item x="944"/>
        <item x="328"/>
        <item x="1043"/>
        <item x="342"/>
        <item x="418"/>
        <item x="335"/>
        <item x="1014"/>
        <item x="643"/>
        <item x="453"/>
        <item x="144"/>
        <item x="178"/>
        <item x="291"/>
        <item x="267"/>
        <item x="948"/>
        <item x="864"/>
        <item x="929"/>
        <item x="903"/>
        <item x="239"/>
        <item x="1015"/>
        <item x="1142"/>
        <item x="996"/>
        <item x="1157"/>
        <item x="652"/>
        <item x="512"/>
        <item x="1212"/>
        <item x="171"/>
        <item x="956"/>
        <item x="250"/>
        <item x="703"/>
        <item x="738"/>
        <item x="84"/>
        <item x="258"/>
        <item x="881"/>
        <item x="192"/>
        <item x="494"/>
        <item x="195"/>
        <item x="821"/>
        <item x="1251"/>
        <item x="806"/>
        <item x="938"/>
        <item x="1007"/>
        <item x="908"/>
        <item x="1072"/>
        <item x="1000"/>
        <item x="673"/>
        <item x="358"/>
        <item x="1282"/>
        <item x="277"/>
        <item x="146"/>
        <item x="1216"/>
        <item x="873"/>
        <item x="612"/>
        <item x="1160"/>
        <item x="995"/>
        <item x="1225"/>
        <item x="339"/>
        <item x="1"/>
        <item x="775"/>
        <item x="161"/>
        <item x="78"/>
        <item x="765"/>
        <item x="465"/>
        <item x="658"/>
        <item x="1103"/>
        <item x="586"/>
        <item x="1169"/>
        <item x="590"/>
        <item x="797"/>
        <item x="1204"/>
        <item x="1171"/>
        <item x="1090"/>
        <item x="624"/>
        <item x="340"/>
        <item x="1213"/>
        <item x="722"/>
        <item x="875"/>
        <item x="919"/>
        <item x="793"/>
        <item x="434"/>
        <item x="736"/>
        <item x="86"/>
        <item x="60"/>
        <item x="354"/>
        <item x="1075"/>
        <item x="1053"/>
        <item x="8"/>
        <item x="1191"/>
        <item x="1261"/>
        <item x="159"/>
        <item x="408"/>
        <item x="1196"/>
        <item x="893"/>
        <item x="9"/>
        <item x="816"/>
        <item x="817"/>
        <item x="983"/>
        <item x="964"/>
        <item x="495"/>
        <item x="1134"/>
        <item x="1124"/>
        <item x="115"/>
        <item x="462"/>
        <item x="687"/>
        <item x="463"/>
        <item x="1185"/>
        <item x="626"/>
        <item x="1145"/>
        <item x="236"/>
        <item x="1062"/>
        <item x="721"/>
        <item x="798"/>
        <item x="521"/>
        <item x="872"/>
        <item x="153"/>
        <item x="1202"/>
        <item x="575"/>
        <item x="556"/>
        <item x="1275"/>
        <item x="1263"/>
        <item x="1140"/>
        <item x="645"/>
        <item x="69"/>
        <item x="509"/>
        <item x="450"/>
        <item x="42"/>
        <item x="261"/>
        <item x="1082"/>
        <item x="755"/>
        <item x="76"/>
        <item x="547"/>
        <item x="172"/>
        <item x="384"/>
        <item x="1061"/>
        <item x="1135"/>
        <item x="1003"/>
        <item x="156"/>
        <item x="74"/>
        <item x="349"/>
        <item x="560"/>
        <item x="75"/>
        <item x="332"/>
        <item x="37"/>
        <item x="749"/>
        <item x="501"/>
        <item x="627"/>
        <item x="690"/>
        <item x="89"/>
        <item x="322"/>
        <item x="1056"/>
        <item x="1060"/>
        <item x="140"/>
        <item x="136"/>
        <item x="253"/>
        <item x="326"/>
        <item x="708"/>
        <item x="1286"/>
        <item x="1244"/>
        <item x="189"/>
        <item x="313"/>
        <item x="389"/>
        <item x="955"/>
        <item x="1289"/>
        <item x="23"/>
        <item x="248"/>
        <item x="945"/>
        <item x="1151"/>
        <item x="238"/>
        <item x="844"/>
        <item x="878"/>
        <item x="579"/>
        <item x="600"/>
        <item x="1271"/>
        <item x="227"/>
        <item x="654"/>
        <item x="562"/>
        <item x="527"/>
        <item x="1041"/>
        <item x="145"/>
        <item x="516"/>
        <item x="1036"/>
        <item x="64"/>
        <item x="1057"/>
        <item x="1198"/>
        <item x="1107"/>
        <item x="597"/>
        <item x="967"/>
        <item x="739"/>
        <item x="422"/>
        <item x="824"/>
        <item x="135"/>
        <item x="413"/>
        <item x="324"/>
        <item x="1112"/>
        <item x="356"/>
        <item x="245"/>
        <item x="429"/>
        <item x="382"/>
        <item x="1065"/>
        <item x="1281"/>
        <item x="569"/>
        <item x="796"/>
        <item x="278"/>
        <item x="530"/>
        <item x="504"/>
        <item x="629"/>
        <item x="502"/>
        <item x="1183"/>
        <item x="889"/>
        <item x="1267"/>
        <item x="31"/>
        <item x="740"/>
        <item x="746"/>
        <item x="923"/>
        <item x="307"/>
        <item x="24"/>
        <item x="1035"/>
        <item x="1088"/>
        <item x="183"/>
        <item x="743"/>
        <item x="949"/>
        <item x="650"/>
        <item x="757"/>
        <item x="1123"/>
        <item x="826"/>
        <item x="255"/>
        <item x="1207"/>
        <item x="319"/>
        <item x="678"/>
        <item x="478"/>
        <item x="672"/>
        <item x="1051"/>
        <item x="833"/>
        <item x="1245"/>
        <item x="323"/>
        <item x="1257"/>
        <item x="169"/>
        <item x="727"/>
        <item x="439"/>
        <item x="930"/>
        <item x="1076"/>
        <item x="1115"/>
        <item x="5"/>
        <item x="630"/>
        <item x="81"/>
        <item x="222"/>
        <item x="90"/>
        <item x="440"/>
        <item x="638"/>
        <item x="317"/>
        <item x="623"/>
        <item x="577"/>
        <item x="474"/>
        <item x="850"/>
        <item x="423"/>
        <item x="503"/>
        <item x="454"/>
        <item x="538"/>
        <item x="554"/>
        <item x="315"/>
        <item x="241"/>
        <item x="984"/>
        <item x="825"/>
        <item x="143"/>
        <item x="1177"/>
        <item x="907"/>
        <item x="918"/>
        <item x="479"/>
        <item x="203"/>
        <item x="1209"/>
        <item x="292"/>
        <item x="712"/>
        <item x="803"/>
        <item x="94"/>
        <item x="435"/>
        <item x="1024"/>
        <item x="290"/>
        <item x="1297"/>
        <item x="105"/>
        <item x="625"/>
        <item x="1159"/>
        <item x="1246"/>
        <item x="1131"/>
        <item x="32"/>
        <item x="187"/>
        <item x="334"/>
        <item x="1248"/>
        <item x="433"/>
        <item x="1147"/>
        <item x="1125"/>
        <item x="566"/>
        <item x="155"/>
        <item x="1203"/>
        <item x="1127"/>
        <item x="1301"/>
        <item x="647"/>
        <item x="664"/>
        <item x="1226"/>
        <item x="466"/>
        <item x="133"/>
        <item x="1119"/>
        <item x="744"/>
        <item x="609"/>
        <item x="1004"/>
        <item x="1228"/>
        <item x="50"/>
        <item x="899"/>
        <item x="814"/>
        <item x="1161"/>
        <item x="928"/>
        <item x="1187"/>
        <item x="110"/>
        <item x="254"/>
        <item x="57"/>
        <item x="900"/>
        <item x="1268"/>
        <item x="517"/>
        <item x="364"/>
        <item x="602"/>
        <item x="1080"/>
        <item x="818"/>
        <item x="173"/>
        <item x="72"/>
        <item x="799"/>
        <item x="950"/>
        <item x="289"/>
        <item x="906"/>
        <item x="237"/>
        <item x="966"/>
        <item x="53"/>
        <item x="717"/>
        <item x="915"/>
        <item x="12"/>
        <item x="344"/>
        <item x="863"/>
        <item x="1022"/>
        <item x="368"/>
        <item x="671"/>
        <item x="1083"/>
        <item x="447"/>
        <item x="1029"/>
        <item x="659"/>
        <item x="168"/>
        <item x="282"/>
        <item x="901"/>
        <item x="726"/>
        <item x="874"/>
        <item x="697"/>
        <item x="1253"/>
        <item x="353"/>
        <item x="1100"/>
        <item x="165"/>
        <item x="325"/>
        <item x="91"/>
        <item x="661"/>
        <item x="870"/>
        <item x="185"/>
        <item x="1259"/>
        <item x="1152"/>
        <item x="1243"/>
        <item x="117"/>
        <item x="975"/>
        <item x="0"/>
        <item x="10"/>
        <item x="284"/>
        <item x="558"/>
        <item x="201"/>
        <item x="993"/>
        <item x="926"/>
        <item x="580"/>
        <item x="604"/>
        <item x="197"/>
        <item x="443"/>
        <item x="565"/>
        <item x="539"/>
        <item x="1205"/>
        <item x="406"/>
        <item x="1170"/>
        <item x="1293"/>
        <item x="1040"/>
        <item x="1300"/>
        <item x="568"/>
        <item x="126"/>
        <item x="904"/>
        <item x="853"/>
        <item x="65"/>
        <item x="829"/>
        <item x="617"/>
        <item x="745"/>
        <item x="1155"/>
        <item x="27"/>
        <item x="104"/>
        <item x="490"/>
        <item x="18"/>
        <item x="38"/>
        <item x="876"/>
        <item x="1258"/>
        <item x="932"/>
        <item x="792"/>
        <item x="1133"/>
        <item x="98"/>
        <item x="553"/>
        <item x="807"/>
        <item x="88"/>
        <item x="1028"/>
        <item x="613"/>
        <item x="202"/>
        <item x="635"/>
        <item x="819"/>
        <item x="618"/>
        <item x="1146"/>
        <item x="274"/>
        <item x="519"/>
        <item x="223"/>
        <item x="668"/>
        <item x="52"/>
        <item x="154"/>
        <item x="405"/>
        <item x="1094"/>
        <item x="1129"/>
        <item x="378"/>
        <item x="1180"/>
        <item x="1066"/>
        <item x="1130"/>
        <item x="795"/>
        <item x="54"/>
        <item x="25"/>
        <item x="735"/>
        <item x="215"/>
        <item x="1050"/>
        <item x="737"/>
        <item x="959"/>
        <item x="2"/>
        <item x="108"/>
        <item x="13"/>
        <item x="20"/>
        <item x="329"/>
        <item x="1249"/>
        <item x="1201"/>
        <item x="916"/>
        <item x="131"/>
        <item x="63"/>
        <item x="805"/>
        <item x="510"/>
        <item x="773"/>
        <item x="985"/>
        <item x="1193"/>
        <item x="567"/>
        <item x="44"/>
        <item x="198"/>
        <item x="188"/>
        <item x="748"/>
        <item x="283"/>
        <item x="720"/>
        <item x="240"/>
        <item x="827"/>
        <item x="522"/>
        <item x="987"/>
        <item x="718"/>
        <item x="70"/>
        <item x="1086"/>
        <item x="730"/>
        <item x="186"/>
        <item x="35"/>
        <item x="1039"/>
        <item x="909"/>
        <item x="137"/>
        <item x="857"/>
        <item x="427"/>
        <item x="102"/>
        <item x="648"/>
        <item x="395"/>
        <item x="788"/>
        <item x="468"/>
        <item x="921"/>
        <item x="1010"/>
        <item x="1200"/>
        <item x="151"/>
        <item x="998"/>
        <item x="1059"/>
        <item x="1221"/>
        <item x="367"/>
        <item x="585"/>
        <item x="243"/>
        <item x="476"/>
        <item x="934"/>
        <item x="578"/>
        <item x="235"/>
        <item x="707"/>
        <item x="276"/>
        <item x="1254"/>
        <item x="576"/>
        <item x="1214"/>
        <item x="260"/>
        <item x="646"/>
        <item x="541"/>
        <item x="540"/>
        <item x="589"/>
        <item x="343"/>
        <item x="606"/>
        <item x="584"/>
        <item x="836"/>
        <item x="420"/>
        <item x="163"/>
        <item x="591"/>
        <item x="1295"/>
        <item x="1250"/>
        <item x="365"/>
        <item x="677"/>
        <item x="1222"/>
        <item x="783"/>
        <item x="471"/>
        <item x="892"/>
        <item x="524"/>
        <item x="376"/>
        <item x="791"/>
        <item x="251"/>
        <item x="432"/>
        <item x="259"/>
        <item x="1085"/>
        <item x="312"/>
        <item x="1163"/>
        <item x="976"/>
        <item x="191"/>
        <item x="1089"/>
        <item x="711"/>
        <item x="1114"/>
        <item x="399"/>
        <item x="296"/>
        <item x="416"/>
        <item x="603"/>
        <item x="360"/>
        <item x="917"/>
        <item x="725"/>
        <item x="467"/>
        <item x="762"/>
        <item x="293"/>
        <item x="601"/>
        <item x="357"/>
        <item x="1298"/>
        <item x="1235"/>
        <item x="61"/>
        <item x="957"/>
        <item x="758"/>
        <item x="123"/>
        <item x="1154"/>
        <item x="752"/>
        <item x="543"/>
        <item x="1229"/>
        <item x="390"/>
        <item x="218"/>
        <item x="644"/>
        <item x="940"/>
        <item x="244"/>
        <item x="851"/>
        <item x="1120"/>
        <item x="220"/>
        <item x="97"/>
        <item x="810"/>
        <item x="59"/>
        <item x="982"/>
        <item x="981"/>
        <item x="848"/>
        <item x="1173"/>
        <item x="732"/>
        <item x="1148"/>
        <item x="362"/>
        <item x="369"/>
        <item x="51"/>
        <item x="764"/>
        <item x="682"/>
        <item x="713"/>
        <item x="665"/>
        <item x="1194"/>
        <item x="352"/>
        <item x="1092"/>
        <item x="1230"/>
        <item x="460"/>
        <item x="676"/>
        <item x="330"/>
        <item x="470"/>
        <item x="1165"/>
        <item x="831"/>
        <item x="412"/>
        <item x="835"/>
        <item x="513"/>
        <item x="559"/>
        <item x="73"/>
        <item x="71"/>
        <item x="221"/>
        <item x="991"/>
        <item x="493"/>
        <item x="637"/>
        <item x="152"/>
        <item x="507"/>
        <item x="1299"/>
        <item x="436"/>
        <item x="39"/>
        <item x="116"/>
        <item x="681"/>
        <item x="147"/>
        <item x="669"/>
        <item x="704"/>
        <item x="455"/>
        <item x="1098"/>
        <item x="347"/>
        <item x="1067"/>
        <item x="954"/>
        <item x="1101"/>
        <item x="386"/>
        <item x="555"/>
        <item x="1190"/>
        <item x="1252"/>
        <item x="887"/>
        <item x="1052"/>
        <item x="1117"/>
        <item x="965"/>
        <item x="1149"/>
        <item x="15"/>
        <item x="986"/>
        <item x="1017"/>
        <item x="83"/>
        <item x="1277"/>
        <item x="448"/>
        <item x="1174"/>
        <item x="484"/>
        <item x="1256"/>
        <item x="710"/>
        <item x="970"/>
        <item x="898"/>
        <item x="1231"/>
        <item x="723"/>
        <item x="1236"/>
        <item x="941"/>
        <item x="760"/>
        <item x="314"/>
        <item x="167"/>
        <item x="858"/>
        <item x="977"/>
        <item x="1021"/>
        <item x="787"/>
        <item x="628"/>
        <item x="205"/>
        <item x="834"/>
        <item x="846"/>
        <item x="776"/>
        <item x="684"/>
        <item x="1237"/>
        <item x="588"/>
        <item x="731"/>
        <item x="961"/>
        <item x="1144"/>
        <item x="372"/>
        <item x="302"/>
        <item x="570"/>
        <item x="1116"/>
        <item x="1025"/>
        <item x="1095"/>
        <item x="481"/>
        <item x="815"/>
        <item x="1223"/>
        <item x="496"/>
        <item x="855"/>
        <item x="127"/>
        <item x="402"/>
        <item x="641"/>
        <item x="989"/>
        <item x="847"/>
        <item x="373"/>
        <item x="706"/>
        <item x="662"/>
        <item x="206"/>
        <item x="605"/>
        <item x="491"/>
        <item x="614"/>
        <item x="683"/>
        <item x="968"/>
        <item x="67"/>
        <item x="6"/>
        <item x="1296"/>
        <item x="973"/>
        <item x="310"/>
        <item x="1195"/>
        <item x="694"/>
        <item x="485"/>
        <item x="45"/>
        <item x="311"/>
        <item x="46"/>
        <item x="620"/>
        <item x="587"/>
        <item x="1184"/>
        <item x="782"/>
        <item x="1019"/>
        <item x="103"/>
        <item x="43"/>
        <item x="1064"/>
        <item x="79"/>
        <item x="477"/>
        <item x="1054"/>
        <item x="379"/>
        <item x="231"/>
        <item x="1044"/>
        <item x="770"/>
        <item x="843"/>
        <item x="1276"/>
        <item x="400"/>
        <item x="809"/>
        <item x="300"/>
        <item x="160"/>
        <item x="497"/>
        <item x="896"/>
        <item x="306"/>
        <item x="545"/>
        <item x="264"/>
        <item x="980"/>
        <item x="1013"/>
        <item x="598"/>
        <item x="1063"/>
        <item x="548"/>
        <item x="1105"/>
        <item x="960"/>
        <item x="772"/>
        <item x="1027"/>
        <item x="692"/>
        <item x="551"/>
        <item x="331"/>
        <item x="403"/>
        <item x="130"/>
        <item x="542"/>
        <item x="841"/>
        <item x="407"/>
        <item x="1181"/>
        <item x="698"/>
        <item x="363"/>
        <item x="1241"/>
        <item x="1018"/>
        <item x="129"/>
        <item x="257"/>
        <item x="1070"/>
        <item x="280"/>
        <item x="492"/>
        <item x="594"/>
        <item x="943"/>
        <item x="988"/>
        <item x="911"/>
        <item x="1068"/>
        <item x="333"/>
        <item x="1294"/>
        <item x="48"/>
        <item x="204"/>
        <item x="234"/>
        <item x="166"/>
        <item x="636"/>
        <item x="370"/>
        <item x="489"/>
        <item x="134"/>
        <item x="1227"/>
        <item x="871"/>
        <item x="1264"/>
        <item x="214"/>
        <item x="380"/>
        <item x="639"/>
        <item x="686"/>
        <item x="182"/>
        <item x="118"/>
        <item x="381"/>
        <item x="68"/>
        <item x="1113"/>
        <item x="124"/>
        <item x="733"/>
        <item x="546"/>
        <item x="232"/>
        <item x="631"/>
        <item x="350"/>
        <item x="1274"/>
        <item x="210"/>
        <item x="958"/>
        <item x="1031"/>
        <item x="444"/>
        <item x="58"/>
        <item x="756"/>
        <item x="272"/>
        <item x="11"/>
        <item x="763"/>
        <item x="663"/>
        <item x="1096"/>
        <item x="1026"/>
        <item x="179"/>
        <item x="922"/>
        <item x="1074"/>
        <item x="316"/>
        <item x="196"/>
        <item x="544"/>
        <item x="359"/>
        <item x="1206"/>
        <item x="1217"/>
        <item x="937"/>
        <item x="583"/>
        <item x="552"/>
        <item x="157"/>
        <item x="910"/>
        <item x="391"/>
        <item x="1034"/>
        <item x="865"/>
        <item x="409"/>
        <item x="209"/>
        <item x="700"/>
        <item x="1139"/>
        <item x="1270"/>
        <item x="224"/>
        <item x="141"/>
        <item x="1047"/>
        <item x="1283"/>
        <item x="1238"/>
        <item x="1262"/>
        <item x="781"/>
        <item x="1210"/>
        <item x="437"/>
        <item x="1087"/>
        <item x="642"/>
        <item x="768"/>
        <item x="689"/>
        <item x="557"/>
        <item x="396"/>
        <item x="1176"/>
        <item x="820"/>
        <item x="794"/>
        <item x="951"/>
        <item x="4"/>
        <item x="1265"/>
        <item x="719"/>
        <item x="1001"/>
        <item x="1167"/>
        <item x="607"/>
        <item x="1084"/>
        <item x="1192"/>
        <item x="789"/>
        <item x="1188"/>
        <item x="990"/>
        <item x="925"/>
        <item x="963"/>
        <item x="388"/>
        <item x="508"/>
        <item x="942"/>
        <item x="573"/>
        <item x="828"/>
        <item x="634"/>
        <item x="383"/>
        <item x="1099"/>
        <item x="1042"/>
        <item x="249"/>
        <item x="77"/>
        <item x="651"/>
        <item x="790"/>
        <item x="800"/>
        <item x="486"/>
        <item x="180"/>
        <item x="536"/>
        <item x="1215"/>
        <item x="564"/>
        <item x="62"/>
        <item x="1110"/>
        <item x="111"/>
        <item x="1023"/>
        <item x="1073"/>
        <item x="56"/>
        <item x="226"/>
        <item x="920"/>
        <item x="741"/>
        <item x="421"/>
        <item x="287"/>
        <item x="338"/>
        <item x="695"/>
        <item x="207"/>
        <item x="830"/>
        <item x="401"/>
        <item x="469"/>
        <item x="337"/>
        <item x="309"/>
        <item x="632"/>
        <item x="766"/>
        <item x="208"/>
        <item x="394"/>
        <item x="894"/>
        <item x="660"/>
        <item x="842"/>
        <item x="266"/>
        <item x="392"/>
        <item x="813"/>
        <item x="1178"/>
        <item x="812"/>
        <item x="1109"/>
        <item x="304"/>
        <item x="16"/>
        <item x="1197"/>
        <item x="263"/>
        <item x="622"/>
        <item x="535"/>
        <item x="728"/>
        <item x="371"/>
        <item x="1255"/>
        <item x="528"/>
        <item x="890"/>
        <item x="885"/>
        <item x="19"/>
        <item x="571"/>
        <item x="85"/>
        <item x="92"/>
        <item x="621"/>
        <item x="561"/>
        <item x="100"/>
        <item x="449"/>
        <item x="265"/>
        <item x="320"/>
        <item x="387"/>
        <item x="931"/>
        <item x="1093"/>
        <item x="868"/>
        <item x="1091"/>
        <item x="969"/>
        <item x="895"/>
        <item x="446"/>
        <item x="905"/>
        <item x="1179"/>
        <item x="854"/>
        <item x="897"/>
        <item x="520"/>
        <item x="142"/>
        <item x="273"/>
        <item x="886"/>
        <item x="281"/>
        <item x="181"/>
        <item x="882"/>
        <item x="96"/>
        <item x="1079"/>
        <item x="1290"/>
        <item x="345"/>
        <item x="581"/>
        <item x="1156"/>
        <item x="869"/>
        <item x="398"/>
        <item x="696"/>
        <item x="747"/>
        <item x="22"/>
        <item x="1046"/>
        <item x="119"/>
        <item x="228"/>
        <item x="82"/>
        <item x="299"/>
        <item x="593"/>
        <item x="599"/>
        <item x="611"/>
        <item x="500"/>
        <item x="410"/>
        <item x="891"/>
        <item x="1175"/>
        <item x="473"/>
        <item x="297"/>
        <item x="572"/>
        <item x="1097"/>
        <item x="709"/>
        <item x="666"/>
        <item x="615"/>
        <item x="837"/>
        <item x="162"/>
        <item x="271"/>
        <item x="902"/>
        <item x="859"/>
        <item x="924"/>
        <item x="913"/>
        <item x="1166"/>
        <item x="1005"/>
        <item x="657"/>
        <item x="688"/>
        <item x="336"/>
        <item x="375"/>
        <item x="1189"/>
        <item x="458"/>
        <item x="838"/>
        <item x="1077"/>
        <item x="953"/>
        <item x="912"/>
        <item x="14"/>
        <item x="670"/>
        <item x="610"/>
        <item x="472"/>
        <item x="680"/>
        <item x="952"/>
        <item x="480"/>
        <item x="1287"/>
        <item x="128"/>
        <item x="279"/>
        <item x="107"/>
        <item x="753"/>
        <item x="840"/>
        <item x="550"/>
        <item x="298"/>
        <item x="532"/>
        <item x="714"/>
        <item x="1012"/>
        <item x="47"/>
        <item x="321"/>
        <item x="1102"/>
        <item x="148"/>
        <item x="537"/>
        <item x="247"/>
        <item x="30"/>
        <item x="346"/>
        <item x="1104"/>
        <item x="1218"/>
        <item x="452"/>
        <item x="176"/>
        <item x="318"/>
        <item x="138"/>
        <item x="262"/>
        <item x="438"/>
        <item x="856"/>
        <item x="1284"/>
        <item x="778"/>
        <item x="113"/>
        <item x="777"/>
        <item x="771"/>
        <item x="404"/>
        <item x="1108"/>
        <item x="93"/>
        <item x="1291"/>
        <item x="233"/>
        <item x="451"/>
        <item x="866"/>
        <item x="1240"/>
        <item x="268"/>
        <item x="66"/>
        <item x="397"/>
        <item x="1272"/>
        <item x="1106"/>
        <item x="194"/>
        <item x="1002"/>
        <item x="190"/>
        <item x="34"/>
        <item x="769"/>
        <item x="933"/>
        <item x="1172"/>
        <item x="120"/>
        <item x="883"/>
        <item x="779"/>
        <item x="377"/>
        <item x="212"/>
        <item x="341"/>
        <item x="29"/>
        <item x="177"/>
        <item x="121"/>
        <item x="888"/>
        <item x="483"/>
        <item x="523"/>
        <item x="175"/>
        <item x="515"/>
        <item x="640"/>
        <item x="442"/>
        <item x="225"/>
        <item x="822"/>
        <item x="947"/>
        <item x="811"/>
        <item x="164"/>
        <item x="351"/>
        <item x="1242"/>
        <item x="823"/>
        <item x="1288"/>
        <item x="1033"/>
        <item x="716"/>
        <item x="754"/>
        <item x="852"/>
        <item x="95"/>
        <item x="150"/>
        <item x="656"/>
        <item x="99"/>
        <item x="750"/>
        <item x="305"/>
        <item x="461"/>
        <item x="946"/>
        <item x="1081"/>
        <item x="1008"/>
        <item x="361"/>
        <item x="1132"/>
        <item x="101"/>
        <item x="464"/>
        <item x="219"/>
        <item x="217"/>
        <item x="21"/>
        <item x="978"/>
        <item x="784"/>
        <item x="26"/>
        <item x="653"/>
        <item x="211"/>
        <item x="506"/>
        <item x="574"/>
        <item x="425"/>
        <item x="596"/>
        <item x="633"/>
        <item x="1280"/>
        <item x="785"/>
        <item x="608"/>
        <item x="366"/>
        <item x="999"/>
        <item x="139"/>
        <item x="1126"/>
        <item x="475"/>
        <item x="303"/>
        <item x="294"/>
        <item x="675"/>
        <item x="174"/>
        <item x="667"/>
        <item x="734"/>
        <item x="1122"/>
        <item x="1037"/>
        <item x="979"/>
        <item x="786"/>
        <item x="149"/>
        <item x="534"/>
        <item x="1278"/>
        <item x="935"/>
        <item x="246"/>
        <item x="801"/>
        <item x="114"/>
        <item x="533"/>
        <item x="1069"/>
        <item x="802"/>
        <item x="742"/>
        <item x="1199"/>
        <item x="1137"/>
        <item x="1020"/>
        <item x="112"/>
        <item x="109"/>
        <item x="729"/>
        <item x="1292"/>
        <item x="348"/>
        <item x="1118"/>
        <item x="1260"/>
        <item x="193"/>
        <item x="927"/>
        <item x="1136"/>
        <item x="200"/>
        <item x="1220"/>
        <item x="505"/>
        <item x="884"/>
        <item x="40"/>
        <item x="1121"/>
        <item x="1048"/>
        <item x="1016"/>
        <item x="285"/>
        <item x="767"/>
        <item x="936"/>
        <item x="1153"/>
        <item x="419"/>
        <item x="992"/>
        <item x="158"/>
        <item x="125"/>
        <item x="275"/>
        <item x="184"/>
        <item x="1168"/>
        <item x="106"/>
        <item x="1233"/>
        <item x="685"/>
        <item x="832"/>
        <item x="759"/>
        <item x="974"/>
        <item x="327"/>
        <item x="1143"/>
        <item x="761"/>
        <item x="549"/>
        <item x="839"/>
        <item x="49"/>
        <item x="1141"/>
        <item x="531"/>
        <item x="482"/>
        <item x="229"/>
        <item t="default"/>
      </items>
    </pivotField>
    <pivotField showAll="0">
      <items count="5">
        <item x="3"/>
        <item x="1"/>
        <item x="0"/>
        <item x="2"/>
        <item t="default"/>
      </items>
    </pivotField>
    <pivotField showAll="0">
      <items count="6">
        <item x="2"/>
        <item x="1"/>
        <item x="3"/>
        <item x="4"/>
        <item x="0"/>
        <item t="default"/>
      </items>
    </pivotField>
  </pivotFields>
  <rowFields count="1">
    <field x="-2"/>
  </rowFields>
  <rowItems count="4">
    <i>
      <x/>
    </i>
    <i i="1">
      <x v="1"/>
    </i>
    <i i="2">
      <x v="2"/>
    </i>
    <i i="3">
      <x v="3"/>
    </i>
  </rowItems>
  <colItems count="1">
    <i/>
  </colItems>
  <dataFields count="4">
    <dataField name="Sum of Revenue" fld="11" baseField="0" baseItem="0"/>
    <dataField name="Sum of Quantity" fld="8" baseField="0" baseItem="0"/>
    <dataField name="Count of Order ID" fld="0" subtotal="count" baseField="0" baseItem="0"/>
    <dataField name="Average of Revenue2" fld="11" subtotal="average" baseField="0" baseItem="9"/>
  </dataFields>
  <formats count="2">
    <format dxfId="84">
      <pivotArea collapsedLevelsAreSubtotals="1" fieldPosition="0">
        <references count="1">
          <reference field="4294967294" count="1">
            <x v="0"/>
          </reference>
        </references>
      </pivotArea>
    </format>
    <format dxfId="83">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D2190D-C1AB-415E-9961-409C873D30DE}" name="PivotTable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9:L25"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showAll="0">
      <items count="5">
        <item x="3"/>
        <item x="1"/>
        <item x="0"/>
        <item x="2"/>
        <item t="default"/>
      </items>
    </pivotField>
    <pivotField showAll="0"/>
    <pivotField showAll="0" sortType="descending">
      <items count="7">
        <item x="2"/>
        <item x="5"/>
        <item x="3"/>
        <item x="4"/>
        <item x="1"/>
        <item x="0"/>
        <item t="default"/>
      </items>
      <autoSortScope>
        <pivotArea dataOnly="0" outline="0" fieldPosition="0">
          <references count="1">
            <reference field="4294967294" count="1" selected="0">
              <x v="0"/>
            </reference>
          </references>
        </pivotArea>
      </autoSortScope>
    </pivotField>
    <pivotField axis="axisRow" showAll="0" measureFilter="1" sortType="ascending">
      <items count="29">
        <item x="13"/>
        <item x="4"/>
        <item x="18"/>
        <item x="26"/>
        <item x="16"/>
        <item x="7"/>
        <item x="27"/>
        <item x="19"/>
        <item x="15"/>
        <item x="17"/>
        <item x="21"/>
        <item x="25"/>
        <item x="9"/>
        <item x="0"/>
        <item x="11"/>
        <item x="3"/>
        <item x="6"/>
        <item x="1"/>
        <item x="20"/>
        <item x="23"/>
        <item x="24"/>
        <item x="22"/>
        <item x="14"/>
        <item x="10"/>
        <item x="2"/>
        <item x="5"/>
        <item x="1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6"/>
  </rowFields>
  <rowItems count="6">
    <i>
      <x v="22"/>
    </i>
    <i>
      <x v="2"/>
    </i>
    <i>
      <x v="10"/>
    </i>
    <i>
      <x v="11"/>
    </i>
    <i>
      <x v="8"/>
    </i>
    <i t="grand">
      <x/>
    </i>
  </rowItems>
  <colItems count="1">
    <i/>
  </colItems>
  <dataFields count="1">
    <dataField name="Sum of Revenue" fld="11" baseField="0" baseItem="0"/>
  </dataFields>
  <formats count="1">
    <format dxfId="85">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00E19-5C74-4B5A-B151-3C5E2CEBCE2A}"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19:I24"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axis="axisRow" showAll="0">
      <items count="5">
        <item x="3"/>
        <item x="1"/>
        <item x="0"/>
        <item x="2"/>
        <item t="default"/>
      </items>
    </pivotField>
    <pivotField showAll="0"/>
    <pivotField showAll="0" sortType="descending">
      <items count="7">
        <item x="2"/>
        <item x="5"/>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Revenue" fld="11" baseField="0" baseItem="0"/>
  </dataFields>
  <formats count="1">
    <format dxfId="86">
      <pivotArea collapsedLevelsAreSubtotals="1"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ADE691-F956-44D8-9E9C-BFB7F7624233}"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K3:L10"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showAll="0"/>
    <pivotField showAll="0"/>
    <pivotField axis="axisRow" showAll="0" sortType="descending">
      <items count="7">
        <item x="2"/>
        <item x="5"/>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5"/>
  </rowFields>
  <rowItems count="7">
    <i>
      <x v="1"/>
    </i>
    <i>
      <x v="2"/>
    </i>
    <i>
      <x v="3"/>
    </i>
    <i>
      <x v="5"/>
    </i>
    <i>
      <x/>
    </i>
    <i>
      <x v="4"/>
    </i>
    <i t="grand">
      <x/>
    </i>
  </rowItems>
  <colItems count="1">
    <i/>
  </colItems>
  <dataFields count="1">
    <dataField name="Sum of Revenue" fld="11" baseField="5" baseItem="1"/>
  </dataFields>
  <formats count="1">
    <format dxfId="87">
      <pivotArea collapsedLevelsAreSubtotals="1" fieldPosition="0">
        <references count="1">
          <reference field="4294967294" count="1">
            <x v="0"/>
          </reference>
        </references>
      </pivotArea>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5"/>
          </reference>
        </references>
      </pivotArea>
    </chartFormat>
    <chartFormat chart="2" format="6">
      <pivotArea type="data" outline="0" fieldPosition="0">
        <references count="2">
          <reference field="4294967294" count="1" selected="0">
            <x v="0"/>
          </reference>
          <reference field="5" count="1" selected="0">
            <x v="3"/>
          </reference>
        </references>
      </pivotArea>
    </chartFormat>
    <chartFormat chart="2" format="7">
      <pivotArea type="data" outline="0" fieldPosition="0">
        <references count="2">
          <reference field="4294967294" count="1" selected="0">
            <x v="0"/>
          </reference>
          <reference field="5" count="1" selected="0">
            <x v="2"/>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2499E5-483F-4D3B-A08E-B6670F35F87A}" autoFormatId="16" applyNumberFormats="0" applyBorderFormats="0" applyFontFormats="0" applyPatternFormats="0" applyAlignmentFormats="0" applyWidthHeightFormats="0">
  <queryTableRefresh nextId="15" unboundColumnsRight="2">
    <queryTableFields count="14">
      <queryTableField id="1" name="Order ID" tableColumnId="1"/>
      <queryTableField id="2" name="Date" tableColumnId="2"/>
      <queryTableField id="3" name="Region" tableColumnId="3"/>
      <queryTableField id="4" name="Sales Channel" tableColumnId="4"/>
      <queryTableField id="5" name="Customer Type" tableColumnId="5"/>
      <queryTableField id="6" name="Product Category" tableColumnId="6"/>
      <queryTableField id="7" name="Product" tableColumnId="7"/>
      <queryTableField id="8" name="Salesperson" tableColumnId="8"/>
      <queryTableField id="9" name="Quantity" tableColumnId="9"/>
      <queryTableField id="10" name="Unit Price" tableColumnId="10"/>
      <queryTableField id="11" name="Discount" tableColumnId="11"/>
      <queryTableField id="12" name="Revenue"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54846CB-569F-44E1-B064-3BDA8DE55C79}" sourceName="Date">
  <pivotTables>
    <pivotTable tabId="3" name="PivotTable1"/>
    <pivotTable tabId="3" name="PivotTable2"/>
    <pivotTable tabId="3" name="PivotTable3"/>
    <pivotTable tabId="3" name="PivotTable4"/>
    <pivotTable tabId="3" name="PivotTable5"/>
    <pivotTable tabId="3" name="PivotTable6"/>
  </pivotTables>
  <data>
    <tabular pivotCacheId="517405332">
      <items count="363">
        <i x="362"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8338F2FC-91DE-4B5D-A578-C04F617CD2EA}" cache="Slicer_Date" caption="Date" startItem="5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39D5FD-EF3F-4ACB-8B99-F7ED16FD0383}" name="Table_Table1" displayName="Table_Table1" ref="A1:N2001" tableType="queryTable" totalsRowShown="0" headerRowDxfId="80" dataDxfId="79">
  <autoFilter ref="A1:N2001" xr:uid="{5739D5FD-EF3F-4ACB-8B99-F7ED16FD0383}"/>
  <sortState xmlns:xlrd2="http://schemas.microsoft.com/office/spreadsheetml/2017/richdata2" ref="A2:N2001">
    <sortCondition ref="B1:B2001"/>
  </sortState>
  <tableColumns count="14">
    <tableColumn id="1" xr3:uid="{802FA1DB-61D1-402B-BA55-9B10D788681D}" uniqueName="1" name="Order ID" queryTableFieldId="1" dataDxfId="78"/>
    <tableColumn id="2" xr3:uid="{CAED028F-1C16-4AC2-ADC4-16DE97F0F0C8}" uniqueName="2" name="Date" queryTableFieldId="2" dataDxfId="77"/>
    <tableColumn id="3" xr3:uid="{B55ADE2C-90C8-48FD-8BB2-A99BF4A73CEA}" uniqueName="3" name="Region" queryTableFieldId="3" dataDxfId="76"/>
    <tableColumn id="4" xr3:uid="{BB51C254-9F13-46C3-BAF4-75E42168F1F4}" uniqueName="4" name="Sales Channel" queryTableFieldId="4" dataDxfId="75"/>
    <tableColumn id="5" xr3:uid="{C96C9333-8482-4D04-A5F2-86AB4118EEA9}" uniqueName="5" name="Customer Type" queryTableFieldId="5" dataDxfId="74"/>
    <tableColumn id="6" xr3:uid="{0FC260D9-6D1A-4E31-8523-72A2D8A5C4FC}" uniqueName="6" name="Product Category" queryTableFieldId="6" dataDxfId="73"/>
    <tableColumn id="7" xr3:uid="{F19274F3-9AAD-4C5A-A556-4FC4781B4E8B}" uniqueName="7" name="Product" queryTableFieldId="7" dataDxfId="72"/>
    <tableColumn id="8" xr3:uid="{9AE3554E-9929-4629-A868-E937E08107BD}" uniqueName="8" name="Salesperson" queryTableFieldId="8" dataDxfId="71"/>
    <tableColumn id="9" xr3:uid="{82C8D52F-42D3-4565-91E4-B0F50B32A3D3}" uniqueName="9" name="Quantity" queryTableFieldId="9" dataDxfId="70"/>
    <tableColumn id="10" xr3:uid="{E39DA63E-DE62-44C6-9F9A-DA4864D051EE}" uniqueName="10" name="Unit Price" queryTableFieldId="10" dataDxfId="69"/>
    <tableColumn id="11" xr3:uid="{DA7BDFF1-54CD-43B7-9EDB-B1C3DAC7AE3E}" uniqueName="11" name="Discount" queryTableFieldId="11" dataDxfId="68"/>
    <tableColumn id="12" xr3:uid="{BDBF5186-191D-47DA-89FB-5B783DF185DC}" uniqueName="12" name="Revenue" queryTableFieldId="12" dataDxfId="67"/>
    <tableColumn id="13" xr3:uid="{3FD74F40-8D54-4870-B4D9-30D213988855}" uniqueName="13" name="Index Match" queryTableFieldId="13" dataDxfId="66">
      <calculatedColumnFormula>INDEX(D:D,MATCH(H2,H:H,0))</calculatedColumnFormula>
    </tableColumn>
    <tableColumn id="14" xr3:uid="{AE3A982B-55FF-438C-9592-BC14386DB680}" uniqueName="14" name="Vlookup" queryTableFieldId="14" dataDxfId="65">
      <calculatedColumnFormula>VLOOKUP(C:C,C:J,8,FALSE)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D551-A516-46FA-9355-F9A7E216E968}">
  <dimension ref="A3:L367"/>
  <sheetViews>
    <sheetView workbookViewId="0">
      <selection activeCell="N38" sqref="N38"/>
    </sheetView>
  </sheetViews>
  <sheetFormatPr defaultRowHeight="14.4" x14ac:dyDescent="0.3"/>
  <cols>
    <col min="1" max="1" width="18.44140625" bestFit="1" customWidth="1"/>
    <col min="2" max="2" width="8.109375" bestFit="1" customWidth="1"/>
    <col min="3" max="4" width="15.88671875" bestFit="1" customWidth="1"/>
    <col min="5" max="5" width="15" customWidth="1"/>
    <col min="8" max="8" width="12.5546875" bestFit="1" customWidth="1"/>
    <col min="9" max="9" width="17.21875" customWidth="1"/>
    <col min="11" max="11" width="14.109375" customWidth="1"/>
    <col min="12" max="12" width="13.77734375" customWidth="1"/>
  </cols>
  <sheetData>
    <row r="3" spans="1:12" x14ac:dyDescent="0.3">
      <c r="A3" s="2" t="s">
        <v>2299</v>
      </c>
      <c r="D3" s="2" t="s">
        <v>2295</v>
      </c>
      <c r="E3" t="s">
        <v>2294</v>
      </c>
      <c r="H3" s="2" t="s">
        <v>2295</v>
      </c>
      <c r="I3" t="s">
        <v>2294</v>
      </c>
      <c r="K3" s="2" t="s">
        <v>2295</v>
      </c>
      <c r="L3" t="s">
        <v>2294</v>
      </c>
    </row>
    <row r="4" spans="1:12" x14ac:dyDescent="0.3">
      <c r="A4" s="3" t="s">
        <v>2294</v>
      </c>
      <c r="B4" s="4">
        <v>3462605.3199999928</v>
      </c>
      <c r="D4" s="3">
        <v>46028</v>
      </c>
      <c r="E4" s="4">
        <v>42645.79</v>
      </c>
      <c r="H4" s="3" t="s">
        <v>61</v>
      </c>
      <c r="I4" s="4">
        <v>802603.64000000048</v>
      </c>
      <c r="K4" s="3" t="s">
        <v>82</v>
      </c>
      <c r="L4" s="4">
        <v>2058536.2400000002</v>
      </c>
    </row>
    <row r="5" spans="1:12" x14ac:dyDescent="0.3">
      <c r="A5" s="3" t="s">
        <v>2297</v>
      </c>
      <c r="B5" s="5">
        <v>7552</v>
      </c>
      <c r="D5" s="3">
        <v>46176</v>
      </c>
      <c r="E5" s="4">
        <v>40028.899999999994</v>
      </c>
      <c r="H5" s="3" t="s">
        <v>14</v>
      </c>
      <c r="I5" s="4">
        <v>658276.02000000048</v>
      </c>
      <c r="K5" s="3" t="s">
        <v>36</v>
      </c>
      <c r="L5" s="4">
        <v>737406.12000000011</v>
      </c>
    </row>
    <row r="6" spans="1:12" x14ac:dyDescent="0.3">
      <c r="A6" s="3" t="s">
        <v>2298</v>
      </c>
      <c r="B6" s="5">
        <v>2000</v>
      </c>
      <c r="D6" s="3" t="s">
        <v>186</v>
      </c>
      <c r="E6" s="4">
        <v>37447.22</v>
      </c>
      <c r="H6" s="3" t="s">
        <v>54</v>
      </c>
      <c r="I6" s="4">
        <v>787107.32999999949</v>
      </c>
      <c r="K6" s="3" t="s">
        <v>42</v>
      </c>
      <c r="L6" s="4">
        <v>291619.52000000008</v>
      </c>
    </row>
    <row r="7" spans="1:12" x14ac:dyDescent="0.3">
      <c r="A7" s="3" t="s">
        <v>2300</v>
      </c>
      <c r="B7" s="4">
        <v>1731.3026599999964</v>
      </c>
      <c r="D7" s="3">
        <v>46026</v>
      </c>
      <c r="E7" s="4">
        <v>32521.61</v>
      </c>
      <c r="H7" s="3" t="s">
        <v>21</v>
      </c>
      <c r="I7" s="4">
        <v>627690.51999999979</v>
      </c>
      <c r="K7" s="3" t="s">
        <v>17</v>
      </c>
      <c r="L7" s="4">
        <v>269998.04999999987</v>
      </c>
    </row>
    <row r="8" spans="1:12" x14ac:dyDescent="0.3">
      <c r="D8" s="3" t="s">
        <v>1229</v>
      </c>
      <c r="E8" s="4">
        <v>31589.850000000006</v>
      </c>
      <c r="H8" s="3" t="s">
        <v>47</v>
      </c>
      <c r="I8" s="4">
        <v>586927.80999999971</v>
      </c>
      <c r="K8" s="3" t="s">
        <v>29</v>
      </c>
      <c r="L8" s="4">
        <v>85917.490000000034</v>
      </c>
    </row>
    <row r="9" spans="1:12" x14ac:dyDescent="0.3">
      <c r="D9" s="3" t="s">
        <v>1262</v>
      </c>
      <c r="E9" s="4">
        <v>30489.200000000001</v>
      </c>
      <c r="H9" s="3" t="s">
        <v>2296</v>
      </c>
      <c r="I9" s="4">
        <v>3462605.3200000003</v>
      </c>
      <c r="K9" s="3" t="s">
        <v>23</v>
      </c>
      <c r="L9" s="4">
        <v>19127.899999999998</v>
      </c>
    </row>
    <row r="10" spans="1:12" x14ac:dyDescent="0.3">
      <c r="D10" s="3" t="s">
        <v>821</v>
      </c>
      <c r="E10" s="4">
        <v>29176.489999999998</v>
      </c>
      <c r="K10" s="3" t="s">
        <v>2296</v>
      </c>
      <c r="L10" s="4">
        <v>3462605.3200000003</v>
      </c>
    </row>
    <row r="11" spans="1:12" x14ac:dyDescent="0.3">
      <c r="D11" s="3" t="s">
        <v>741</v>
      </c>
      <c r="E11" s="4">
        <v>29075.79</v>
      </c>
    </row>
    <row r="12" spans="1:12" x14ac:dyDescent="0.3">
      <c r="D12" s="3" t="s">
        <v>360</v>
      </c>
      <c r="E12" s="4">
        <v>26461.770000000004</v>
      </c>
    </row>
    <row r="13" spans="1:12" x14ac:dyDescent="0.3">
      <c r="D13" s="3">
        <v>46357</v>
      </c>
      <c r="E13" s="4">
        <v>26454.399999999998</v>
      </c>
    </row>
    <row r="14" spans="1:12" x14ac:dyDescent="0.3">
      <c r="D14" s="3" t="s">
        <v>1380</v>
      </c>
      <c r="E14" s="4">
        <v>26370.399999999998</v>
      </c>
    </row>
    <row r="15" spans="1:12" x14ac:dyDescent="0.3">
      <c r="D15" s="3">
        <v>46365</v>
      </c>
      <c r="E15" s="4">
        <v>26163.8</v>
      </c>
    </row>
    <row r="16" spans="1:12" x14ac:dyDescent="0.3">
      <c r="D16" s="3" t="s">
        <v>1179</v>
      </c>
      <c r="E16" s="4">
        <v>25840.019999999997</v>
      </c>
    </row>
    <row r="17" spans="4:12" x14ac:dyDescent="0.3">
      <c r="D17" s="3" t="s">
        <v>1239</v>
      </c>
      <c r="E17" s="4">
        <v>25672.15</v>
      </c>
    </row>
    <row r="18" spans="4:12" x14ac:dyDescent="0.3">
      <c r="D18" s="3">
        <v>46085</v>
      </c>
      <c r="E18" s="4">
        <v>25131.480000000003</v>
      </c>
    </row>
    <row r="19" spans="4:12" x14ac:dyDescent="0.3">
      <c r="D19" s="3" t="s">
        <v>1480</v>
      </c>
      <c r="E19" s="4">
        <v>25101.27</v>
      </c>
      <c r="H19" s="2" t="s">
        <v>2295</v>
      </c>
      <c r="I19" t="s">
        <v>2294</v>
      </c>
      <c r="K19" s="2" t="s">
        <v>2295</v>
      </c>
      <c r="L19" t="s">
        <v>2294</v>
      </c>
    </row>
    <row r="20" spans="4:12" x14ac:dyDescent="0.3">
      <c r="D20" s="3" t="s">
        <v>513</v>
      </c>
      <c r="E20" s="4">
        <v>24792.5</v>
      </c>
      <c r="H20" s="3" t="s">
        <v>35</v>
      </c>
      <c r="I20" s="4">
        <v>1013948.6899999996</v>
      </c>
      <c r="K20" s="3" t="s">
        <v>77</v>
      </c>
      <c r="L20" s="4">
        <v>271543.21000000008</v>
      </c>
    </row>
    <row r="21" spans="4:12" x14ac:dyDescent="0.3">
      <c r="D21" s="3" t="s">
        <v>293</v>
      </c>
      <c r="E21" s="4">
        <v>24657.010000000002</v>
      </c>
      <c r="H21" s="3" t="s">
        <v>22</v>
      </c>
      <c r="I21" s="4">
        <v>429017.54000000039</v>
      </c>
      <c r="K21" s="3" t="s">
        <v>96</v>
      </c>
      <c r="L21" s="4">
        <v>389723.93999999989</v>
      </c>
    </row>
    <row r="22" spans="4:12" x14ac:dyDescent="0.3">
      <c r="D22" s="3" t="s">
        <v>1372</v>
      </c>
      <c r="E22" s="4">
        <v>24497.68</v>
      </c>
      <c r="H22" s="3" t="s">
        <v>15</v>
      </c>
      <c r="I22" s="4">
        <v>1112657.2199999995</v>
      </c>
      <c r="K22" s="3" t="s">
        <v>114</v>
      </c>
      <c r="L22" s="4">
        <v>403380.01999999996</v>
      </c>
    </row>
    <row r="23" spans="4:12" x14ac:dyDescent="0.3">
      <c r="D23" s="3" t="s">
        <v>1106</v>
      </c>
      <c r="E23" s="4">
        <v>24245.51</v>
      </c>
      <c r="H23" s="3" t="s">
        <v>27</v>
      </c>
      <c r="I23" s="4">
        <v>906981.87000000011</v>
      </c>
      <c r="K23" s="3" t="s">
        <v>150</v>
      </c>
      <c r="L23" s="4">
        <v>404051.34000000008</v>
      </c>
    </row>
    <row r="24" spans="4:12" x14ac:dyDescent="0.3">
      <c r="D24" s="3" t="s">
        <v>527</v>
      </c>
      <c r="E24" s="4">
        <v>23982.080000000002</v>
      </c>
      <c r="H24" s="3" t="s">
        <v>2296</v>
      </c>
      <c r="I24" s="4">
        <v>3462605.3199999994</v>
      </c>
      <c r="K24" s="3" t="s">
        <v>83</v>
      </c>
      <c r="L24" s="4">
        <v>665930.53</v>
      </c>
    </row>
    <row r="25" spans="4:12" x14ac:dyDescent="0.3">
      <c r="D25" s="3" t="s">
        <v>266</v>
      </c>
      <c r="E25" s="4">
        <v>23619.149999999998</v>
      </c>
      <c r="K25" s="3" t="s">
        <v>2296</v>
      </c>
      <c r="L25" s="4">
        <v>2134629.04</v>
      </c>
    </row>
    <row r="26" spans="4:12" x14ac:dyDescent="0.3">
      <c r="D26" s="3" t="s">
        <v>546</v>
      </c>
      <c r="E26" s="4">
        <v>23507.210000000003</v>
      </c>
    </row>
    <row r="27" spans="4:12" x14ac:dyDescent="0.3">
      <c r="D27" s="3" t="s">
        <v>124</v>
      </c>
      <c r="E27" s="4">
        <v>23367.97</v>
      </c>
    </row>
    <row r="28" spans="4:12" x14ac:dyDescent="0.3">
      <c r="D28" s="3" t="s">
        <v>1164</v>
      </c>
      <c r="E28" s="4">
        <v>22782.28</v>
      </c>
    </row>
    <row r="29" spans="4:12" x14ac:dyDescent="0.3">
      <c r="D29" s="3" t="s">
        <v>974</v>
      </c>
      <c r="E29" s="4">
        <v>22721.360000000001</v>
      </c>
    </row>
    <row r="30" spans="4:12" x14ac:dyDescent="0.3">
      <c r="D30" s="3" t="s">
        <v>856</v>
      </c>
      <c r="E30" s="4">
        <v>22630.03</v>
      </c>
    </row>
    <row r="31" spans="4:12" x14ac:dyDescent="0.3">
      <c r="D31" s="3">
        <v>46151</v>
      </c>
      <c r="E31" s="4">
        <v>22354.19</v>
      </c>
    </row>
    <row r="32" spans="4:12" x14ac:dyDescent="0.3">
      <c r="D32" s="3">
        <v>46330</v>
      </c>
      <c r="E32" s="4">
        <v>21682.720000000001</v>
      </c>
    </row>
    <row r="33" spans="4:5" x14ac:dyDescent="0.3">
      <c r="D33" s="3">
        <v>46033</v>
      </c>
      <c r="E33" s="4">
        <v>21352.75</v>
      </c>
    </row>
    <row r="34" spans="4:5" x14ac:dyDescent="0.3">
      <c r="D34" s="3" t="s">
        <v>206</v>
      </c>
      <c r="E34" s="4">
        <v>21121.02</v>
      </c>
    </row>
    <row r="35" spans="4:5" x14ac:dyDescent="0.3">
      <c r="D35" s="3">
        <v>46090</v>
      </c>
      <c r="E35" s="4">
        <v>20235.199999999997</v>
      </c>
    </row>
    <row r="36" spans="4:5" x14ac:dyDescent="0.3">
      <c r="D36" s="3" t="s">
        <v>897</v>
      </c>
      <c r="E36" s="4">
        <v>20092.91</v>
      </c>
    </row>
    <row r="37" spans="4:5" x14ac:dyDescent="0.3">
      <c r="D37" s="3">
        <v>46274</v>
      </c>
      <c r="E37" s="4">
        <v>19938.14</v>
      </c>
    </row>
    <row r="38" spans="4:5" x14ac:dyDescent="0.3">
      <c r="D38" s="3">
        <v>46300</v>
      </c>
      <c r="E38" s="4">
        <v>19778.859999999997</v>
      </c>
    </row>
    <row r="39" spans="4:5" x14ac:dyDescent="0.3">
      <c r="D39" s="3" t="s">
        <v>711</v>
      </c>
      <c r="E39" s="4">
        <v>19409.150000000001</v>
      </c>
    </row>
    <row r="40" spans="4:5" x14ac:dyDescent="0.3">
      <c r="D40" s="3">
        <v>46276</v>
      </c>
      <c r="E40" s="4">
        <v>19291.5</v>
      </c>
    </row>
    <row r="41" spans="4:5" x14ac:dyDescent="0.3">
      <c r="D41" s="3">
        <v>46362</v>
      </c>
      <c r="E41" s="4">
        <v>19234.71</v>
      </c>
    </row>
    <row r="42" spans="4:5" x14ac:dyDescent="0.3">
      <c r="D42" s="3" t="s">
        <v>339</v>
      </c>
      <c r="E42" s="4">
        <v>19136.38</v>
      </c>
    </row>
    <row r="43" spans="4:5" x14ac:dyDescent="0.3">
      <c r="D43" s="3">
        <v>46175</v>
      </c>
      <c r="E43" s="4">
        <v>19087.11</v>
      </c>
    </row>
    <row r="44" spans="4:5" x14ac:dyDescent="0.3">
      <c r="D44" s="3" t="s">
        <v>600</v>
      </c>
      <c r="E44" s="4">
        <v>18903.84</v>
      </c>
    </row>
    <row r="45" spans="4:5" x14ac:dyDescent="0.3">
      <c r="D45" s="3" t="s">
        <v>721</v>
      </c>
      <c r="E45" s="4">
        <v>18865.22</v>
      </c>
    </row>
    <row r="46" spans="4:5" x14ac:dyDescent="0.3">
      <c r="D46" s="3" t="s">
        <v>495</v>
      </c>
      <c r="E46" s="4">
        <v>18846.07</v>
      </c>
    </row>
    <row r="47" spans="4:5" x14ac:dyDescent="0.3">
      <c r="D47" s="3" t="s">
        <v>1219</v>
      </c>
      <c r="E47" s="4">
        <v>18799.019999999997</v>
      </c>
    </row>
    <row r="48" spans="4:5" x14ac:dyDescent="0.3">
      <c r="D48" s="3" t="s">
        <v>460</v>
      </c>
      <c r="E48" s="4">
        <v>18504.23</v>
      </c>
    </row>
    <row r="49" spans="4:5" x14ac:dyDescent="0.3">
      <c r="D49" s="3" t="s">
        <v>468</v>
      </c>
      <c r="E49" s="4">
        <v>18463.18</v>
      </c>
    </row>
    <row r="50" spans="4:5" x14ac:dyDescent="0.3">
      <c r="D50" s="3">
        <v>46244</v>
      </c>
      <c r="E50" s="4">
        <v>18141.22</v>
      </c>
    </row>
    <row r="51" spans="4:5" x14ac:dyDescent="0.3">
      <c r="D51" s="3" t="s">
        <v>484</v>
      </c>
      <c r="E51" s="4">
        <v>17829.79</v>
      </c>
    </row>
    <row r="52" spans="4:5" x14ac:dyDescent="0.3">
      <c r="D52" s="3" t="s">
        <v>222</v>
      </c>
      <c r="E52" s="4">
        <v>17586.39</v>
      </c>
    </row>
    <row r="53" spans="4:5" x14ac:dyDescent="0.3">
      <c r="D53" s="3" t="s">
        <v>849</v>
      </c>
      <c r="E53" s="4">
        <v>17452.150000000001</v>
      </c>
    </row>
    <row r="54" spans="4:5" x14ac:dyDescent="0.3">
      <c r="D54" s="3">
        <v>46057</v>
      </c>
      <c r="E54" s="4">
        <v>17313.68</v>
      </c>
    </row>
    <row r="55" spans="4:5" x14ac:dyDescent="0.3">
      <c r="D55" s="3" t="s">
        <v>287</v>
      </c>
      <c r="E55" s="4">
        <v>17251.739999999998</v>
      </c>
    </row>
    <row r="56" spans="4:5" x14ac:dyDescent="0.3">
      <c r="D56" s="3">
        <v>46360</v>
      </c>
      <c r="E56" s="4">
        <v>17143.830000000002</v>
      </c>
    </row>
    <row r="57" spans="4:5" x14ac:dyDescent="0.3">
      <c r="D57" s="3" t="s">
        <v>1195</v>
      </c>
      <c r="E57" s="4">
        <v>16913.7</v>
      </c>
    </row>
    <row r="58" spans="4:5" x14ac:dyDescent="0.3">
      <c r="D58" s="3">
        <v>46204</v>
      </c>
      <c r="E58" s="4">
        <v>16875.359999999997</v>
      </c>
    </row>
    <row r="59" spans="4:5" x14ac:dyDescent="0.3">
      <c r="D59" s="3" t="s">
        <v>779</v>
      </c>
      <c r="E59" s="4">
        <v>16844.280000000002</v>
      </c>
    </row>
    <row r="60" spans="4:5" x14ac:dyDescent="0.3">
      <c r="D60" s="3" t="s">
        <v>1090</v>
      </c>
      <c r="E60" s="4">
        <v>16831.04</v>
      </c>
    </row>
    <row r="61" spans="4:5" x14ac:dyDescent="0.3">
      <c r="D61" s="3" t="s">
        <v>1076</v>
      </c>
      <c r="E61" s="4">
        <v>16693.260000000002</v>
      </c>
    </row>
    <row r="62" spans="4:5" x14ac:dyDescent="0.3">
      <c r="D62" s="3" t="s">
        <v>92</v>
      </c>
      <c r="E62" s="4">
        <v>16471.150000000001</v>
      </c>
    </row>
    <row r="63" spans="4:5" x14ac:dyDescent="0.3">
      <c r="D63" s="3" t="s">
        <v>1025</v>
      </c>
      <c r="E63" s="4">
        <v>16305.820000000002</v>
      </c>
    </row>
    <row r="64" spans="4:5" x14ac:dyDescent="0.3">
      <c r="D64" s="3">
        <v>46030</v>
      </c>
      <c r="E64" s="4">
        <v>16300.05</v>
      </c>
    </row>
    <row r="65" spans="4:5" x14ac:dyDescent="0.3">
      <c r="D65" s="3">
        <v>46182</v>
      </c>
      <c r="E65" s="4">
        <v>16230.849999999999</v>
      </c>
    </row>
    <row r="66" spans="4:5" x14ac:dyDescent="0.3">
      <c r="D66" s="3" t="s">
        <v>1033</v>
      </c>
      <c r="E66" s="4">
        <v>15960.58</v>
      </c>
    </row>
    <row r="67" spans="4:5" x14ac:dyDescent="0.3">
      <c r="D67" s="3">
        <v>46297</v>
      </c>
      <c r="E67" s="4">
        <v>15827.210000000001</v>
      </c>
    </row>
    <row r="68" spans="4:5" x14ac:dyDescent="0.3">
      <c r="D68" s="3" t="s">
        <v>332</v>
      </c>
      <c r="E68" s="4">
        <v>15787.740000000002</v>
      </c>
    </row>
    <row r="69" spans="4:5" x14ac:dyDescent="0.3">
      <c r="D69" s="3">
        <v>46236</v>
      </c>
      <c r="E69" s="4">
        <v>15776.42</v>
      </c>
    </row>
    <row r="70" spans="4:5" x14ac:dyDescent="0.3">
      <c r="D70" s="3">
        <v>46179</v>
      </c>
      <c r="E70" s="4">
        <v>15737.180000000002</v>
      </c>
    </row>
    <row r="71" spans="4:5" x14ac:dyDescent="0.3">
      <c r="D71" s="3">
        <v>46307</v>
      </c>
      <c r="E71" s="4">
        <v>15273.559999999998</v>
      </c>
    </row>
    <row r="72" spans="4:5" x14ac:dyDescent="0.3">
      <c r="D72" s="3">
        <v>46328</v>
      </c>
      <c r="E72" s="4">
        <v>15038.03</v>
      </c>
    </row>
    <row r="73" spans="4:5" x14ac:dyDescent="0.3">
      <c r="D73" s="3" t="s">
        <v>200</v>
      </c>
      <c r="E73" s="4">
        <v>14970.119999999999</v>
      </c>
    </row>
    <row r="74" spans="4:5" x14ac:dyDescent="0.3">
      <c r="D74" s="3" t="s">
        <v>1360</v>
      </c>
      <c r="E74" s="4">
        <v>14957.97</v>
      </c>
    </row>
    <row r="75" spans="4:5" x14ac:dyDescent="0.3">
      <c r="D75" s="3" t="s">
        <v>252</v>
      </c>
      <c r="E75" s="4">
        <v>14931.829999999998</v>
      </c>
    </row>
    <row r="76" spans="4:5" x14ac:dyDescent="0.3">
      <c r="D76" s="3">
        <v>46119</v>
      </c>
      <c r="E76" s="4">
        <v>14846.680000000002</v>
      </c>
    </row>
    <row r="77" spans="4:5" x14ac:dyDescent="0.3">
      <c r="D77" s="3">
        <v>46145</v>
      </c>
      <c r="E77" s="4">
        <v>14796.36</v>
      </c>
    </row>
    <row r="78" spans="4:5" x14ac:dyDescent="0.3">
      <c r="D78" s="3" t="s">
        <v>1348</v>
      </c>
      <c r="E78" s="4">
        <v>14658.5</v>
      </c>
    </row>
    <row r="79" spans="4:5" x14ac:dyDescent="0.3">
      <c r="D79" s="3">
        <v>46358</v>
      </c>
      <c r="E79" s="4">
        <v>14540.149999999998</v>
      </c>
    </row>
    <row r="80" spans="4:5" x14ac:dyDescent="0.3">
      <c r="D80" s="3" t="s">
        <v>1256</v>
      </c>
      <c r="E80" s="4">
        <v>14504.11</v>
      </c>
    </row>
    <row r="81" spans="4:5" x14ac:dyDescent="0.3">
      <c r="D81" s="3" t="s">
        <v>792</v>
      </c>
      <c r="E81" s="4">
        <v>14484.31</v>
      </c>
    </row>
    <row r="82" spans="4:5" x14ac:dyDescent="0.3">
      <c r="D82" s="3" t="s">
        <v>447</v>
      </c>
      <c r="E82" s="4">
        <v>14448.599999999999</v>
      </c>
    </row>
    <row r="83" spans="4:5" x14ac:dyDescent="0.3">
      <c r="D83" s="3">
        <v>46148</v>
      </c>
      <c r="E83" s="4">
        <v>14381.93</v>
      </c>
    </row>
    <row r="84" spans="4:5" x14ac:dyDescent="0.3">
      <c r="D84" s="3">
        <v>46304</v>
      </c>
      <c r="E84" s="4">
        <v>14365.73</v>
      </c>
    </row>
    <row r="85" spans="4:5" x14ac:dyDescent="0.3">
      <c r="D85" s="3">
        <v>46305</v>
      </c>
      <c r="E85" s="4">
        <v>14217.34</v>
      </c>
    </row>
    <row r="86" spans="4:5" x14ac:dyDescent="0.3">
      <c r="D86" s="3">
        <v>46301</v>
      </c>
      <c r="E86" s="4">
        <v>14178.2</v>
      </c>
    </row>
    <row r="87" spans="4:5" x14ac:dyDescent="0.3">
      <c r="D87" s="3">
        <v>46123</v>
      </c>
      <c r="E87" s="4">
        <v>14112.64</v>
      </c>
    </row>
    <row r="88" spans="4:5" x14ac:dyDescent="0.3">
      <c r="D88" s="3" t="s">
        <v>307</v>
      </c>
      <c r="E88" s="4">
        <v>14074.5</v>
      </c>
    </row>
    <row r="89" spans="4:5" x14ac:dyDescent="0.3">
      <c r="D89" s="3">
        <v>46056</v>
      </c>
      <c r="E89" s="4">
        <v>14040.550000000001</v>
      </c>
    </row>
    <row r="90" spans="4:5" x14ac:dyDescent="0.3">
      <c r="D90" s="3">
        <v>46024</v>
      </c>
      <c r="E90" s="4">
        <v>14026.61</v>
      </c>
    </row>
    <row r="91" spans="4:5" x14ac:dyDescent="0.3">
      <c r="D91" s="3" t="s">
        <v>573</v>
      </c>
      <c r="E91" s="4">
        <v>14021.960000000001</v>
      </c>
    </row>
    <row r="92" spans="4:5" x14ac:dyDescent="0.3">
      <c r="D92" s="3" t="s">
        <v>111</v>
      </c>
      <c r="E92" s="4">
        <v>13649.23</v>
      </c>
    </row>
    <row r="93" spans="4:5" x14ac:dyDescent="0.3">
      <c r="D93" s="3" t="s">
        <v>1417</v>
      </c>
      <c r="E93" s="4">
        <v>13563.05</v>
      </c>
    </row>
    <row r="94" spans="4:5" x14ac:dyDescent="0.3">
      <c r="D94" s="3">
        <v>46177</v>
      </c>
      <c r="E94" s="4">
        <v>13109.49</v>
      </c>
    </row>
    <row r="95" spans="4:5" x14ac:dyDescent="0.3">
      <c r="D95" s="3" t="s">
        <v>76</v>
      </c>
      <c r="E95" s="4">
        <v>13096.579999999998</v>
      </c>
    </row>
    <row r="96" spans="4:5" x14ac:dyDescent="0.3">
      <c r="D96" s="3" t="s">
        <v>410</v>
      </c>
      <c r="E96" s="4">
        <v>13000.630000000001</v>
      </c>
    </row>
    <row r="97" spans="4:5" x14ac:dyDescent="0.3">
      <c r="D97" s="3" t="s">
        <v>960</v>
      </c>
      <c r="E97" s="4">
        <v>12993.07</v>
      </c>
    </row>
    <row r="98" spans="4:5" x14ac:dyDescent="0.3">
      <c r="D98" s="3" t="s">
        <v>1328</v>
      </c>
      <c r="E98" s="4">
        <v>12697.079999999998</v>
      </c>
    </row>
    <row r="99" spans="4:5" x14ac:dyDescent="0.3">
      <c r="D99" s="3">
        <v>46029</v>
      </c>
      <c r="E99" s="4">
        <v>12696.029999999999</v>
      </c>
    </row>
    <row r="100" spans="4:5" x14ac:dyDescent="0.3">
      <c r="D100" s="3">
        <v>46337</v>
      </c>
      <c r="E100" s="4">
        <v>12646.44</v>
      </c>
    </row>
    <row r="101" spans="4:5" x14ac:dyDescent="0.3">
      <c r="D101" s="3">
        <v>46065</v>
      </c>
      <c r="E101" s="4">
        <v>12540.73</v>
      </c>
    </row>
    <row r="102" spans="4:5" x14ac:dyDescent="0.3">
      <c r="D102" s="3" t="s">
        <v>1494</v>
      </c>
      <c r="E102" s="4">
        <v>12521.269999999999</v>
      </c>
    </row>
    <row r="103" spans="4:5" x14ac:dyDescent="0.3">
      <c r="D103" s="3">
        <v>46054</v>
      </c>
      <c r="E103" s="4">
        <v>12417.6</v>
      </c>
    </row>
    <row r="104" spans="4:5" x14ac:dyDescent="0.3">
      <c r="D104" s="3">
        <v>46206</v>
      </c>
      <c r="E104" s="4">
        <v>12362.59</v>
      </c>
    </row>
    <row r="105" spans="4:5" x14ac:dyDescent="0.3">
      <c r="D105" s="3" t="s">
        <v>828</v>
      </c>
      <c r="E105" s="4">
        <v>12295.6</v>
      </c>
    </row>
    <row r="106" spans="4:5" x14ac:dyDescent="0.3">
      <c r="D106" s="3">
        <v>46180</v>
      </c>
      <c r="E106" s="4">
        <v>12286.21</v>
      </c>
    </row>
    <row r="107" spans="4:5" x14ac:dyDescent="0.3">
      <c r="D107" s="3" t="s">
        <v>1062</v>
      </c>
      <c r="E107" s="4">
        <v>12228.570000000002</v>
      </c>
    </row>
    <row r="108" spans="4:5" x14ac:dyDescent="0.3">
      <c r="D108" s="3" t="s">
        <v>672</v>
      </c>
      <c r="E108" s="4">
        <v>12185.43</v>
      </c>
    </row>
    <row r="109" spans="4:5" x14ac:dyDescent="0.3">
      <c r="D109" s="3">
        <v>46117</v>
      </c>
      <c r="E109" s="4">
        <v>12173.039999999999</v>
      </c>
    </row>
    <row r="110" spans="4:5" x14ac:dyDescent="0.3">
      <c r="D110" s="3" t="s">
        <v>704</v>
      </c>
      <c r="E110" s="4">
        <v>12164.67</v>
      </c>
    </row>
    <row r="111" spans="4:5" x14ac:dyDescent="0.3">
      <c r="D111" s="3" t="s">
        <v>389</v>
      </c>
      <c r="E111" s="4">
        <v>12033</v>
      </c>
    </row>
    <row r="112" spans="4:5" x14ac:dyDescent="0.3">
      <c r="D112" s="3" t="s">
        <v>1130</v>
      </c>
      <c r="E112" s="4">
        <v>11974.5</v>
      </c>
    </row>
    <row r="113" spans="4:5" x14ac:dyDescent="0.3">
      <c r="D113" s="3" t="s">
        <v>580</v>
      </c>
      <c r="E113" s="4">
        <v>11945.82</v>
      </c>
    </row>
    <row r="114" spans="4:5" x14ac:dyDescent="0.3">
      <c r="D114" s="3">
        <v>46122</v>
      </c>
      <c r="E114" s="4">
        <v>11938.67</v>
      </c>
    </row>
    <row r="115" spans="4:5" x14ac:dyDescent="0.3">
      <c r="D115" s="3" t="s">
        <v>940</v>
      </c>
      <c r="E115" s="4">
        <v>11926.919999999998</v>
      </c>
    </row>
    <row r="116" spans="4:5" x14ac:dyDescent="0.3">
      <c r="D116" s="3" t="s">
        <v>1336</v>
      </c>
      <c r="E116" s="4">
        <v>11904.659999999998</v>
      </c>
    </row>
    <row r="117" spans="4:5" x14ac:dyDescent="0.3">
      <c r="D117" s="3" t="s">
        <v>235</v>
      </c>
      <c r="E117" s="4">
        <v>11875.32</v>
      </c>
    </row>
    <row r="118" spans="4:5" x14ac:dyDescent="0.3">
      <c r="D118" s="3" t="s">
        <v>1502</v>
      </c>
      <c r="E118" s="4">
        <v>11852.64</v>
      </c>
    </row>
    <row r="119" spans="4:5" x14ac:dyDescent="0.3">
      <c r="D119" s="3">
        <v>46146</v>
      </c>
      <c r="E119" s="4">
        <v>11787.220000000001</v>
      </c>
    </row>
    <row r="120" spans="4:5" x14ac:dyDescent="0.3">
      <c r="D120" s="3">
        <v>46335</v>
      </c>
      <c r="E120" s="4">
        <v>11578.44</v>
      </c>
    </row>
    <row r="121" spans="4:5" x14ac:dyDescent="0.3">
      <c r="D121" s="3">
        <v>46359</v>
      </c>
      <c r="E121" s="4">
        <v>11525.58</v>
      </c>
    </row>
    <row r="122" spans="4:5" x14ac:dyDescent="0.3">
      <c r="D122" s="3">
        <v>46181</v>
      </c>
      <c r="E122" s="4">
        <v>11503.81</v>
      </c>
    </row>
    <row r="123" spans="4:5" x14ac:dyDescent="0.3">
      <c r="D123" s="3" t="s">
        <v>417</v>
      </c>
      <c r="E123" s="4">
        <v>11402.99</v>
      </c>
    </row>
    <row r="124" spans="4:5" x14ac:dyDescent="0.3">
      <c r="D124" s="3" t="s">
        <v>431</v>
      </c>
      <c r="E124" s="4">
        <v>11292.300000000001</v>
      </c>
    </row>
    <row r="125" spans="4:5" x14ac:dyDescent="0.3">
      <c r="D125" s="3" t="s">
        <v>617</v>
      </c>
      <c r="E125" s="4">
        <v>11176.93</v>
      </c>
    </row>
    <row r="126" spans="4:5" x14ac:dyDescent="0.3">
      <c r="D126" s="3" t="s">
        <v>1158</v>
      </c>
      <c r="E126" s="4">
        <v>11110.460000000001</v>
      </c>
    </row>
    <row r="127" spans="4:5" x14ac:dyDescent="0.3">
      <c r="D127" s="3" t="s">
        <v>760</v>
      </c>
      <c r="E127" s="4">
        <v>10958.4</v>
      </c>
    </row>
    <row r="128" spans="4:5" x14ac:dyDescent="0.3">
      <c r="D128" s="3" t="s">
        <v>639</v>
      </c>
      <c r="E128" s="4">
        <v>10917.089999999998</v>
      </c>
    </row>
    <row r="129" spans="4:5" x14ac:dyDescent="0.3">
      <c r="D129" s="3" t="s">
        <v>1295</v>
      </c>
      <c r="E129" s="4">
        <v>10915.220000000001</v>
      </c>
    </row>
    <row r="130" spans="4:5" x14ac:dyDescent="0.3">
      <c r="D130" s="3" t="s">
        <v>441</v>
      </c>
      <c r="E130" s="4">
        <v>10897.81</v>
      </c>
    </row>
    <row r="131" spans="4:5" x14ac:dyDescent="0.3">
      <c r="D131" s="3" t="s">
        <v>611</v>
      </c>
      <c r="E131" s="4">
        <v>10761.46</v>
      </c>
    </row>
    <row r="132" spans="4:5" x14ac:dyDescent="0.3">
      <c r="D132" s="3" t="s">
        <v>1441</v>
      </c>
      <c r="E132" s="4">
        <v>10631.52</v>
      </c>
    </row>
    <row r="133" spans="4:5" x14ac:dyDescent="0.3">
      <c r="D133" s="3" t="s">
        <v>145</v>
      </c>
      <c r="E133" s="4">
        <v>10511.310000000001</v>
      </c>
    </row>
    <row r="134" spans="4:5" x14ac:dyDescent="0.3">
      <c r="D134" s="3" t="s">
        <v>1403</v>
      </c>
      <c r="E134" s="4">
        <v>10476.929999999998</v>
      </c>
    </row>
    <row r="135" spans="4:5" x14ac:dyDescent="0.3">
      <c r="D135" s="3" t="s">
        <v>952</v>
      </c>
      <c r="E135" s="4">
        <v>10451.310000000001</v>
      </c>
    </row>
    <row r="136" spans="4:5" x14ac:dyDescent="0.3">
      <c r="D136" s="3" t="s">
        <v>968</v>
      </c>
      <c r="E136" s="4">
        <v>10441.16</v>
      </c>
    </row>
    <row r="137" spans="4:5" x14ac:dyDescent="0.3">
      <c r="D137" s="3" t="s">
        <v>313</v>
      </c>
      <c r="E137" s="4">
        <v>10336.52</v>
      </c>
    </row>
    <row r="138" spans="4:5" x14ac:dyDescent="0.3">
      <c r="D138" s="3">
        <v>46209</v>
      </c>
      <c r="E138" s="4">
        <v>10145.27</v>
      </c>
    </row>
    <row r="139" spans="4:5" x14ac:dyDescent="0.3">
      <c r="D139" s="3">
        <v>46152</v>
      </c>
      <c r="E139" s="4">
        <v>10044.76</v>
      </c>
    </row>
    <row r="140" spans="4:5" x14ac:dyDescent="0.3">
      <c r="D140" s="3" t="s">
        <v>354</v>
      </c>
      <c r="E140" s="4">
        <v>10030.09</v>
      </c>
    </row>
    <row r="141" spans="4:5" x14ac:dyDescent="0.3">
      <c r="D141" s="3" t="s">
        <v>212</v>
      </c>
      <c r="E141" s="4">
        <v>10019.540000000001</v>
      </c>
    </row>
    <row r="142" spans="4:5" x14ac:dyDescent="0.3">
      <c r="D142" s="3">
        <v>46267</v>
      </c>
      <c r="E142" s="4">
        <v>10013.17</v>
      </c>
    </row>
    <row r="143" spans="4:5" x14ac:dyDescent="0.3">
      <c r="D143" s="3" t="s">
        <v>1451</v>
      </c>
      <c r="E143" s="4">
        <v>9993.64</v>
      </c>
    </row>
    <row r="144" spans="4:5" x14ac:dyDescent="0.3">
      <c r="D144" s="3">
        <v>46120</v>
      </c>
      <c r="E144" s="4">
        <v>9930.8799999999992</v>
      </c>
    </row>
    <row r="145" spans="4:5" x14ac:dyDescent="0.3">
      <c r="D145" s="3">
        <v>46268</v>
      </c>
      <c r="E145" s="4">
        <v>9699.17</v>
      </c>
    </row>
    <row r="146" spans="4:5" x14ac:dyDescent="0.3">
      <c r="D146" s="3" t="s">
        <v>806</v>
      </c>
      <c r="E146" s="4">
        <v>9641.0300000000007</v>
      </c>
    </row>
    <row r="147" spans="4:5" x14ac:dyDescent="0.3">
      <c r="D147" s="3" t="s">
        <v>1008</v>
      </c>
      <c r="E147" s="4">
        <v>9622.83</v>
      </c>
    </row>
    <row r="148" spans="4:5" x14ac:dyDescent="0.3">
      <c r="D148" s="3" t="s">
        <v>1085</v>
      </c>
      <c r="E148" s="4">
        <v>9575.26</v>
      </c>
    </row>
    <row r="149" spans="4:5" x14ac:dyDescent="0.3">
      <c r="D149" s="3">
        <v>46124</v>
      </c>
      <c r="E149" s="4">
        <v>9560.8100000000013</v>
      </c>
    </row>
    <row r="150" spans="4:5" x14ac:dyDescent="0.3">
      <c r="D150" s="3">
        <v>46092</v>
      </c>
      <c r="E150" s="4">
        <v>9549.3700000000008</v>
      </c>
    </row>
    <row r="151" spans="4:5" x14ac:dyDescent="0.3">
      <c r="D151" s="3">
        <v>46214</v>
      </c>
      <c r="E151" s="4">
        <v>9541.75</v>
      </c>
    </row>
    <row r="152" spans="4:5" x14ac:dyDescent="0.3">
      <c r="D152" s="3">
        <v>46185</v>
      </c>
      <c r="E152" s="4">
        <v>9533.8799999999992</v>
      </c>
    </row>
    <row r="153" spans="4:5" x14ac:dyDescent="0.3">
      <c r="D153" s="3" t="s">
        <v>878</v>
      </c>
      <c r="E153" s="4">
        <v>9506.0799999999981</v>
      </c>
    </row>
    <row r="154" spans="4:5" x14ac:dyDescent="0.3">
      <c r="D154" s="3" t="s">
        <v>934</v>
      </c>
      <c r="E154" s="4">
        <v>9500.41</v>
      </c>
    </row>
    <row r="155" spans="4:5" x14ac:dyDescent="0.3">
      <c r="D155" s="3" t="s">
        <v>566</v>
      </c>
      <c r="E155" s="4">
        <v>9497.9599999999991</v>
      </c>
    </row>
    <row r="156" spans="4:5" x14ac:dyDescent="0.3">
      <c r="D156" s="3">
        <v>46306</v>
      </c>
      <c r="E156" s="4">
        <v>9483.27</v>
      </c>
    </row>
    <row r="157" spans="4:5" x14ac:dyDescent="0.3">
      <c r="D157" s="3">
        <v>46150</v>
      </c>
      <c r="E157" s="4">
        <v>9467.6400000000012</v>
      </c>
    </row>
    <row r="158" spans="4:5" x14ac:dyDescent="0.3">
      <c r="D158" s="3">
        <v>46055</v>
      </c>
      <c r="E158" s="4">
        <v>9438.36</v>
      </c>
    </row>
    <row r="159" spans="4:5" x14ac:dyDescent="0.3">
      <c r="D159" s="3" t="s">
        <v>889</v>
      </c>
      <c r="E159" s="4">
        <v>9370.92</v>
      </c>
    </row>
    <row r="160" spans="4:5" x14ac:dyDescent="0.3">
      <c r="D160" s="3" t="s">
        <v>1486</v>
      </c>
      <c r="E160" s="4">
        <v>9303.43</v>
      </c>
    </row>
    <row r="161" spans="4:5" x14ac:dyDescent="0.3">
      <c r="D161" s="3">
        <v>46271</v>
      </c>
      <c r="E161" s="4">
        <v>9258.9900000000016</v>
      </c>
    </row>
    <row r="162" spans="4:5" x14ac:dyDescent="0.3">
      <c r="D162" s="3" t="s">
        <v>774</v>
      </c>
      <c r="E162" s="4">
        <v>9204.65</v>
      </c>
    </row>
    <row r="163" spans="4:5" x14ac:dyDescent="0.3">
      <c r="D163" s="3">
        <v>46064</v>
      </c>
      <c r="E163" s="4">
        <v>9201.2999999999993</v>
      </c>
    </row>
    <row r="164" spans="4:5" x14ac:dyDescent="0.3">
      <c r="D164" s="3" t="s">
        <v>810</v>
      </c>
      <c r="E164" s="4">
        <v>9137.4</v>
      </c>
    </row>
    <row r="165" spans="4:5" x14ac:dyDescent="0.3">
      <c r="D165" s="3">
        <v>46062</v>
      </c>
      <c r="E165" s="4">
        <v>9007.9699999999993</v>
      </c>
    </row>
    <row r="166" spans="4:5" x14ac:dyDescent="0.3">
      <c r="D166" s="3" t="s">
        <v>1300</v>
      </c>
      <c r="E166" s="4">
        <v>9002.7800000000007</v>
      </c>
    </row>
    <row r="167" spans="4:5" x14ac:dyDescent="0.3">
      <c r="D167" s="3" t="s">
        <v>1057</v>
      </c>
      <c r="E167" s="4">
        <v>8892.6699999999983</v>
      </c>
    </row>
    <row r="168" spans="4:5" x14ac:dyDescent="0.3">
      <c r="D168" s="3" t="s">
        <v>435</v>
      </c>
      <c r="E168" s="4">
        <v>8823.9599999999991</v>
      </c>
    </row>
    <row r="169" spans="4:5" x14ac:dyDescent="0.3">
      <c r="D169" s="3" t="s">
        <v>1311</v>
      </c>
      <c r="E169" s="4">
        <v>8794.17</v>
      </c>
    </row>
    <row r="170" spans="4:5" x14ac:dyDescent="0.3">
      <c r="D170" s="3" t="s">
        <v>684</v>
      </c>
      <c r="E170" s="4">
        <v>8706.57</v>
      </c>
    </row>
    <row r="171" spans="4:5" x14ac:dyDescent="0.3">
      <c r="D171" s="3" t="s">
        <v>837</v>
      </c>
      <c r="E171" s="4">
        <v>8659.4200000000019</v>
      </c>
    </row>
    <row r="172" spans="4:5" x14ac:dyDescent="0.3">
      <c r="D172" s="3" t="s">
        <v>320</v>
      </c>
      <c r="E172" s="4">
        <v>8611.34</v>
      </c>
    </row>
    <row r="173" spans="4:5" x14ac:dyDescent="0.3">
      <c r="D173" s="3" t="s">
        <v>424</v>
      </c>
      <c r="E173" s="4">
        <v>8473.08</v>
      </c>
    </row>
    <row r="174" spans="4:5" x14ac:dyDescent="0.3">
      <c r="D174" s="3" t="s">
        <v>735</v>
      </c>
      <c r="E174" s="4">
        <v>8468.39</v>
      </c>
    </row>
    <row r="175" spans="4:5" x14ac:dyDescent="0.3">
      <c r="D175" s="3">
        <v>46367</v>
      </c>
      <c r="E175" s="4">
        <v>8290.48</v>
      </c>
    </row>
    <row r="176" spans="4:5" x14ac:dyDescent="0.3">
      <c r="D176" s="3" t="s">
        <v>1277</v>
      </c>
      <c r="E176" s="4">
        <v>8230.16</v>
      </c>
    </row>
    <row r="177" spans="4:5" x14ac:dyDescent="0.3">
      <c r="D177" s="3" t="s">
        <v>765</v>
      </c>
      <c r="E177" s="4">
        <v>8208.3100000000013</v>
      </c>
    </row>
    <row r="178" spans="4:5" x14ac:dyDescent="0.3">
      <c r="D178" s="3">
        <v>46059</v>
      </c>
      <c r="E178" s="4">
        <v>8114.54</v>
      </c>
    </row>
    <row r="179" spans="4:5" x14ac:dyDescent="0.3">
      <c r="D179" s="3">
        <v>46207</v>
      </c>
      <c r="E179" s="4">
        <v>8086.22</v>
      </c>
    </row>
    <row r="180" spans="4:5" x14ac:dyDescent="0.3">
      <c r="D180" s="3">
        <v>46058</v>
      </c>
      <c r="E180" s="4">
        <v>8083.81</v>
      </c>
    </row>
    <row r="181" spans="4:5" x14ac:dyDescent="0.3">
      <c r="D181" s="3" t="s">
        <v>918</v>
      </c>
      <c r="E181" s="4">
        <v>8073.61</v>
      </c>
    </row>
    <row r="182" spans="4:5" x14ac:dyDescent="0.3">
      <c r="D182" s="3">
        <v>46093</v>
      </c>
      <c r="E182" s="4">
        <v>8024.829999999999</v>
      </c>
    </row>
    <row r="183" spans="4:5" x14ac:dyDescent="0.3">
      <c r="D183" s="3" t="s">
        <v>349</v>
      </c>
      <c r="E183" s="4">
        <v>7875.13</v>
      </c>
    </row>
    <row r="184" spans="4:5" x14ac:dyDescent="0.3">
      <c r="D184" s="3">
        <v>46084</v>
      </c>
      <c r="E184" s="4">
        <v>7865.1900000000005</v>
      </c>
    </row>
    <row r="185" spans="4:5" x14ac:dyDescent="0.3">
      <c r="D185" s="3">
        <v>46063</v>
      </c>
      <c r="E185" s="4">
        <v>7851.11</v>
      </c>
    </row>
    <row r="186" spans="4:5" x14ac:dyDescent="0.3">
      <c r="D186" s="3" t="s">
        <v>181</v>
      </c>
      <c r="E186" s="4">
        <v>7776.81</v>
      </c>
    </row>
    <row r="187" spans="4:5" x14ac:dyDescent="0.3">
      <c r="D187" s="3" t="s">
        <v>1455</v>
      </c>
      <c r="E187" s="4">
        <v>7733.65</v>
      </c>
    </row>
    <row r="188" spans="4:5" x14ac:dyDescent="0.3">
      <c r="D188" s="3" t="s">
        <v>169</v>
      </c>
      <c r="E188" s="4">
        <v>7648.1</v>
      </c>
    </row>
    <row r="189" spans="4:5" x14ac:dyDescent="0.3">
      <c r="D189" s="3" t="s">
        <v>647</v>
      </c>
      <c r="E189" s="4">
        <v>7616.7800000000007</v>
      </c>
    </row>
    <row r="190" spans="4:5" x14ac:dyDescent="0.3">
      <c r="D190" s="3" t="s">
        <v>1138</v>
      </c>
      <c r="E190" s="4">
        <v>7615.32</v>
      </c>
    </row>
    <row r="191" spans="4:5" x14ac:dyDescent="0.3">
      <c r="D191" s="3" t="s">
        <v>914</v>
      </c>
      <c r="E191" s="4">
        <v>7540.01</v>
      </c>
    </row>
    <row r="192" spans="4:5" x14ac:dyDescent="0.3">
      <c r="D192" s="3" t="s">
        <v>731</v>
      </c>
      <c r="E192" s="4">
        <v>7451.1</v>
      </c>
    </row>
    <row r="193" spans="4:5" x14ac:dyDescent="0.3">
      <c r="D193" s="3">
        <v>46114</v>
      </c>
      <c r="E193" s="4">
        <v>7421.09</v>
      </c>
    </row>
    <row r="194" spans="4:5" x14ac:dyDescent="0.3">
      <c r="D194" s="3" t="s">
        <v>217</v>
      </c>
      <c r="E194" s="4">
        <v>7350.99</v>
      </c>
    </row>
    <row r="195" spans="4:5" x14ac:dyDescent="0.3">
      <c r="D195" s="3">
        <v>46327</v>
      </c>
      <c r="E195" s="4">
        <v>7302.35</v>
      </c>
    </row>
    <row r="196" spans="4:5" x14ac:dyDescent="0.3">
      <c r="D196" s="3">
        <v>46211</v>
      </c>
      <c r="E196" s="4">
        <v>7299.91</v>
      </c>
    </row>
    <row r="197" spans="4:5" x14ac:dyDescent="0.3">
      <c r="D197" s="3">
        <v>46277</v>
      </c>
      <c r="E197" s="4">
        <v>7288.8</v>
      </c>
    </row>
    <row r="198" spans="4:5" x14ac:dyDescent="0.3">
      <c r="D198" s="3">
        <v>46087</v>
      </c>
      <c r="E198" s="4">
        <v>7247.1</v>
      </c>
    </row>
    <row r="199" spans="4:5" x14ac:dyDescent="0.3">
      <c r="D199" s="3" t="s">
        <v>505</v>
      </c>
      <c r="E199" s="4">
        <v>7241.5199999999995</v>
      </c>
    </row>
    <row r="200" spans="4:5" x14ac:dyDescent="0.3">
      <c r="D200" s="3" t="s">
        <v>1146</v>
      </c>
      <c r="E200" s="4">
        <v>7199.1599999999989</v>
      </c>
    </row>
    <row r="201" spans="4:5" x14ac:dyDescent="0.3">
      <c r="D201" s="3" t="s">
        <v>1342</v>
      </c>
      <c r="E201" s="4">
        <v>7194.3399999999992</v>
      </c>
    </row>
    <row r="202" spans="4:5" x14ac:dyDescent="0.3">
      <c r="D202" s="3">
        <v>46269</v>
      </c>
      <c r="E202" s="4">
        <v>7129.51</v>
      </c>
    </row>
    <row r="203" spans="4:5" x14ac:dyDescent="0.3">
      <c r="D203" s="3">
        <v>46213</v>
      </c>
      <c r="E203" s="4">
        <v>7125.1900000000005</v>
      </c>
    </row>
    <row r="204" spans="4:5" x14ac:dyDescent="0.3">
      <c r="D204" s="3" t="s">
        <v>595</v>
      </c>
      <c r="E204" s="4">
        <v>7107.4599999999991</v>
      </c>
    </row>
    <row r="205" spans="4:5" x14ac:dyDescent="0.3">
      <c r="D205" s="3" t="s">
        <v>53</v>
      </c>
      <c r="E205" s="4">
        <v>7048.35</v>
      </c>
    </row>
    <row r="206" spans="4:5" x14ac:dyDescent="0.3">
      <c r="D206" s="3" t="s">
        <v>1434</v>
      </c>
      <c r="E206" s="4">
        <v>7020</v>
      </c>
    </row>
    <row r="207" spans="4:5" x14ac:dyDescent="0.3">
      <c r="D207" s="3">
        <v>46368</v>
      </c>
      <c r="E207" s="4">
        <v>7001.08</v>
      </c>
    </row>
    <row r="208" spans="4:5" x14ac:dyDescent="0.3">
      <c r="D208" s="3" t="s">
        <v>1491</v>
      </c>
      <c r="E208" s="4">
        <v>6947.83</v>
      </c>
    </row>
    <row r="209" spans="4:5" x14ac:dyDescent="0.3">
      <c r="D209" s="3">
        <v>46302</v>
      </c>
      <c r="E209" s="4">
        <v>6930.3</v>
      </c>
    </row>
    <row r="210" spans="4:5" x14ac:dyDescent="0.3">
      <c r="D210" s="3">
        <v>46235</v>
      </c>
      <c r="E210" s="4">
        <v>6874.45</v>
      </c>
    </row>
    <row r="211" spans="4:5" x14ac:dyDescent="0.3">
      <c r="D211" s="3" t="s">
        <v>948</v>
      </c>
      <c r="E211" s="4">
        <v>6871.0999999999995</v>
      </c>
    </row>
    <row r="212" spans="4:5" x14ac:dyDescent="0.3">
      <c r="D212" s="3">
        <v>46032</v>
      </c>
      <c r="E212" s="4">
        <v>6827.74</v>
      </c>
    </row>
    <row r="213" spans="4:5" x14ac:dyDescent="0.3">
      <c r="D213" s="3" t="s">
        <v>137</v>
      </c>
      <c r="E213" s="4">
        <v>6814.19</v>
      </c>
    </row>
    <row r="214" spans="4:5" x14ac:dyDescent="0.3">
      <c r="D214" s="3">
        <v>46241</v>
      </c>
      <c r="E214" s="4">
        <v>6794.0099999999993</v>
      </c>
    </row>
    <row r="215" spans="4:5" x14ac:dyDescent="0.3">
      <c r="D215" s="3" t="s">
        <v>1101</v>
      </c>
      <c r="E215" s="4">
        <v>6623.14</v>
      </c>
    </row>
    <row r="216" spans="4:5" x14ac:dyDescent="0.3">
      <c r="D216" s="3">
        <v>46027</v>
      </c>
      <c r="E216" s="4">
        <v>6614.05</v>
      </c>
    </row>
    <row r="217" spans="4:5" x14ac:dyDescent="0.3">
      <c r="D217" s="3" t="s">
        <v>1249</v>
      </c>
      <c r="E217" s="4">
        <v>6557.08</v>
      </c>
    </row>
    <row r="218" spans="4:5" x14ac:dyDescent="0.3">
      <c r="D218" s="3" t="s">
        <v>369</v>
      </c>
      <c r="E218" s="4">
        <v>6528.59</v>
      </c>
    </row>
    <row r="219" spans="4:5" x14ac:dyDescent="0.3">
      <c r="D219" s="3" t="s">
        <v>625</v>
      </c>
      <c r="E219" s="4">
        <v>6523.9199999999992</v>
      </c>
    </row>
    <row r="220" spans="4:5" x14ac:dyDescent="0.3">
      <c r="D220" s="3">
        <v>46154</v>
      </c>
      <c r="E220" s="4">
        <v>6479.76</v>
      </c>
    </row>
    <row r="221" spans="4:5" x14ac:dyDescent="0.3">
      <c r="D221" s="3">
        <v>46299</v>
      </c>
      <c r="E221" s="4">
        <v>6396.86</v>
      </c>
    </row>
    <row r="222" spans="4:5" x14ac:dyDescent="0.3">
      <c r="D222" s="3">
        <v>46143</v>
      </c>
      <c r="E222" s="4">
        <v>6386.58</v>
      </c>
    </row>
    <row r="223" spans="4:5" x14ac:dyDescent="0.3">
      <c r="D223" s="3">
        <v>46215</v>
      </c>
      <c r="E223" s="4">
        <v>6314.7200000000012</v>
      </c>
    </row>
    <row r="224" spans="4:5" x14ac:dyDescent="0.3">
      <c r="D224" s="3" t="s">
        <v>558</v>
      </c>
      <c r="E224" s="4">
        <v>6292.36</v>
      </c>
    </row>
    <row r="225" spans="4:5" x14ac:dyDescent="0.3">
      <c r="D225" s="3" t="s">
        <v>476</v>
      </c>
      <c r="E225" s="4">
        <v>6262.83</v>
      </c>
    </row>
    <row r="226" spans="4:5" x14ac:dyDescent="0.3">
      <c r="D226" s="3">
        <v>46144</v>
      </c>
      <c r="E226" s="4">
        <v>6186.29</v>
      </c>
    </row>
    <row r="227" spans="4:5" x14ac:dyDescent="0.3">
      <c r="D227" s="3">
        <v>46245</v>
      </c>
      <c r="E227" s="4">
        <v>6149.57</v>
      </c>
    </row>
    <row r="228" spans="4:5" x14ac:dyDescent="0.3">
      <c r="D228" s="3" t="s">
        <v>1067</v>
      </c>
      <c r="E228" s="4">
        <v>6070.63</v>
      </c>
    </row>
    <row r="229" spans="4:5" x14ac:dyDescent="0.3">
      <c r="D229" s="3">
        <v>46184</v>
      </c>
      <c r="E229" s="4">
        <v>6031.24</v>
      </c>
    </row>
    <row r="230" spans="4:5" x14ac:dyDescent="0.3">
      <c r="D230" s="3">
        <v>46270</v>
      </c>
      <c r="E230" s="4">
        <v>5918.8099999999995</v>
      </c>
    </row>
    <row r="231" spans="4:5" x14ac:dyDescent="0.3">
      <c r="D231" s="3">
        <v>46329</v>
      </c>
      <c r="E231" s="4">
        <v>5916.36</v>
      </c>
    </row>
    <row r="232" spans="4:5" x14ac:dyDescent="0.3">
      <c r="D232" s="3">
        <v>46243</v>
      </c>
      <c r="E232" s="4">
        <v>5910.95</v>
      </c>
    </row>
    <row r="233" spans="4:5" x14ac:dyDescent="0.3">
      <c r="D233" s="3" t="s">
        <v>1117</v>
      </c>
      <c r="E233" s="4">
        <v>5823.37</v>
      </c>
    </row>
    <row r="234" spans="4:5" x14ac:dyDescent="0.3">
      <c r="D234" s="3" t="s">
        <v>276</v>
      </c>
      <c r="E234" s="4">
        <v>5799.34</v>
      </c>
    </row>
    <row r="235" spans="4:5" x14ac:dyDescent="0.3">
      <c r="D235" s="3">
        <v>46298</v>
      </c>
      <c r="E235" s="4">
        <v>5787.83</v>
      </c>
    </row>
    <row r="236" spans="4:5" x14ac:dyDescent="0.3">
      <c r="D236" s="3">
        <v>46338</v>
      </c>
      <c r="E236" s="4">
        <v>5646.42</v>
      </c>
    </row>
    <row r="237" spans="4:5" x14ac:dyDescent="0.3">
      <c r="D237" s="3" t="s">
        <v>1319</v>
      </c>
      <c r="E237" s="4">
        <v>5645.3499999999995</v>
      </c>
    </row>
    <row r="238" spans="4:5" x14ac:dyDescent="0.3">
      <c r="D238" s="3" t="s">
        <v>1316</v>
      </c>
      <c r="E238" s="4">
        <v>5610.24</v>
      </c>
    </row>
    <row r="239" spans="4:5" x14ac:dyDescent="0.3">
      <c r="D239" s="3" t="s">
        <v>1283</v>
      </c>
      <c r="E239" s="4">
        <v>5609.02</v>
      </c>
    </row>
    <row r="240" spans="4:5" x14ac:dyDescent="0.3">
      <c r="D240" s="3" t="s">
        <v>692</v>
      </c>
      <c r="E240" s="4">
        <v>5578.4</v>
      </c>
    </row>
    <row r="241" spans="4:5" x14ac:dyDescent="0.3">
      <c r="D241" s="3">
        <v>46366</v>
      </c>
      <c r="E241" s="4">
        <v>5560.0199999999995</v>
      </c>
    </row>
    <row r="242" spans="4:5" x14ac:dyDescent="0.3">
      <c r="D242" s="3" t="s">
        <v>101</v>
      </c>
      <c r="E242" s="4">
        <v>5547.42</v>
      </c>
    </row>
    <row r="243" spans="4:5" x14ac:dyDescent="0.3">
      <c r="D243" s="3" t="s">
        <v>994</v>
      </c>
      <c r="E243" s="4">
        <v>5541.17</v>
      </c>
    </row>
    <row r="244" spans="4:5" x14ac:dyDescent="0.3">
      <c r="D244" s="3" t="s">
        <v>587</v>
      </c>
      <c r="E244" s="4">
        <v>5494.0900000000011</v>
      </c>
    </row>
    <row r="245" spans="4:5" x14ac:dyDescent="0.3">
      <c r="D245" s="3" t="s">
        <v>1122</v>
      </c>
      <c r="E245" s="4">
        <v>5490.98</v>
      </c>
    </row>
    <row r="246" spans="4:5" x14ac:dyDescent="0.3">
      <c r="D246" s="3" t="s">
        <v>872</v>
      </c>
      <c r="E246" s="4">
        <v>5420.17</v>
      </c>
    </row>
    <row r="247" spans="4:5" x14ac:dyDescent="0.3">
      <c r="D247" s="3" t="s">
        <v>667</v>
      </c>
      <c r="E247" s="4">
        <v>5358.4</v>
      </c>
    </row>
    <row r="248" spans="4:5" x14ac:dyDescent="0.3">
      <c r="D248" s="3" t="s">
        <v>247</v>
      </c>
      <c r="E248" s="4">
        <v>5343.67</v>
      </c>
    </row>
    <row r="249" spans="4:5" x14ac:dyDescent="0.3">
      <c r="D249" s="3">
        <v>46205</v>
      </c>
      <c r="E249" s="4">
        <v>5259.61</v>
      </c>
    </row>
    <row r="250" spans="4:5" x14ac:dyDescent="0.3">
      <c r="D250" s="3" t="s">
        <v>862</v>
      </c>
      <c r="E250" s="4">
        <v>5177.5700000000006</v>
      </c>
    </row>
    <row r="251" spans="4:5" x14ac:dyDescent="0.3">
      <c r="D251" s="3">
        <v>46118</v>
      </c>
      <c r="E251" s="4">
        <v>5124.1400000000003</v>
      </c>
    </row>
    <row r="252" spans="4:5" x14ac:dyDescent="0.3">
      <c r="D252" s="3" t="s">
        <v>241</v>
      </c>
      <c r="E252" s="4">
        <v>5001.38</v>
      </c>
    </row>
    <row r="253" spans="4:5" x14ac:dyDescent="0.3">
      <c r="D253" s="3" t="s">
        <v>1304</v>
      </c>
      <c r="E253" s="4">
        <v>4965.6899999999996</v>
      </c>
    </row>
    <row r="254" spans="4:5" x14ac:dyDescent="0.3">
      <c r="D254" s="3">
        <v>46246</v>
      </c>
      <c r="E254" s="4">
        <v>4953.8999999999996</v>
      </c>
    </row>
    <row r="255" spans="4:5" x14ac:dyDescent="0.3">
      <c r="D255" s="3">
        <v>46178</v>
      </c>
      <c r="E255" s="4">
        <v>4925.58</v>
      </c>
    </row>
    <row r="256" spans="4:5" x14ac:dyDescent="0.3">
      <c r="D256" s="3">
        <v>46336</v>
      </c>
      <c r="E256" s="4">
        <v>4876.24</v>
      </c>
    </row>
    <row r="257" spans="4:5" x14ac:dyDescent="0.3">
      <c r="D257" s="3" t="s">
        <v>1438</v>
      </c>
      <c r="E257" s="4">
        <v>4869.45</v>
      </c>
    </row>
    <row r="258" spans="4:5" x14ac:dyDescent="0.3">
      <c r="D258" s="3">
        <v>46333</v>
      </c>
      <c r="E258" s="4">
        <v>4865.5099999999993</v>
      </c>
    </row>
    <row r="259" spans="4:5" x14ac:dyDescent="0.3">
      <c r="D259" s="3" t="s">
        <v>833</v>
      </c>
      <c r="E259" s="4">
        <v>4740.7700000000004</v>
      </c>
    </row>
    <row r="260" spans="4:5" x14ac:dyDescent="0.3">
      <c r="D260" s="3" t="s">
        <v>1444</v>
      </c>
      <c r="E260" s="4">
        <v>4735.33</v>
      </c>
    </row>
    <row r="261" spans="4:5" x14ac:dyDescent="0.3">
      <c r="D261" s="3" t="s">
        <v>984</v>
      </c>
      <c r="E261" s="4">
        <v>4665.96</v>
      </c>
    </row>
    <row r="262" spans="4:5" x14ac:dyDescent="0.3">
      <c r="D262" s="3">
        <v>46153</v>
      </c>
      <c r="E262" s="4">
        <v>4570.24</v>
      </c>
    </row>
    <row r="263" spans="4:5" x14ac:dyDescent="0.3">
      <c r="D263" s="3" t="s">
        <v>1424</v>
      </c>
      <c r="E263" s="4">
        <v>4537.0099999999993</v>
      </c>
    </row>
    <row r="264" spans="4:5" x14ac:dyDescent="0.3">
      <c r="D264" s="3" t="s">
        <v>1020</v>
      </c>
      <c r="E264" s="4">
        <v>4521.63</v>
      </c>
    </row>
    <row r="265" spans="4:5" x14ac:dyDescent="0.3">
      <c r="D265" s="3">
        <v>46296</v>
      </c>
      <c r="E265" s="4">
        <v>4512.0600000000004</v>
      </c>
    </row>
    <row r="266" spans="4:5" x14ac:dyDescent="0.3">
      <c r="D266" s="3">
        <v>46113</v>
      </c>
      <c r="E266" s="4">
        <v>4501.84</v>
      </c>
    </row>
    <row r="267" spans="4:5" x14ac:dyDescent="0.3">
      <c r="D267" s="3">
        <v>46149</v>
      </c>
      <c r="E267" s="4">
        <v>4296.1099999999997</v>
      </c>
    </row>
    <row r="268" spans="4:5" x14ac:dyDescent="0.3">
      <c r="D268" s="3" t="s">
        <v>521</v>
      </c>
      <c r="E268" s="4">
        <v>4220.6399999999994</v>
      </c>
    </row>
    <row r="269" spans="4:5" x14ac:dyDescent="0.3">
      <c r="D269" s="3">
        <v>46331</v>
      </c>
      <c r="E269" s="4">
        <v>4220.46</v>
      </c>
    </row>
    <row r="270" spans="4:5" x14ac:dyDescent="0.3">
      <c r="D270" s="3" t="s">
        <v>868</v>
      </c>
      <c r="E270" s="4">
        <v>4186.26</v>
      </c>
    </row>
    <row r="271" spans="4:5" x14ac:dyDescent="0.3">
      <c r="D271" s="3">
        <v>46364</v>
      </c>
      <c r="E271" s="4">
        <v>4177.79</v>
      </c>
    </row>
    <row r="272" spans="4:5" x14ac:dyDescent="0.3">
      <c r="D272" s="3" t="s">
        <v>698</v>
      </c>
      <c r="E272" s="4">
        <v>4075.88</v>
      </c>
    </row>
    <row r="273" spans="4:5" x14ac:dyDescent="0.3">
      <c r="D273" s="3" t="s">
        <v>13</v>
      </c>
      <c r="E273" s="4">
        <v>4003.02</v>
      </c>
    </row>
    <row r="274" spans="4:5" x14ac:dyDescent="0.3">
      <c r="D274" s="3" t="s">
        <v>1413</v>
      </c>
      <c r="E274" s="4">
        <v>3954.24</v>
      </c>
    </row>
    <row r="275" spans="4:5" x14ac:dyDescent="0.3">
      <c r="D275" s="3" t="s">
        <v>1042</v>
      </c>
      <c r="E275" s="4">
        <v>3893.24</v>
      </c>
    </row>
    <row r="276" spans="4:5" x14ac:dyDescent="0.3">
      <c r="D276" s="3" t="s">
        <v>1013</v>
      </c>
      <c r="E276" s="4">
        <v>3721.21</v>
      </c>
    </row>
    <row r="277" spans="4:5" x14ac:dyDescent="0.3">
      <c r="D277" s="3">
        <v>46088</v>
      </c>
      <c r="E277" s="4">
        <v>3664.26</v>
      </c>
    </row>
    <row r="278" spans="4:5" x14ac:dyDescent="0.3">
      <c r="D278" s="3">
        <v>46091</v>
      </c>
      <c r="E278" s="4">
        <v>3634.6400000000003</v>
      </c>
    </row>
    <row r="279" spans="4:5" x14ac:dyDescent="0.3">
      <c r="D279" s="3" t="s">
        <v>663</v>
      </c>
      <c r="E279" s="4">
        <v>3615.0299999999997</v>
      </c>
    </row>
    <row r="280" spans="4:5" x14ac:dyDescent="0.3">
      <c r="D280" s="3" t="s">
        <v>323</v>
      </c>
      <c r="E280" s="4">
        <v>3593.7200000000003</v>
      </c>
    </row>
    <row r="281" spans="4:5" x14ac:dyDescent="0.3">
      <c r="D281" s="3" t="s">
        <v>1215</v>
      </c>
      <c r="E281" s="4">
        <v>3575.7699999999995</v>
      </c>
    </row>
    <row r="282" spans="4:5" x14ac:dyDescent="0.3">
      <c r="D282" s="3">
        <v>46240</v>
      </c>
      <c r="E282" s="4">
        <v>3539.3500000000004</v>
      </c>
    </row>
    <row r="283" spans="4:5" x14ac:dyDescent="0.3">
      <c r="D283" s="3">
        <v>46116</v>
      </c>
      <c r="E283" s="4">
        <v>3491.6400000000003</v>
      </c>
    </row>
    <row r="284" spans="4:5" x14ac:dyDescent="0.3">
      <c r="D284" s="3" t="s">
        <v>228</v>
      </c>
      <c r="E284" s="4">
        <v>3448.7</v>
      </c>
    </row>
    <row r="285" spans="4:5" x14ac:dyDescent="0.3">
      <c r="D285" s="3">
        <v>46208</v>
      </c>
      <c r="E285" s="4">
        <v>3380.4</v>
      </c>
    </row>
    <row r="286" spans="4:5" x14ac:dyDescent="0.3">
      <c r="D286" s="3" t="s">
        <v>930</v>
      </c>
      <c r="E286" s="4">
        <v>3347.37</v>
      </c>
    </row>
    <row r="287" spans="4:5" x14ac:dyDescent="0.3">
      <c r="D287" s="3">
        <v>46332</v>
      </c>
      <c r="E287" s="4">
        <v>3343.27</v>
      </c>
    </row>
    <row r="288" spans="4:5" x14ac:dyDescent="0.3">
      <c r="D288" s="3" t="s">
        <v>1474</v>
      </c>
      <c r="E288" s="4">
        <v>3327.64</v>
      </c>
    </row>
    <row r="289" spans="4:5" x14ac:dyDescent="0.3">
      <c r="D289" s="3">
        <v>46334</v>
      </c>
      <c r="E289" s="4">
        <v>3300.01</v>
      </c>
    </row>
    <row r="290" spans="4:5" x14ac:dyDescent="0.3">
      <c r="D290" s="3" t="s">
        <v>1357</v>
      </c>
      <c r="E290" s="4">
        <v>3140.3199999999997</v>
      </c>
    </row>
    <row r="291" spans="4:5" x14ac:dyDescent="0.3">
      <c r="D291" s="3" t="s">
        <v>131</v>
      </c>
      <c r="E291" s="4">
        <v>3105.77</v>
      </c>
    </row>
    <row r="292" spans="4:5" x14ac:dyDescent="0.3">
      <c r="D292" s="3">
        <v>46212</v>
      </c>
      <c r="E292" s="4">
        <v>2917.02</v>
      </c>
    </row>
    <row r="293" spans="4:5" x14ac:dyDescent="0.3">
      <c r="D293" s="3" t="s">
        <v>69</v>
      </c>
      <c r="E293" s="4">
        <v>2828.59</v>
      </c>
    </row>
    <row r="294" spans="4:5" x14ac:dyDescent="0.3">
      <c r="D294" s="3">
        <v>46023</v>
      </c>
      <c r="E294" s="4">
        <v>2821.2699999999995</v>
      </c>
    </row>
    <row r="295" spans="4:5" x14ac:dyDescent="0.3">
      <c r="D295" s="3" t="s">
        <v>751</v>
      </c>
      <c r="E295" s="4">
        <v>2784.52</v>
      </c>
    </row>
    <row r="296" spans="4:5" x14ac:dyDescent="0.3">
      <c r="D296" s="3">
        <v>46272</v>
      </c>
      <c r="E296" s="4">
        <v>2769.66</v>
      </c>
    </row>
    <row r="297" spans="4:5" x14ac:dyDescent="0.3">
      <c r="D297" s="3">
        <v>46266</v>
      </c>
      <c r="E297" s="4">
        <v>2743.2400000000002</v>
      </c>
    </row>
    <row r="298" spans="4:5" x14ac:dyDescent="0.3">
      <c r="D298" s="3" t="s">
        <v>643</v>
      </c>
      <c r="E298" s="4">
        <v>2636.7</v>
      </c>
    </row>
    <row r="299" spans="4:5" x14ac:dyDescent="0.3">
      <c r="D299" s="3">
        <v>46083</v>
      </c>
      <c r="E299" s="4">
        <v>2592.0699999999997</v>
      </c>
    </row>
    <row r="300" spans="4:5" x14ac:dyDescent="0.3">
      <c r="D300" s="3" t="s">
        <v>536</v>
      </c>
      <c r="E300" s="4">
        <v>2494.85</v>
      </c>
    </row>
    <row r="301" spans="4:5" x14ac:dyDescent="0.3">
      <c r="D301" s="3">
        <v>46147</v>
      </c>
      <c r="E301" s="4">
        <v>2469.15</v>
      </c>
    </row>
    <row r="302" spans="4:5" x14ac:dyDescent="0.3">
      <c r="D302" s="3">
        <v>46210</v>
      </c>
      <c r="E302" s="4">
        <v>2436.83</v>
      </c>
    </row>
    <row r="303" spans="4:5" x14ac:dyDescent="0.3">
      <c r="D303" s="3">
        <v>46034</v>
      </c>
      <c r="E303" s="4">
        <v>2408.0599999999995</v>
      </c>
    </row>
    <row r="304" spans="4:5" x14ac:dyDescent="0.3">
      <c r="D304" s="3">
        <v>46183</v>
      </c>
      <c r="E304" s="4">
        <v>2389.21</v>
      </c>
    </row>
    <row r="305" spans="4:5" x14ac:dyDescent="0.3">
      <c r="D305" s="3" t="s">
        <v>279</v>
      </c>
      <c r="E305" s="4">
        <v>2371.4499999999998</v>
      </c>
    </row>
    <row r="306" spans="4:5" x14ac:dyDescent="0.3">
      <c r="D306" s="3">
        <v>46121</v>
      </c>
      <c r="E306" s="4">
        <v>2358.92</v>
      </c>
    </row>
    <row r="307" spans="4:5" x14ac:dyDescent="0.3">
      <c r="D307" s="3" t="s">
        <v>1367</v>
      </c>
      <c r="E307" s="4">
        <v>2353.14</v>
      </c>
    </row>
    <row r="308" spans="4:5" x14ac:dyDescent="0.3">
      <c r="D308" s="3" t="s">
        <v>1274</v>
      </c>
      <c r="E308" s="4">
        <v>2347</v>
      </c>
    </row>
    <row r="309" spans="4:5" x14ac:dyDescent="0.3">
      <c r="D309" s="3" t="s">
        <v>162</v>
      </c>
      <c r="E309" s="4">
        <v>2334.42</v>
      </c>
    </row>
    <row r="310" spans="4:5" x14ac:dyDescent="0.3">
      <c r="D310" s="3">
        <v>46237</v>
      </c>
      <c r="E310" s="4">
        <v>2296.5100000000002</v>
      </c>
    </row>
    <row r="311" spans="4:5" x14ac:dyDescent="0.3">
      <c r="D311" s="3" t="s">
        <v>464</v>
      </c>
      <c r="E311" s="4">
        <v>2274.9700000000003</v>
      </c>
    </row>
    <row r="312" spans="4:5" x14ac:dyDescent="0.3">
      <c r="D312" s="3" t="s">
        <v>1395</v>
      </c>
      <c r="E312" s="4">
        <v>2267.41</v>
      </c>
    </row>
    <row r="313" spans="4:5" x14ac:dyDescent="0.3">
      <c r="D313" s="3" t="s">
        <v>1429</v>
      </c>
      <c r="E313" s="4">
        <v>2265.16</v>
      </c>
    </row>
    <row r="314" spans="4:5" x14ac:dyDescent="0.3">
      <c r="D314" s="3" t="s">
        <v>756</v>
      </c>
      <c r="E314" s="4">
        <v>2194.13</v>
      </c>
    </row>
    <row r="315" spans="4:5" x14ac:dyDescent="0.3">
      <c r="D315" s="3" t="s">
        <v>884</v>
      </c>
      <c r="E315" s="4">
        <v>2192.9899999999998</v>
      </c>
    </row>
    <row r="316" spans="4:5" x14ac:dyDescent="0.3">
      <c r="D316" s="3" t="s">
        <v>155</v>
      </c>
      <c r="E316" s="4">
        <v>2186.64</v>
      </c>
    </row>
    <row r="317" spans="4:5" x14ac:dyDescent="0.3">
      <c r="D317" s="3">
        <v>46025</v>
      </c>
      <c r="E317" s="4">
        <v>2178.19</v>
      </c>
    </row>
    <row r="318" spans="4:5" x14ac:dyDescent="0.3">
      <c r="D318" s="3" t="s">
        <v>393</v>
      </c>
      <c r="E318" s="4">
        <v>2160</v>
      </c>
    </row>
    <row r="319" spans="4:5" x14ac:dyDescent="0.3">
      <c r="D319" s="3">
        <v>46086</v>
      </c>
      <c r="E319" s="4">
        <v>2151.5500000000002</v>
      </c>
    </row>
    <row r="320" spans="4:5" x14ac:dyDescent="0.3">
      <c r="D320" s="3">
        <v>46242</v>
      </c>
      <c r="E320" s="4">
        <v>2123.69</v>
      </c>
    </row>
    <row r="321" spans="4:5" x14ac:dyDescent="0.3">
      <c r="D321" s="3" t="s">
        <v>1399</v>
      </c>
      <c r="E321" s="4">
        <v>2115.27</v>
      </c>
    </row>
    <row r="322" spans="4:5" x14ac:dyDescent="0.3">
      <c r="D322" s="3" t="s">
        <v>801</v>
      </c>
      <c r="E322" s="4">
        <v>2092.34</v>
      </c>
    </row>
    <row r="323" spans="4:5" x14ac:dyDescent="0.3">
      <c r="D323" s="3">
        <v>46089</v>
      </c>
      <c r="E323" s="4">
        <v>2006.7400000000002</v>
      </c>
    </row>
    <row r="324" spans="4:5" x14ac:dyDescent="0.3">
      <c r="D324" s="3">
        <v>46082</v>
      </c>
      <c r="E324" s="4">
        <v>1996.49</v>
      </c>
    </row>
    <row r="325" spans="4:5" x14ac:dyDescent="0.3">
      <c r="D325" s="3" t="s">
        <v>1465</v>
      </c>
      <c r="E325" s="4">
        <v>1904.21</v>
      </c>
    </row>
    <row r="326" spans="4:5" x14ac:dyDescent="0.3">
      <c r="D326" s="3">
        <v>46239</v>
      </c>
      <c r="E326" s="4">
        <v>1766.65</v>
      </c>
    </row>
    <row r="327" spans="4:5" x14ac:dyDescent="0.3">
      <c r="D327" s="3" t="s">
        <v>264</v>
      </c>
      <c r="E327" s="4">
        <v>1676.16</v>
      </c>
    </row>
    <row r="328" spans="4:5" x14ac:dyDescent="0.3">
      <c r="D328" s="3">
        <v>46361</v>
      </c>
      <c r="E328" s="4">
        <v>1591.2</v>
      </c>
    </row>
    <row r="329" spans="4:5" x14ac:dyDescent="0.3">
      <c r="D329" s="3">
        <v>46031</v>
      </c>
      <c r="E329" s="4">
        <v>1573.67</v>
      </c>
    </row>
    <row r="330" spans="4:5" x14ac:dyDescent="0.3">
      <c r="D330" s="3">
        <v>46238</v>
      </c>
      <c r="E330" s="4">
        <v>1541.4</v>
      </c>
    </row>
    <row r="331" spans="4:5" x14ac:dyDescent="0.3">
      <c r="D331" s="3" t="s">
        <v>1470</v>
      </c>
      <c r="E331" s="4">
        <v>1515.6200000000001</v>
      </c>
    </row>
    <row r="332" spans="4:5" x14ac:dyDescent="0.3">
      <c r="D332" s="3" t="s">
        <v>631</v>
      </c>
      <c r="E332" s="4">
        <v>1475.44</v>
      </c>
    </row>
    <row r="333" spans="4:5" x14ac:dyDescent="0.3">
      <c r="D333" s="3" t="s">
        <v>406</v>
      </c>
      <c r="E333" s="4">
        <v>1472.54</v>
      </c>
    </row>
    <row r="334" spans="4:5" x14ac:dyDescent="0.3">
      <c r="D334" s="3" t="s">
        <v>1289</v>
      </c>
      <c r="E334" s="4">
        <v>1377.7800000000002</v>
      </c>
    </row>
    <row r="335" spans="4:5" x14ac:dyDescent="0.3">
      <c r="D335" s="3" t="s">
        <v>905</v>
      </c>
      <c r="E335" s="4">
        <v>1376.6000000000001</v>
      </c>
    </row>
    <row r="336" spans="4:5" x14ac:dyDescent="0.3">
      <c r="D336" s="3" t="s">
        <v>1049</v>
      </c>
      <c r="E336" s="4">
        <v>1358.6899999999998</v>
      </c>
    </row>
    <row r="337" spans="4:5" x14ac:dyDescent="0.3">
      <c r="D337" s="3" t="s">
        <v>166</v>
      </c>
      <c r="E337" s="4">
        <v>1206.0600000000002</v>
      </c>
    </row>
    <row r="338" spans="4:5" x14ac:dyDescent="0.3">
      <c r="D338" s="3" t="s">
        <v>991</v>
      </c>
      <c r="E338" s="4">
        <v>1168.45</v>
      </c>
    </row>
    <row r="339" spans="4:5" x14ac:dyDescent="0.3">
      <c r="D339" s="3" t="s">
        <v>373</v>
      </c>
      <c r="E339" s="4">
        <v>1163.78</v>
      </c>
    </row>
    <row r="340" spans="4:5" x14ac:dyDescent="0.3">
      <c r="D340" s="3" t="s">
        <v>1325</v>
      </c>
      <c r="E340" s="4">
        <v>1134.25</v>
      </c>
    </row>
    <row r="341" spans="4:5" x14ac:dyDescent="0.3">
      <c r="D341" s="3" t="s">
        <v>256</v>
      </c>
      <c r="E341" s="4">
        <v>1118.7</v>
      </c>
    </row>
    <row r="342" spans="4:5" x14ac:dyDescent="0.3">
      <c r="D342" s="3">
        <v>46303</v>
      </c>
      <c r="E342" s="4">
        <v>1109.7</v>
      </c>
    </row>
    <row r="343" spans="4:5" x14ac:dyDescent="0.3">
      <c r="D343" s="3" t="s">
        <v>302</v>
      </c>
      <c r="E343" s="4">
        <v>1012.96</v>
      </c>
    </row>
    <row r="344" spans="4:5" x14ac:dyDescent="0.3">
      <c r="D344" s="3">
        <v>46115</v>
      </c>
      <c r="E344" s="4">
        <v>991.45</v>
      </c>
    </row>
    <row r="345" spans="4:5" x14ac:dyDescent="0.3">
      <c r="D345" s="3">
        <v>46061</v>
      </c>
      <c r="E345" s="4">
        <v>934.46</v>
      </c>
    </row>
    <row r="346" spans="4:5" x14ac:dyDescent="0.3">
      <c r="D346" s="3">
        <v>46273</v>
      </c>
      <c r="E346" s="4">
        <v>917.34999999999991</v>
      </c>
    </row>
    <row r="347" spans="4:5" x14ac:dyDescent="0.3">
      <c r="D347" s="3" t="s">
        <v>657</v>
      </c>
      <c r="E347" s="4">
        <v>886.45</v>
      </c>
    </row>
    <row r="348" spans="4:5" x14ac:dyDescent="0.3">
      <c r="D348" s="3">
        <v>46060</v>
      </c>
      <c r="E348" s="4">
        <v>856.8</v>
      </c>
    </row>
    <row r="349" spans="4:5" x14ac:dyDescent="0.3">
      <c r="D349" s="3" t="s">
        <v>787</v>
      </c>
      <c r="E349" s="4">
        <v>841.56999999999994</v>
      </c>
    </row>
    <row r="350" spans="4:5" x14ac:dyDescent="0.3">
      <c r="D350" s="3">
        <v>46174</v>
      </c>
      <c r="E350" s="4">
        <v>823.12000000000012</v>
      </c>
    </row>
    <row r="351" spans="4:5" x14ac:dyDescent="0.3">
      <c r="D351" s="3">
        <v>46363</v>
      </c>
      <c r="E351" s="4">
        <v>783.04</v>
      </c>
    </row>
    <row r="352" spans="4:5" x14ac:dyDescent="0.3">
      <c r="D352" s="3" t="s">
        <v>395</v>
      </c>
      <c r="E352" s="4">
        <v>776.90999999999985</v>
      </c>
    </row>
    <row r="353" spans="4:5" x14ac:dyDescent="0.3">
      <c r="D353" s="3" t="s">
        <v>381</v>
      </c>
      <c r="E353" s="4">
        <v>696.40000000000009</v>
      </c>
    </row>
    <row r="354" spans="4:5" x14ac:dyDescent="0.3">
      <c r="D354" s="3" t="s">
        <v>1210</v>
      </c>
      <c r="E354" s="4">
        <v>677.97</v>
      </c>
    </row>
    <row r="355" spans="4:5" x14ac:dyDescent="0.3">
      <c r="D355" s="3" t="s">
        <v>400</v>
      </c>
      <c r="E355" s="4">
        <v>652.73</v>
      </c>
    </row>
    <row r="356" spans="4:5" x14ac:dyDescent="0.3">
      <c r="D356" s="3" t="s">
        <v>259</v>
      </c>
      <c r="E356" s="4">
        <v>625.05999999999995</v>
      </c>
    </row>
    <row r="357" spans="4:5" x14ac:dyDescent="0.3">
      <c r="D357" s="3" t="s">
        <v>926</v>
      </c>
      <c r="E357" s="4">
        <v>567.95000000000005</v>
      </c>
    </row>
    <row r="358" spans="4:5" x14ac:dyDescent="0.3">
      <c r="D358" s="3" t="s">
        <v>385</v>
      </c>
      <c r="E358" s="4">
        <v>558.72</v>
      </c>
    </row>
    <row r="359" spans="4:5" x14ac:dyDescent="0.3">
      <c r="D359" s="3" t="s">
        <v>987</v>
      </c>
      <c r="E359" s="4">
        <v>523.59999999999991</v>
      </c>
    </row>
    <row r="360" spans="4:5" x14ac:dyDescent="0.3">
      <c r="D360" s="3" t="s">
        <v>282</v>
      </c>
      <c r="E360" s="4">
        <v>449.75</v>
      </c>
    </row>
    <row r="361" spans="4:5" x14ac:dyDescent="0.3">
      <c r="D361" s="3" t="s">
        <v>540</v>
      </c>
      <c r="E361" s="4">
        <v>407.65000000000003</v>
      </c>
    </row>
    <row r="362" spans="4:5" x14ac:dyDescent="0.3">
      <c r="D362" s="3" t="s">
        <v>107</v>
      </c>
      <c r="E362" s="4">
        <v>400.37</v>
      </c>
    </row>
    <row r="363" spans="4:5" x14ac:dyDescent="0.3">
      <c r="D363" s="3" t="s">
        <v>1004</v>
      </c>
      <c r="E363" s="4">
        <v>331.86</v>
      </c>
    </row>
    <row r="364" spans="4:5" x14ac:dyDescent="0.3">
      <c r="D364" s="3" t="s">
        <v>999</v>
      </c>
      <c r="E364" s="4">
        <v>260.51</v>
      </c>
    </row>
    <row r="365" spans="4:5" x14ac:dyDescent="0.3">
      <c r="D365" s="3" t="s">
        <v>1099</v>
      </c>
      <c r="E365" s="4">
        <v>137.69999999999999</v>
      </c>
    </row>
    <row r="366" spans="4:5" x14ac:dyDescent="0.3">
      <c r="D366" s="3" t="s">
        <v>387</v>
      </c>
      <c r="E366" s="4">
        <v>120.2</v>
      </c>
    </row>
    <row r="367" spans="4:5" x14ac:dyDescent="0.3">
      <c r="D367" s="3" t="s">
        <v>2296</v>
      </c>
      <c r="E367" s="4">
        <v>3462605.3199999994</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02B2-4894-4FCB-8E74-96CF4877273A}">
  <dimension ref="A1:N2001"/>
  <sheetViews>
    <sheetView topLeftCell="A2" workbookViewId="0">
      <selection activeCell="E11" sqref="E11"/>
    </sheetView>
  </sheetViews>
  <sheetFormatPr defaultRowHeight="14.4" x14ac:dyDescent="0.3"/>
  <cols>
    <col min="1" max="1" width="11.44140625" customWidth="1"/>
    <col min="2" max="2" width="12.21875" customWidth="1"/>
    <col min="3" max="3" width="10.77734375" customWidth="1"/>
    <col min="4" max="4" width="18.33203125" customWidth="1"/>
    <col min="5" max="5" width="19.33203125" customWidth="1"/>
    <col min="6" max="6" width="21" customWidth="1"/>
    <col min="7" max="7" width="18.109375" bestFit="1" customWidth="1"/>
    <col min="8" max="8" width="15.88671875" customWidth="1"/>
    <col min="9" max="9" width="13.109375" customWidth="1"/>
    <col min="10" max="10" width="15.33203125" customWidth="1"/>
    <col min="11" max="11" width="14.21875" customWidth="1"/>
    <col min="12" max="12" width="14.5546875" customWidth="1"/>
    <col min="13" max="13" width="16.88671875" customWidth="1"/>
    <col min="14" max="14" width="1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2292</v>
      </c>
      <c r="N1" s="1" t="s">
        <v>2293</v>
      </c>
    </row>
    <row r="2" spans="1:14" x14ac:dyDescent="0.3">
      <c r="A2" s="1" t="s">
        <v>2286</v>
      </c>
      <c r="B2" s="1">
        <v>46023</v>
      </c>
      <c r="C2" s="1" t="s">
        <v>47</v>
      </c>
      <c r="D2" s="1" t="s">
        <v>27</v>
      </c>
      <c r="E2" s="1" t="s">
        <v>28</v>
      </c>
      <c r="F2" s="1" t="s">
        <v>17</v>
      </c>
      <c r="G2" s="1" t="s">
        <v>98</v>
      </c>
      <c r="H2" s="1" t="s">
        <v>78</v>
      </c>
      <c r="I2" s="1">
        <v>2</v>
      </c>
      <c r="J2" s="1">
        <v>421.2</v>
      </c>
      <c r="K2" s="1">
        <v>0.08</v>
      </c>
      <c r="L2" s="1">
        <v>775.01</v>
      </c>
      <c r="M2" s="1" t="str">
        <f t="shared" ref="M2:M65" si="0">INDEX(D:D,MATCH(H2,H:H,0))</f>
        <v>Retail Store</v>
      </c>
      <c r="N2" s="1">
        <f t="shared" ref="N2:N65" si="1">VLOOKUP(C:C,C:J,8,FALSE)</f>
        <v>421.2</v>
      </c>
    </row>
    <row r="3" spans="1:14" x14ac:dyDescent="0.3">
      <c r="A3" s="1" t="s">
        <v>2287</v>
      </c>
      <c r="B3" s="1">
        <v>46023</v>
      </c>
      <c r="C3" s="1" t="s">
        <v>47</v>
      </c>
      <c r="D3" s="1" t="s">
        <v>27</v>
      </c>
      <c r="E3" s="1" t="s">
        <v>16</v>
      </c>
      <c r="F3" s="1" t="s">
        <v>23</v>
      </c>
      <c r="G3" s="1" t="s">
        <v>24</v>
      </c>
      <c r="H3" s="1" t="s">
        <v>49</v>
      </c>
      <c r="I3" s="1">
        <v>3</v>
      </c>
      <c r="J3" s="1">
        <v>22.5</v>
      </c>
      <c r="K3" s="1">
        <v>0</v>
      </c>
      <c r="L3" s="1">
        <v>67.5</v>
      </c>
      <c r="M3" s="1" t="str">
        <f t="shared" si="0"/>
        <v>Retail Store</v>
      </c>
      <c r="N3" s="1">
        <f t="shared" si="1"/>
        <v>421.2</v>
      </c>
    </row>
    <row r="4" spans="1:14" x14ac:dyDescent="0.3">
      <c r="A4" s="1" t="s">
        <v>2288</v>
      </c>
      <c r="B4" s="1">
        <v>46023</v>
      </c>
      <c r="C4" s="1" t="s">
        <v>14</v>
      </c>
      <c r="D4" s="1" t="s">
        <v>15</v>
      </c>
      <c r="E4" s="1" t="s">
        <v>16</v>
      </c>
      <c r="F4" s="1" t="s">
        <v>23</v>
      </c>
      <c r="G4" s="1" t="s">
        <v>142</v>
      </c>
      <c r="H4" s="1" t="s">
        <v>40</v>
      </c>
      <c r="I4" s="1">
        <v>2</v>
      </c>
      <c r="J4" s="1">
        <v>16.2</v>
      </c>
      <c r="K4" s="1">
        <v>0</v>
      </c>
      <c r="L4" s="1">
        <v>32.4</v>
      </c>
      <c r="M4" s="1" t="str">
        <f t="shared" si="0"/>
        <v>Online</v>
      </c>
      <c r="N4" s="1">
        <f t="shared" si="1"/>
        <v>16.2</v>
      </c>
    </row>
    <row r="5" spans="1:14" x14ac:dyDescent="0.3">
      <c r="A5" s="1" t="s">
        <v>2289</v>
      </c>
      <c r="B5" s="1">
        <v>46023</v>
      </c>
      <c r="C5" s="1" t="s">
        <v>21</v>
      </c>
      <c r="D5" s="1" t="s">
        <v>22</v>
      </c>
      <c r="E5" s="1" t="s">
        <v>28</v>
      </c>
      <c r="F5" s="1" t="s">
        <v>17</v>
      </c>
      <c r="G5" s="1" t="s">
        <v>98</v>
      </c>
      <c r="H5" s="1" t="s">
        <v>25</v>
      </c>
      <c r="I5" s="1">
        <v>4</v>
      </c>
      <c r="J5" s="1">
        <v>405</v>
      </c>
      <c r="K5" s="1">
        <v>0.05</v>
      </c>
      <c r="L5" s="1">
        <v>1539</v>
      </c>
      <c r="M5" s="1" t="str">
        <f t="shared" si="0"/>
        <v>Marketplace</v>
      </c>
      <c r="N5" s="1">
        <f t="shared" si="1"/>
        <v>405</v>
      </c>
    </row>
    <row r="6" spans="1:14" x14ac:dyDescent="0.3">
      <c r="A6" s="1" t="s">
        <v>2290</v>
      </c>
      <c r="B6" s="1">
        <v>46023</v>
      </c>
      <c r="C6" s="1" t="s">
        <v>61</v>
      </c>
      <c r="D6" s="1" t="s">
        <v>15</v>
      </c>
      <c r="E6" s="1" t="s">
        <v>28</v>
      </c>
      <c r="F6" s="1" t="s">
        <v>29</v>
      </c>
      <c r="G6" s="1" t="s">
        <v>88</v>
      </c>
      <c r="H6" s="1" t="s">
        <v>112</v>
      </c>
      <c r="I6" s="1">
        <v>4</v>
      </c>
      <c r="J6" s="1">
        <v>62.01</v>
      </c>
      <c r="K6" s="1">
        <v>0.05</v>
      </c>
      <c r="L6" s="1">
        <v>235.64</v>
      </c>
      <c r="M6" s="1" t="str">
        <f t="shared" si="0"/>
        <v>Online</v>
      </c>
      <c r="N6" s="1">
        <f t="shared" si="1"/>
        <v>62.01</v>
      </c>
    </row>
    <row r="7" spans="1:14" x14ac:dyDescent="0.3">
      <c r="A7" s="1" t="s">
        <v>2291</v>
      </c>
      <c r="B7" s="1">
        <v>46023</v>
      </c>
      <c r="C7" s="1" t="s">
        <v>14</v>
      </c>
      <c r="D7" s="1" t="s">
        <v>15</v>
      </c>
      <c r="E7" s="1" t="s">
        <v>16</v>
      </c>
      <c r="F7" s="1" t="s">
        <v>17</v>
      </c>
      <c r="G7" s="1" t="s">
        <v>18</v>
      </c>
      <c r="H7" s="1" t="s">
        <v>31</v>
      </c>
      <c r="I7" s="1">
        <v>2</v>
      </c>
      <c r="J7" s="1">
        <v>85.86</v>
      </c>
      <c r="K7" s="1">
        <v>0</v>
      </c>
      <c r="L7" s="1">
        <v>171.72</v>
      </c>
      <c r="M7" s="1" t="str">
        <f t="shared" si="0"/>
        <v>Online</v>
      </c>
      <c r="N7" s="1">
        <f t="shared" si="1"/>
        <v>16.2</v>
      </c>
    </row>
    <row r="8" spans="1:14" x14ac:dyDescent="0.3">
      <c r="A8" s="1" t="s">
        <v>2281</v>
      </c>
      <c r="B8" s="1">
        <v>46024</v>
      </c>
      <c r="C8" s="1" t="s">
        <v>47</v>
      </c>
      <c r="D8" s="1" t="s">
        <v>35</v>
      </c>
      <c r="E8" s="1" t="s">
        <v>28</v>
      </c>
      <c r="F8" s="1" t="s">
        <v>82</v>
      </c>
      <c r="G8" s="1" t="s">
        <v>150</v>
      </c>
      <c r="H8" s="1" t="s">
        <v>58</v>
      </c>
      <c r="I8" s="1">
        <v>2</v>
      </c>
      <c r="J8" s="1">
        <v>2880</v>
      </c>
      <c r="K8" s="1">
        <v>0.08</v>
      </c>
      <c r="L8" s="1">
        <v>5299.2</v>
      </c>
      <c r="M8" s="1" t="str">
        <f t="shared" si="0"/>
        <v>Corporate Sales</v>
      </c>
      <c r="N8" s="1">
        <f t="shared" si="1"/>
        <v>421.2</v>
      </c>
    </row>
    <row r="9" spans="1:14" x14ac:dyDescent="0.3">
      <c r="A9" s="1" t="s">
        <v>2282</v>
      </c>
      <c r="B9" s="1">
        <v>46024</v>
      </c>
      <c r="C9" s="1" t="s">
        <v>14</v>
      </c>
      <c r="D9" s="1" t="s">
        <v>15</v>
      </c>
      <c r="E9" s="1" t="s">
        <v>16</v>
      </c>
      <c r="F9" s="1" t="s">
        <v>17</v>
      </c>
      <c r="G9" s="1" t="s">
        <v>189</v>
      </c>
      <c r="H9" s="1" t="s">
        <v>31</v>
      </c>
      <c r="I9" s="1">
        <v>4</v>
      </c>
      <c r="J9" s="1">
        <v>299.52</v>
      </c>
      <c r="K9" s="1">
        <v>0.08</v>
      </c>
      <c r="L9" s="1">
        <v>1102.23</v>
      </c>
      <c r="M9" s="1" t="str">
        <f t="shared" si="0"/>
        <v>Online</v>
      </c>
      <c r="N9" s="1">
        <f t="shared" si="1"/>
        <v>16.2</v>
      </c>
    </row>
    <row r="10" spans="1:14" x14ac:dyDescent="0.3">
      <c r="A10" s="1" t="s">
        <v>2283</v>
      </c>
      <c r="B10" s="1">
        <v>46024</v>
      </c>
      <c r="C10" s="1" t="s">
        <v>61</v>
      </c>
      <c r="D10" s="1" t="s">
        <v>15</v>
      </c>
      <c r="E10" s="1" t="s">
        <v>28</v>
      </c>
      <c r="F10" s="1" t="s">
        <v>29</v>
      </c>
      <c r="G10" s="1" t="s">
        <v>55</v>
      </c>
      <c r="H10" s="1" t="s">
        <v>73</v>
      </c>
      <c r="I10" s="1">
        <v>5</v>
      </c>
      <c r="J10" s="1">
        <v>34.200000000000003</v>
      </c>
      <c r="K10" s="1">
        <v>0.05</v>
      </c>
      <c r="L10" s="1">
        <v>162.44999999999999</v>
      </c>
      <c r="M10" s="1" t="str">
        <f t="shared" si="0"/>
        <v>Online</v>
      </c>
      <c r="N10" s="1">
        <f t="shared" si="1"/>
        <v>62.01</v>
      </c>
    </row>
    <row r="11" spans="1:14" x14ac:dyDescent="0.3">
      <c r="A11" s="1" t="s">
        <v>2284</v>
      </c>
      <c r="B11" s="1">
        <v>46024</v>
      </c>
      <c r="C11" s="1" t="s">
        <v>54</v>
      </c>
      <c r="D11" s="1" t="s">
        <v>22</v>
      </c>
      <c r="E11" s="1" t="s">
        <v>16</v>
      </c>
      <c r="F11" s="1" t="s">
        <v>42</v>
      </c>
      <c r="G11" s="1" t="s">
        <v>67</v>
      </c>
      <c r="H11" s="1" t="s">
        <v>80</v>
      </c>
      <c r="I11" s="1">
        <v>2</v>
      </c>
      <c r="J11" s="1">
        <v>267.12</v>
      </c>
      <c r="K11" s="1">
        <v>0.05</v>
      </c>
      <c r="L11" s="1">
        <v>507.53</v>
      </c>
      <c r="M11" s="1" t="str">
        <f t="shared" si="0"/>
        <v>Marketplace</v>
      </c>
      <c r="N11" s="1">
        <f t="shared" si="1"/>
        <v>267.12</v>
      </c>
    </row>
    <row r="12" spans="1:14" x14ac:dyDescent="0.3">
      <c r="A12" s="1" t="s">
        <v>2285</v>
      </c>
      <c r="B12" s="1">
        <v>46024</v>
      </c>
      <c r="C12" s="1" t="s">
        <v>14</v>
      </c>
      <c r="D12" s="1" t="s">
        <v>15</v>
      </c>
      <c r="E12" s="1" t="s">
        <v>16</v>
      </c>
      <c r="F12" s="1" t="s">
        <v>82</v>
      </c>
      <c r="G12" s="1" t="s">
        <v>83</v>
      </c>
      <c r="H12" s="1" t="s">
        <v>31</v>
      </c>
      <c r="I12" s="1">
        <v>2</v>
      </c>
      <c r="J12" s="1">
        <v>3780</v>
      </c>
      <c r="K12" s="1">
        <v>0.08</v>
      </c>
      <c r="L12" s="1">
        <v>6955.2</v>
      </c>
      <c r="M12" s="1" t="str">
        <f t="shared" si="0"/>
        <v>Online</v>
      </c>
      <c r="N12" s="1">
        <f t="shared" si="1"/>
        <v>16.2</v>
      </c>
    </row>
    <row r="13" spans="1:14" x14ac:dyDescent="0.3">
      <c r="A13" s="1" t="s">
        <v>2277</v>
      </c>
      <c r="B13" s="1">
        <v>46025</v>
      </c>
      <c r="C13" s="1" t="s">
        <v>14</v>
      </c>
      <c r="D13" s="1" t="s">
        <v>27</v>
      </c>
      <c r="E13" s="1" t="s">
        <v>16</v>
      </c>
      <c r="F13" s="1" t="s">
        <v>29</v>
      </c>
      <c r="G13" s="1" t="s">
        <v>55</v>
      </c>
      <c r="H13" s="1" t="s">
        <v>31</v>
      </c>
      <c r="I13" s="1">
        <v>7</v>
      </c>
      <c r="J13" s="1">
        <v>33.17</v>
      </c>
      <c r="K13" s="1">
        <v>0</v>
      </c>
      <c r="L13" s="1">
        <v>232.22</v>
      </c>
      <c r="M13" s="1" t="str">
        <f t="shared" si="0"/>
        <v>Online</v>
      </c>
      <c r="N13" s="1">
        <f t="shared" si="1"/>
        <v>16.2</v>
      </c>
    </row>
    <row r="14" spans="1:14" x14ac:dyDescent="0.3">
      <c r="A14" s="1" t="s">
        <v>2278</v>
      </c>
      <c r="B14" s="1">
        <v>46025</v>
      </c>
      <c r="C14" s="1" t="s">
        <v>14</v>
      </c>
      <c r="D14" s="1" t="s">
        <v>15</v>
      </c>
      <c r="E14" s="1" t="s">
        <v>28</v>
      </c>
      <c r="F14" s="1" t="s">
        <v>17</v>
      </c>
      <c r="G14" s="1" t="s">
        <v>189</v>
      </c>
      <c r="H14" s="1" t="s">
        <v>40</v>
      </c>
      <c r="I14" s="1">
        <v>5</v>
      </c>
      <c r="J14" s="1">
        <v>279.36</v>
      </c>
      <c r="K14" s="1">
        <v>0</v>
      </c>
      <c r="L14" s="1">
        <v>1396.8</v>
      </c>
      <c r="M14" s="1" t="str">
        <f t="shared" si="0"/>
        <v>Online</v>
      </c>
      <c r="N14" s="1">
        <f t="shared" si="1"/>
        <v>16.2</v>
      </c>
    </row>
    <row r="15" spans="1:14" x14ac:dyDescent="0.3">
      <c r="A15" s="1" t="s">
        <v>2279</v>
      </c>
      <c r="B15" s="1">
        <v>46025</v>
      </c>
      <c r="C15" s="1" t="s">
        <v>54</v>
      </c>
      <c r="D15" s="1" t="s">
        <v>15</v>
      </c>
      <c r="E15" s="1" t="s">
        <v>28</v>
      </c>
      <c r="F15" s="1" t="s">
        <v>29</v>
      </c>
      <c r="G15" s="1" t="s">
        <v>55</v>
      </c>
      <c r="H15" s="1" t="s">
        <v>71</v>
      </c>
      <c r="I15" s="1">
        <v>4</v>
      </c>
      <c r="J15" s="1">
        <v>34.200000000000003</v>
      </c>
      <c r="K15" s="1">
        <v>0</v>
      </c>
      <c r="L15" s="1">
        <v>136.80000000000001</v>
      </c>
      <c r="M15" s="1" t="str">
        <f t="shared" si="0"/>
        <v>Online</v>
      </c>
      <c r="N15" s="1">
        <f t="shared" si="1"/>
        <v>267.12</v>
      </c>
    </row>
    <row r="16" spans="1:14" x14ac:dyDescent="0.3">
      <c r="A16" s="1" t="s">
        <v>2280</v>
      </c>
      <c r="B16" s="1">
        <v>46025</v>
      </c>
      <c r="C16" s="1" t="s">
        <v>21</v>
      </c>
      <c r="D16" s="1" t="s">
        <v>15</v>
      </c>
      <c r="E16" s="1" t="s">
        <v>16</v>
      </c>
      <c r="F16" s="1" t="s">
        <v>29</v>
      </c>
      <c r="G16" s="1" t="s">
        <v>88</v>
      </c>
      <c r="H16" s="1" t="s">
        <v>86</v>
      </c>
      <c r="I16" s="1">
        <v>7</v>
      </c>
      <c r="J16" s="1">
        <v>62.01</v>
      </c>
      <c r="K16" s="1">
        <v>0.05</v>
      </c>
      <c r="L16" s="1">
        <v>412.37</v>
      </c>
      <c r="M16" s="1" t="str">
        <f t="shared" si="0"/>
        <v>Online</v>
      </c>
      <c r="N16" s="1">
        <f t="shared" si="1"/>
        <v>405</v>
      </c>
    </row>
    <row r="17" spans="1:14" x14ac:dyDescent="0.3">
      <c r="A17" s="1" t="s">
        <v>2270</v>
      </c>
      <c r="B17" s="1">
        <v>46026</v>
      </c>
      <c r="C17" s="1" t="s">
        <v>61</v>
      </c>
      <c r="D17" s="1" t="s">
        <v>27</v>
      </c>
      <c r="E17" s="1" t="s">
        <v>16</v>
      </c>
      <c r="F17" s="1" t="s">
        <v>82</v>
      </c>
      <c r="G17" s="1" t="s">
        <v>150</v>
      </c>
      <c r="H17" s="1" t="s">
        <v>73</v>
      </c>
      <c r="I17" s="1">
        <v>3</v>
      </c>
      <c r="J17" s="1">
        <v>3052.8</v>
      </c>
      <c r="K17" s="1">
        <v>0.08</v>
      </c>
      <c r="L17" s="1">
        <v>8425.73</v>
      </c>
      <c r="M17" s="1" t="str">
        <f t="shared" si="0"/>
        <v>Online</v>
      </c>
      <c r="N17" s="1">
        <f t="shared" si="1"/>
        <v>62.01</v>
      </c>
    </row>
    <row r="18" spans="1:14" x14ac:dyDescent="0.3">
      <c r="A18" s="1" t="s">
        <v>2271</v>
      </c>
      <c r="B18" s="1">
        <v>46026</v>
      </c>
      <c r="C18" s="1" t="s">
        <v>21</v>
      </c>
      <c r="D18" s="1" t="s">
        <v>27</v>
      </c>
      <c r="E18" s="1" t="s">
        <v>16</v>
      </c>
      <c r="F18" s="1" t="s">
        <v>36</v>
      </c>
      <c r="G18" s="1" t="s">
        <v>119</v>
      </c>
      <c r="H18" s="1" t="s">
        <v>44</v>
      </c>
      <c r="I18" s="1">
        <v>5</v>
      </c>
      <c r="J18" s="1">
        <v>667.8</v>
      </c>
      <c r="K18" s="1">
        <v>0.08</v>
      </c>
      <c r="L18" s="1">
        <v>3071.88</v>
      </c>
      <c r="M18" s="1" t="str">
        <f t="shared" si="0"/>
        <v>Retail Store</v>
      </c>
      <c r="N18" s="1">
        <f t="shared" si="1"/>
        <v>405</v>
      </c>
    </row>
    <row r="19" spans="1:14" x14ac:dyDescent="0.3">
      <c r="A19" s="1" t="s">
        <v>2272</v>
      </c>
      <c r="B19" s="1">
        <v>46026</v>
      </c>
      <c r="C19" s="1" t="s">
        <v>14</v>
      </c>
      <c r="D19" s="1" t="s">
        <v>35</v>
      </c>
      <c r="E19" s="1" t="s">
        <v>16</v>
      </c>
      <c r="F19" s="1" t="s">
        <v>82</v>
      </c>
      <c r="G19" s="1" t="s">
        <v>85</v>
      </c>
      <c r="H19" s="1" t="s">
        <v>40</v>
      </c>
      <c r="I19" s="1">
        <v>2</v>
      </c>
      <c r="J19" s="1">
        <v>1620</v>
      </c>
      <c r="K19" s="1">
        <v>0.05</v>
      </c>
      <c r="L19" s="1">
        <v>3078</v>
      </c>
      <c r="M19" s="1" t="str">
        <f t="shared" si="0"/>
        <v>Online</v>
      </c>
      <c r="N19" s="1">
        <f t="shared" si="1"/>
        <v>16.2</v>
      </c>
    </row>
    <row r="20" spans="1:14" x14ac:dyDescent="0.3">
      <c r="A20" s="1" t="s">
        <v>2273</v>
      </c>
      <c r="B20" s="1">
        <v>46026</v>
      </c>
      <c r="C20" s="1" t="s">
        <v>14</v>
      </c>
      <c r="D20" s="1" t="s">
        <v>35</v>
      </c>
      <c r="E20" s="1" t="s">
        <v>28</v>
      </c>
      <c r="F20" s="1" t="s">
        <v>82</v>
      </c>
      <c r="G20" s="1" t="s">
        <v>96</v>
      </c>
      <c r="H20" s="1" t="s">
        <v>40</v>
      </c>
      <c r="I20" s="1">
        <v>2</v>
      </c>
      <c r="J20" s="1">
        <v>2565</v>
      </c>
      <c r="K20" s="1">
        <v>0.08</v>
      </c>
      <c r="L20" s="1">
        <v>4719.6000000000004</v>
      </c>
      <c r="M20" s="1" t="str">
        <f t="shared" si="0"/>
        <v>Online</v>
      </c>
      <c r="N20" s="1">
        <f t="shared" si="1"/>
        <v>16.2</v>
      </c>
    </row>
    <row r="21" spans="1:14" x14ac:dyDescent="0.3">
      <c r="A21" s="1" t="s">
        <v>2274</v>
      </c>
      <c r="B21" s="1">
        <v>46026</v>
      </c>
      <c r="C21" s="1" t="s">
        <v>47</v>
      </c>
      <c r="D21" s="1" t="s">
        <v>35</v>
      </c>
      <c r="E21" s="1" t="s">
        <v>16</v>
      </c>
      <c r="F21" s="1" t="s">
        <v>82</v>
      </c>
      <c r="G21" s="1" t="s">
        <v>114</v>
      </c>
      <c r="H21" s="1" t="s">
        <v>58</v>
      </c>
      <c r="I21" s="1">
        <v>2</v>
      </c>
      <c r="J21" s="1">
        <v>2250</v>
      </c>
      <c r="K21" s="1">
        <v>0</v>
      </c>
      <c r="L21" s="1">
        <v>4500</v>
      </c>
      <c r="M21" s="1" t="str">
        <f t="shared" si="0"/>
        <v>Corporate Sales</v>
      </c>
      <c r="N21" s="1">
        <f t="shared" si="1"/>
        <v>421.2</v>
      </c>
    </row>
    <row r="22" spans="1:14" x14ac:dyDescent="0.3">
      <c r="A22" s="1" t="s">
        <v>2275</v>
      </c>
      <c r="B22" s="1">
        <v>46026</v>
      </c>
      <c r="C22" s="1" t="s">
        <v>54</v>
      </c>
      <c r="D22" s="1" t="s">
        <v>15</v>
      </c>
      <c r="E22" s="1" t="s">
        <v>16</v>
      </c>
      <c r="F22" s="1" t="s">
        <v>82</v>
      </c>
      <c r="G22" s="1" t="s">
        <v>150</v>
      </c>
      <c r="H22" s="1" t="s">
        <v>56</v>
      </c>
      <c r="I22" s="1">
        <v>3</v>
      </c>
      <c r="J22" s="1">
        <v>2880</v>
      </c>
      <c r="K22" s="1">
        <v>0.05</v>
      </c>
      <c r="L22" s="1">
        <v>8208</v>
      </c>
      <c r="M22" s="1" t="str">
        <f t="shared" si="0"/>
        <v>Online</v>
      </c>
      <c r="N22" s="1">
        <f t="shared" si="1"/>
        <v>267.12</v>
      </c>
    </row>
    <row r="23" spans="1:14" x14ac:dyDescent="0.3">
      <c r="A23" s="1" t="s">
        <v>2276</v>
      </c>
      <c r="B23" s="1">
        <v>46026</v>
      </c>
      <c r="C23" s="1" t="s">
        <v>21</v>
      </c>
      <c r="D23" s="1" t="s">
        <v>35</v>
      </c>
      <c r="E23" s="1" t="s">
        <v>16</v>
      </c>
      <c r="F23" s="1" t="s">
        <v>42</v>
      </c>
      <c r="G23" s="1" t="s">
        <v>43</v>
      </c>
      <c r="H23" s="1" t="s">
        <v>44</v>
      </c>
      <c r="I23" s="1">
        <v>4</v>
      </c>
      <c r="J23" s="1">
        <v>162</v>
      </c>
      <c r="K23" s="1">
        <v>0.2</v>
      </c>
      <c r="L23" s="1">
        <v>518.4</v>
      </c>
      <c r="M23" s="1" t="str">
        <f t="shared" si="0"/>
        <v>Retail Store</v>
      </c>
      <c r="N23" s="1">
        <f t="shared" si="1"/>
        <v>405</v>
      </c>
    </row>
    <row r="24" spans="1:14" x14ac:dyDescent="0.3">
      <c r="A24" s="1" t="s">
        <v>2265</v>
      </c>
      <c r="B24" s="1">
        <v>46027</v>
      </c>
      <c r="C24" s="1" t="s">
        <v>21</v>
      </c>
      <c r="D24" s="1" t="s">
        <v>27</v>
      </c>
      <c r="E24" s="1" t="s">
        <v>16</v>
      </c>
      <c r="F24" s="1" t="s">
        <v>23</v>
      </c>
      <c r="G24" s="1" t="s">
        <v>24</v>
      </c>
      <c r="H24" s="1" t="s">
        <v>86</v>
      </c>
      <c r="I24" s="1">
        <v>5</v>
      </c>
      <c r="J24" s="1">
        <v>23.4</v>
      </c>
      <c r="K24" s="1">
        <v>0.08</v>
      </c>
      <c r="L24" s="1">
        <v>107.64</v>
      </c>
      <c r="M24" s="1" t="str">
        <f t="shared" si="0"/>
        <v>Online</v>
      </c>
      <c r="N24" s="1">
        <f t="shared" si="1"/>
        <v>405</v>
      </c>
    </row>
    <row r="25" spans="1:14" x14ac:dyDescent="0.3">
      <c r="A25" s="1" t="s">
        <v>2266</v>
      </c>
      <c r="B25" s="1">
        <v>46027</v>
      </c>
      <c r="C25" s="1" t="s">
        <v>14</v>
      </c>
      <c r="D25" s="1" t="s">
        <v>27</v>
      </c>
      <c r="E25" s="1" t="s">
        <v>16</v>
      </c>
      <c r="F25" s="1" t="s">
        <v>17</v>
      </c>
      <c r="G25" s="1" t="s">
        <v>62</v>
      </c>
      <c r="H25" s="1" t="s">
        <v>19</v>
      </c>
      <c r="I25" s="1">
        <v>5</v>
      </c>
      <c r="J25" s="1">
        <v>54</v>
      </c>
      <c r="K25" s="1">
        <v>0.08</v>
      </c>
      <c r="L25" s="1">
        <v>248.4</v>
      </c>
      <c r="M25" s="1" t="str">
        <f t="shared" si="0"/>
        <v>Retail Store</v>
      </c>
      <c r="N25" s="1">
        <f t="shared" si="1"/>
        <v>16.2</v>
      </c>
    </row>
    <row r="26" spans="1:14" x14ac:dyDescent="0.3">
      <c r="A26" s="1" t="s">
        <v>2267</v>
      </c>
      <c r="B26" s="1">
        <v>46027</v>
      </c>
      <c r="C26" s="1" t="s">
        <v>47</v>
      </c>
      <c r="D26" s="1" t="s">
        <v>35</v>
      </c>
      <c r="E26" s="1" t="s">
        <v>16</v>
      </c>
      <c r="F26" s="1" t="s">
        <v>82</v>
      </c>
      <c r="G26" s="1" t="s">
        <v>150</v>
      </c>
      <c r="H26" s="1" t="s">
        <v>58</v>
      </c>
      <c r="I26" s="1">
        <v>2</v>
      </c>
      <c r="J26" s="1">
        <v>2880</v>
      </c>
      <c r="K26" s="1">
        <v>0.1</v>
      </c>
      <c r="L26" s="1">
        <v>5184</v>
      </c>
      <c r="M26" s="1" t="str">
        <f t="shared" si="0"/>
        <v>Corporate Sales</v>
      </c>
      <c r="N26" s="1">
        <f t="shared" si="1"/>
        <v>421.2</v>
      </c>
    </row>
    <row r="27" spans="1:14" x14ac:dyDescent="0.3">
      <c r="A27" s="1" t="s">
        <v>2268</v>
      </c>
      <c r="B27" s="1">
        <v>46027</v>
      </c>
      <c r="C27" s="1" t="s">
        <v>14</v>
      </c>
      <c r="D27" s="1" t="s">
        <v>35</v>
      </c>
      <c r="E27" s="1" t="s">
        <v>16</v>
      </c>
      <c r="F27" s="1" t="s">
        <v>36</v>
      </c>
      <c r="G27" s="1" t="s">
        <v>70</v>
      </c>
      <c r="H27" s="1" t="s">
        <v>31</v>
      </c>
      <c r="I27" s="1">
        <v>2</v>
      </c>
      <c r="J27" s="1">
        <v>506.34</v>
      </c>
      <c r="K27" s="1">
        <v>0.05</v>
      </c>
      <c r="L27" s="1">
        <v>962.05</v>
      </c>
      <c r="M27" s="1" t="str">
        <f t="shared" si="0"/>
        <v>Online</v>
      </c>
      <c r="N27" s="1">
        <f t="shared" si="1"/>
        <v>16.2</v>
      </c>
    </row>
    <row r="28" spans="1:14" x14ac:dyDescent="0.3">
      <c r="A28" s="1" t="s">
        <v>2269</v>
      </c>
      <c r="B28" s="1">
        <v>46027</v>
      </c>
      <c r="C28" s="1" t="s">
        <v>47</v>
      </c>
      <c r="D28" s="1" t="s">
        <v>27</v>
      </c>
      <c r="E28" s="1" t="s">
        <v>16</v>
      </c>
      <c r="F28" s="1" t="s">
        <v>29</v>
      </c>
      <c r="G28" s="1" t="s">
        <v>51</v>
      </c>
      <c r="H28" s="1" t="s">
        <v>78</v>
      </c>
      <c r="I28" s="1">
        <v>3</v>
      </c>
      <c r="J28" s="1">
        <v>39.29</v>
      </c>
      <c r="K28" s="1">
        <v>0.05</v>
      </c>
      <c r="L28" s="1">
        <v>111.96</v>
      </c>
      <c r="M28" s="1" t="str">
        <f t="shared" si="0"/>
        <v>Retail Store</v>
      </c>
      <c r="N28" s="1">
        <f t="shared" si="1"/>
        <v>421.2</v>
      </c>
    </row>
    <row r="29" spans="1:14" x14ac:dyDescent="0.3">
      <c r="A29" s="1" t="s">
        <v>2248</v>
      </c>
      <c r="B29" s="1">
        <v>46028</v>
      </c>
      <c r="C29" s="1" t="s">
        <v>61</v>
      </c>
      <c r="D29" s="1" t="s">
        <v>27</v>
      </c>
      <c r="E29" s="1" t="s">
        <v>28</v>
      </c>
      <c r="F29" s="1" t="s">
        <v>82</v>
      </c>
      <c r="G29" s="1" t="s">
        <v>96</v>
      </c>
      <c r="H29" s="1" t="s">
        <v>63</v>
      </c>
      <c r="I29" s="1">
        <v>2</v>
      </c>
      <c r="J29" s="1">
        <v>2808</v>
      </c>
      <c r="K29" s="1">
        <v>0.1</v>
      </c>
      <c r="L29" s="1">
        <v>5054.3999999999996</v>
      </c>
      <c r="M29" s="1" t="str">
        <f t="shared" si="0"/>
        <v>Retail Store</v>
      </c>
      <c r="N29" s="1">
        <f t="shared" si="1"/>
        <v>62.01</v>
      </c>
    </row>
    <row r="30" spans="1:14" x14ac:dyDescent="0.3">
      <c r="A30" s="1" t="s">
        <v>2249</v>
      </c>
      <c r="B30" s="1">
        <v>46028</v>
      </c>
      <c r="C30" s="1" t="s">
        <v>21</v>
      </c>
      <c r="D30" s="1" t="s">
        <v>15</v>
      </c>
      <c r="E30" s="1" t="s">
        <v>28</v>
      </c>
      <c r="F30" s="1" t="s">
        <v>17</v>
      </c>
      <c r="G30" s="1" t="s">
        <v>98</v>
      </c>
      <c r="H30" s="1" t="s">
        <v>25</v>
      </c>
      <c r="I30" s="1">
        <v>5</v>
      </c>
      <c r="J30" s="1">
        <v>384.75</v>
      </c>
      <c r="K30" s="1">
        <v>0</v>
      </c>
      <c r="L30" s="1">
        <v>1923.75</v>
      </c>
      <c r="M30" s="1" t="str">
        <f t="shared" si="0"/>
        <v>Marketplace</v>
      </c>
      <c r="N30" s="1">
        <f t="shared" si="1"/>
        <v>405</v>
      </c>
    </row>
    <row r="31" spans="1:14" x14ac:dyDescent="0.3">
      <c r="A31" s="1" t="s">
        <v>2250</v>
      </c>
      <c r="B31" s="1">
        <v>46028</v>
      </c>
      <c r="C31" s="1" t="s">
        <v>54</v>
      </c>
      <c r="D31" s="1" t="s">
        <v>15</v>
      </c>
      <c r="E31" s="1" t="s">
        <v>28</v>
      </c>
      <c r="F31" s="1" t="s">
        <v>36</v>
      </c>
      <c r="G31" s="1" t="s">
        <v>37</v>
      </c>
      <c r="H31" s="1" t="s">
        <v>71</v>
      </c>
      <c r="I31" s="1">
        <v>2</v>
      </c>
      <c r="J31" s="1">
        <v>765</v>
      </c>
      <c r="K31" s="1">
        <v>0.05</v>
      </c>
      <c r="L31" s="1">
        <v>1453.5</v>
      </c>
      <c r="M31" s="1" t="str">
        <f t="shared" si="0"/>
        <v>Online</v>
      </c>
      <c r="N31" s="1">
        <f t="shared" si="1"/>
        <v>267.12</v>
      </c>
    </row>
    <row r="32" spans="1:14" x14ac:dyDescent="0.3">
      <c r="A32" s="1" t="s">
        <v>2251</v>
      </c>
      <c r="B32" s="1">
        <v>46028</v>
      </c>
      <c r="C32" s="1" t="s">
        <v>54</v>
      </c>
      <c r="D32" s="1" t="s">
        <v>22</v>
      </c>
      <c r="E32" s="1" t="s">
        <v>16</v>
      </c>
      <c r="F32" s="1" t="s">
        <v>82</v>
      </c>
      <c r="G32" s="1" t="s">
        <v>83</v>
      </c>
      <c r="H32" s="1" t="s">
        <v>71</v>
      </c>
      <c r="I32" s="1">
        <v>2</v>
      </c>
      <c r="J32" s="1">
        <v>4006.8</v>
      </c>
      <c r="K32" s="1">
        <v>0.08</v>
      </c>
      <c r="L32" s="1">
        <v>7372.51</v>
      </c>
      <c r="M32" s="1" t="str">
        <f t="shared" si="0"/>
        <v>Online</v>
      </c>
      <c r="N32" s="1">
        <f t="shared" si="1"/>
        <v>267.12</v>
      </c>
    </row>
    <row r="33" spans="1:14" x14ac:dyDescent="0.3">
      <c r="A33" s="1" t="s">
        <v>2252</v>
      </c>
      <c r="B33" s="1">
        <v>46028</v>
      </c>
      <c r="C33" s="1" t="s">
        <v>54</v>
      </c>
      <c r="D33" s="1" t="s">
        <v>15</v>
      </c>
      <c r="E33" s="1" t="s">
        <v>28</v>
      </c>
      <c r="F33" s="1" t="s">
        <v>23</v>
      </c>
      <c r="G33" s="1" t="s">
        <v>142</v>
      </c>
      <c r="H33" s="1" t="s">
        <v>71</v>
      </c>
      <c r="I33" s="1">
        <v>2</v>
      </c>
      <c r="J33" s="1">
        <v>15.71</v>
      </c>
      <c r="K33" s="1">
        <v>0.03</v>
      </c>
      <c r="L33" s="1">
        <v>30.49</v>
      </c>
      <c r="M33" s="1" t="str">
        <f t="shared" si="0"/>
        <v>Online</v>
      </c>
      <c r="N33" s="1">
        <f t="shared" si="1"/>
        <v>267.12</v>
      </c>
    </row>
    <row r="34" spans="1:14" x14ac:dyDescent="0.3">
      <c r="A34" s="1" t="s">
        <v>2253</v>
      </c>
      <c r="B34" s="1">
        <v>46028</v>
      </c>
      <c r="C34" s="1" t="s">
        <v>21</v>
      </c>
      <c r="D34" s="1" t="s">
        <v>27</v>
      </c>
      <c r="E34" s="1" t="s">
        <v>28</v>
      </c>
      <c r="F34" s="1" t="s">
        <v>17</v>
      </c>
      <c r="G34" s="1" t="s">
        <v>62</v>
      </c>
      <c r="H34" s="1" t="s">
        <v>86</v>
      </c>
      <c r="I34" s="1">
        <v>2</v>
      </c>
      <c r="J34" s="1">
        <v>54</v>
      </c>
      <c r="K34" s="1">
        <v>0.1</v>
      </c>
      <c r="L34" s="1">
        <v>97.2</v>
      </c>
      <c r="M34" s="1" t="str">
        <f t="shared" si="0"/>
        <v>Online</v>
      </c>
      <c r="N34" s="1">
        <f t="shared" si="1"/>
        <v>405</v>
      </c>
    </row>
    <row r="35" spans="1:14" x14ac:dyDescent="0.3">
      <c r="A35" s="1" t="s">
        <v>2254</v>
      </c>
      <c r="B35" s="1">
        <v>46028</v>
      </c>
      <c r="C35" s="1" t="s">
        <v>14</v>
      </c>
      <c r="D35" s="1" t="s">
        <v>15</v>
      </c>
      <c r="E35" s="1" t="s">
        <v>16</v>
      </c>
      <c r="F35" s="1" t="s">
        <v>82</v>
      </c>
      <c r="G35" s="1" t="s">
        <v>83</v>
      </c>
      <c r="H35" s="1" t="s">
        <v>31</v>
      </c>
      <c r="I35" s="1">
        <v>2</v>
      </c>
      <c r="J35" s="1">
        <v>3931.2</v>
      </c>
      <c r="K35" s="1">
        <v>0.15</v>
      </c>
      <c r="L35" s="1">
        <v>6683.04</v>
      </c>
      <c r="M35" s="1" t="str">
        <f t="shared" si="0"/>
        <v>Online</v>
      </c>
      <c r="N35" s="1">
        <f t="shared" si="1"/>
        <v>16.2</v>
      </c>
    </row>
    <row r="36" spans="1:14" x14ac:dyDescent="0.3">
      <c r="A36" s="1" t="s">
        <v>2255</v>
      </c>
      <c r="B36" s="1">
        <v>46028</v>
      </c>
      <c r="C36" s="1" t="s">
        <v>21</v>
      </c>
      <c r="D36" s="1" t="s">
        <v>22</v>
      </c>
      <c r="E36" s="1" t="s">
        <v>16</v>
      </c>
      <c r="F36" s="1" t="s">
        <v>29</v>
      </c>
      <c r="G36" s="1" t="s">
        <v>55</v>
      </c>
      <c r="H36" s="1" t="s">
        <v>25</v>
      </c>
      <c r="I36" s="1">
        <v>4</v>
      </c>
      <c r="J36" s="1">
        <v>33.17</v>
      </c>
      <c r="K36" s="1">
        <v>0.08</v>
      </c>
      <c r="L36" s="1">
        <v>122.08</v>
      </c>
      <c r="M36" s="1" t="str">
        <f t="shared" si="0"/>
        <v>Marketplace</v>
      </c>
      <c r="N36" s="1">
        <f t="shared" si="1"/>
        <v>405</v>
      </c>
    </row>
    <row r="37" spans="1:14" x14ac:dyDescent="0.3">
      <c r="A37" s="1" t="s">
        <v>2256</v>
      </c>
      <c r="B37" s="1">
        <v>46028</v>
      </c>
      <c r="C37" s="1" t="s">
        <v>21</v>
      </c>
      <c r="D37" s="1" t="s">
        <v>27</v>
      </c>
      <c r="E37" s="1" t="s">
        <v>16</v>
      </c>
      <c r="F37" s="1" t="s">
        <v>23</v>
      </c>
      <c r="G37" s="1" t="s">
        <v>24</v>
      </c>
      <c r="H37" s="1" t="s">
        <v>25</v>
      </c>
      <c r="I37" s="1">
        <v>3</v>
      </c>
      <c r="J37" s="1">
        <v>22.95</v>
      </c>
      <c r="K37" s="1">
        <v>0.05</v>
      </c>
      <c r="L37" s="1">
        <v>65.41</v>
      </c>
      <c r="M37" s="1" t="str">
        <f t="shared" si="0"/>
        <v>Marketplace</v>
      </c>
      <c r="N37" s="1">
        <f t="shared" si="1"/>
        <v>405</v>
      </c>
    </row>
    <row r="38" spans="1:14" x14ac:dyDescent="0.3">
      <c r="A38" s="1" t="s">
        <v>2257</v>
      </c>
      <c r="B38" s="1">
        <v>46028</v>
      </c>
      <c r="C38" s="1" t="s">
        <v>21</v>
      </c>
      <c r="D38" s="1" t="s">
        <v>15</v>
      </c>
      <c r="E38" s="1" t="s">
        <v>28</v>
      </c>
      <c r="F38" s="1" t="s">
        <v>36</v>
      </c>
      <c r="G38" s="1" t="s">
        <v>119</v>
      </c>
      <c r="H38" s="1" t="s">
        <v>44</v>
      </c>
      <c r="I38" s="1">
        <v>3</v>
      </c>
      <c r="J38" s="1">
        <v>655.20000000000005</v>
      </c>
      <c r="K38" s="1">
        <v>0.08</v>
      </c>
      <c r="L38" s="1">
        <v>1808.35</v>
      </c>
      <c r="M38" s="1" t="str">
        <f t="shared" si="0"/>
        <v>Retail Store</v>
      </c>
      <c r="N38" s="1">
        <f t="shared" si="1"/>
        <v>405</v>
      </c>
    </row>
    <row r="39" spans="1:14" x14ac:dyDescent="0.3">
      <c r="A39" s="1" t="s">
        <v>2258</v>
      </c>
      <c r="B39" s="1">
        <v>46028</v>
      </c>
      <c r="C39" s="1" t="s">
        <v>61</v>
      </c>
      <c r="D39" s="1" t="s">
        <v>27</v>
      </c>
      <c r="E39" s="1" t="s">
        <v>28</v>
      </c>
      <c r="F39" s="1" t="s">
        <v>82</v>
      </c>
      <c r="G39" s="1" t="s">
        <v>96</v>
      </c>
      <c r="H39" s="1" t="s">
        <v>112</v>
      </c>
      <c r="I39" s="1">
        <v>2</v>
      </c>
      <c r="J39" s="1">
        <v>2700</v>
      </c>
      <c r="K39" s="1">
        <v>0.15</v>
      </c>
      <c r="L39" s="1">
        <v>4590</v>
      </c>
      <c r="M39" s="1" t="str">
        <f t="shared" si="0"/>
        <v>Online</v>
      </c>
      <c r="N39" s="1">
        <f t="shared" si="1"/>
        <v>62.01</v>
      </c>
    </row>
    <row r="40" spans="1:14" x14ac:dyDescent="0.3">
      <c r="A40" s="1" t="s">
        <v>2259</v>
      </c>
      <c r="B40" s="1">
        <v>46028</v>
      </c>
      <c r="C40" s="1" t="s">
        <v>54</v>
      </c>
      <c r="D40" s="1" t="s">
        <v>27</v>
      </c>
      <c r="E40" s="1" t="s">
        <v>16</v>
      </c>
      <c r="F40" s="1" t="s">
        <v>23</v>
      </c>
      <c r="G40" s="1" t="s">
        <v>116</v>
      </c>
      <c r="H40" s="1" t="s">
        <v>56</v>
      </c>
      <c r="I40" s="1">
        <v>5</v>
      </c>
      <c r="J40" s="1">
        <v>7.34</v>
      </c>
      <c r="K40" s="1">
        <v>0.05</v>
      </c>
      <c r="L40" s="1">
        <v>34.880000000000003</v>
      </c>
      <c r="M40" s="1" t="str">
        <f t="shared" si="0"/>
        <v>Online</v>
      </c>
      <c r="N40" s="1">
        <f t="shared" si="1"/>
        <v>267.12</v>
      </c>
    </row>
    <row r="41" spans="1:14" x14ac:dyDescent="0.3">
      <c r="A41" s="1" t="s">
        <v>2260</v>
      </c>
      <c r="B41" s="1">
        <v>46028</v>
      </c>
      <c r="C41" s="1" t="s">
        <v>21</v>
      </c>
      <c r="D41" s="1" t="s">
        <v>35</v>
      </c>
      <c r="E41" s="1" t="s">
        <v>28</v>
      </c>
      <c r="F41" s="1" t="s">
        <v>36</v>
      </c>
      <c r="G41" s="1" t="s">
        <v>77</v>
      </c>
      <c r="H41" s="1" t="s">
        <v>25</v>
      </c>
      <c r="I41" s="1">
        <v>3</v>
      </c>
      <c r="J41" s="1">
        <v>1431</v>
      </c>
      <c r="K41" s="1">
        <v>0.2</v>
      </c>
      <c r="L41" s="1">
        <v>3434.4</v>
      </c>
      <c r="M41" s="1" t="str">
        <f t="shared" si="0"/>
        <v>Marketplace</v>
      </c>
      <c r="N41" s="1">
        <f t="shared" si="1"/>
        <v>405</v>
      </c>
    </row>
    <row r="42" spans="1:14" x14ac:dyDescent="0.3">
      <c r="A42" s="1" t="s">
        <v>2261</v>
      </c>
      <c r="B42" s="1">
        <v>46028</v>
      </c>
      <c r="C42" s="1" t="s">
        <v>21</v>
      </c>
      <c r="D42" s="1" t="s">
        <v>15</v>
      </c>
      <c r="E42" s="1" t="s">
        <v>16</v>
      </c>
      <c r="F42" s="1" t="s">
        <v>23</v>
      </c>
      <c r="G42" s="1" t="s">
        <v>24</v>
      </c>
      <c r="H42" s="1" t="s">
        <v>86</v>
      </c>
      <c r="I42" s="1">
        <v>5</v>
      </c>
      <c r="J42" s="1">
        <v>22.5</v>
      </c>
      <c r="K42" s="1">
        <v>0.08</v>
      </c>
      <c r="L42" s="1">
        <v>103.5</v>
      </c>
      <c r="M42" s="1" t="str">
        <f t="shared" si="0"/>
        <v>Online</v>
      </c>
      <c r="N42" s="1">
        <f t="shared" si="1"/>
        <v>405</v>
      </c>
    </row>
    <row r="43" spans="1:14" x14ac:dyDescent="0.3">
      <c r="A43" s="1" t="s">
        <v>2262</v>
      </c>
      <c r="B43" s="1">
        <v>46028</v>
      </c>
      <c r="C43" s="1" t="s">
        <v>61</v>
      </c>
      <c r="D43" s="1" t="s">
        <v>15</v>
      </c>
      <c r="E43" s="1" t="s">
        <v>16</v>
      </c>
      <c r="F43" s="1" t="s">
        <v>36</v>
      </c>
      <c r="G43" s="1" t="s">
        <v>77</v>
      </c>
      <c r="H43" s="1" t="s">
        <v>112</v>
      </c>
      <c r="I43" s="1">
        <v>3</v>
      </c>
      <c r="J43" s="1">
        <v>1404</v>
      </c>
      <c r="K43" s="1">
        <v>0.03</v>
      </c>
      <c r="L43" s="1">
        <v>4085.64</v>
      </c>
      <c r="M43" s="1" t="str">
        <f t="shared" si="0"/>
        <v>Online</v>
      </c>
      <c r="N43" s="1">
        <f t="shared" si="1"/>
        <v>62.01</v>
      </c>
    </row>
    <row r="44" spans="1:14" x14ac:dyDescent="0.3">
      <c r="A44" s="1" t="s">
        <v>2263</v>
      </c>
      <c r="B44" s="1">
        <v>46028</v>
      </c>
      <c r="C44" s="1" t="s">
        <v>21</v>
      </c>
      <c r="D44" s="1" t="s">
        <v>27</v>
      </c>
      <c r="E44" s="1" t="s">
        <v>28</v>
      </c>
      <c r="F44" s="1" t="s">
        <v>23</v>
      </c>
      <c r="G44" s="1" t="s">
        <v>142</v>
      </c>
      <c r="H44" s="1" t="s">
        <v>86</v>
      </c>
      <c r="I44" s="1">
        <v>4</v>
      </c>
      <c r="J44" s="1">
        <v>16.2</v>
      </c>
      <c r="K44" s="1">
        <v>0.1</v>
      </c>
      <c r="L44" s="1">
        <v>58.32</v>
      </c>
      <c r="M44" s="1" t="str">
        <f t="shared" si="0"/>
        <v>Online</v>
      </c>
      <c r="N44" s="1">
        <f t="shared" si="1"/>
        <v>405</v>
      </c>
    </row>
    <row r="45" spans="1:14" x14ac:dyDescent="0.3">
      <c r="A45" s="1" t="s">
        <v>2264</v>
      </c>
      <c r="B45" s="1">
        <v>46028</v>
      </c>
      <c r="C45" s="1" t="s">
        <v>14</v>
      </c>
      <c r="D45" s="1" t="s">
        <v>22</v>
      </c>
      <c r="E45" s="1" t="s">
        <v>16</v>
      </c>
      <c r="F45" s="1" t="s">
        <v>82</v>
      </c>
      <c r="G45" s="1" t="s">
        <v>85</v>
      </c>
      <c r="H45" s="1" t="s">
        <v>40</v>
      </c>
      <c r="I45" s="1">
        <v>4</v>
      </c>
      <c r="J45" s="1">
        <v>1684.8</v>
      </c>
      <c r="K45" s="1">
        <v>0.15</v>
      </c>
      <c r="L45" s="1">
        <v>5728.32</v>
      </c>
      <c r="M45" s="1" t="str">
        <f t="shared" si="0"/>
        <v>Online</v>
      </c>
      <c r="N45" s="1">
        <f t="shared" si="1"/>
        <v>16.2</v>
      </c>
    </row>
    <row r="46" spans="1:14" x14ac:dyDescent="0.3">
      <c r="A46" s="1" t="s">
        <v>2244</v>
      </c>
      <c r="B46" s="1">
        <v>46029</v>
      </c>
      <c r="C46" s="1" t="s">
        <v>47</v>
      </c>
      <c r="D46" s="1" t="s">
        <v>27</v>
      </c>
      <c r="E46" s="1" t="s">
        <v>16</v>
      </c>
      <c r="F46" s="1" t="s">
        <v>29</v>
      </c>
      <c r="G46" s="1" t="s">
        <v>39</v>
      </c>
      <c r="H46" s="1" t="s">
        <v>78</v>
      </c>
      <c r="I46" s="1">
        <v>2</v>
      </c>
      <c r="J46" s="1">
        <v>72</v>
      </c>
      <c r="K46" s="1">
        <v>0.15</v>
      </c>
      <c r="L46" s="1">
        <v>122.4</v>
      </c>
      <c r="M46" s="1" t="str">
        <f t="shared" si="0"/>
        <v>Retail Store</v>
      </c>
      <c r="N46" s="1">
        <f t="shared" si="1"/>
        <v>421.2</v>
      </c>
    </row>
    <row r="47" spans="1:14" x14ac:dyDescent="0.3">
      <c r="A47" s="1" t="s">
        <v>2245</v>
      </c>
      <c r="B47" s="1">
        <v>46029</v>
      </c>
      <c r="C47" s="1" t="s">
        <v>21</v>
      </c>
      <c r="D47" s="1" t="s">
        <v>35</v>
      </c>
      <c r="E47" s="1" t="s">
        <v>16</v>
      </c>
      <c r="F47" s="1" t="s">
        <v>82</v>
      </c>
      <c r="G47" s="1" t="s">
        <v>96</v>
      </c>
      <c r="H47" s="1" t="s">
        <v>44</v>
      </c>
      <c r="I47" s="1">
        <v>2</v>
      </c>
      <c r="J47" s="1">
        <v>2754</v>
      </c>
      <c r="K47" s="1">
        <v>0.05</v>
      </c>
      <c r="L47" s="1">
        <v>5232.6000000000004</v>
      </c>
      <c r="M47" s="1" t="str">
        <f t="shared" si="0"/>
        <v>Retail Store</v>
      </c>
      <c r="N47" s="1">
        <f t="shared" si="1"/>
        <v>405</v>
      </c>
    </row>
    <row r="48" spans="1:14" x14ac:dyDescent="0.3">
      <c r="A48" s="1" t="s">
        <v>2246</v>
      </c>
      <c r="B48" s="1">
        <v>46029</v>
      </c>
      <c r="C48" s="1" t="s">
        <v>21</v>
      </c>
      <c r="D48" s="1" t="s">
        <v>22</v>
      </c>
      <c r="E48" s="1" t="s">
        <v>16</v>
      </c>
      <c r="F48" s="1" t="s">
        <v>36</v>
      </c>
      <c r="G48" s="1" t="s">
        <v>37</v>
      </c>
      <c r="H48" s="1" t="s">
        <v>44</v>
      </c>
      <c r="I48" s="1">
        <v>3</v>
      </c>
      <c r="J48" s="1">
        <v>726.75</v>
      </c>
      <c r="K48" s="1">
        <v>0.08</v>
      </c>
      <c r="L48" s="1">
        <v>2005.83</v>
      </c>
      <c r="M48" s="1" t="str">
        <f t="shared" si="0"/>
        <v>Retail Store</v>
      </c>
      <c r="N48" s="1">
        <f t="shared" si="1"/>
        <v>405</v>
      </c>
    </row>
    <row r="49" spans="1:14" x14ac:dyDescent="0.3">
      <c r="A49" s="1" t="s">
        <v>2247</v>
      </c>
      <c r="B49" s="1">
        <v>46029</v>
      </c>
      <c r="C49" s="1" t="s">
        <v>14</v>
      </c>
      <c r="D49" s="1" t="s">
        <v>27</v>
      </c>
      <c r="E49" s="1" t="s">
        <v>16</v>
      </c>
      <c r="F49" s="1" t="s">
        <v>82</v>
      </c>
      <c r="G49" s="1" t="s">
        <v>96</v>
      </c>
      <c r="H49" s="1" t="s">
        <v>19</v>
      </c>
      <c r="I49" s="1">
        <v>2</v>
      </c>
      <c r="J49" s="1">
        <v>2808</v>
      </c>
      <c r="K49" s="1">
        <v>0.05</v>
      </c>
      <c r="L49" s="1">
        <v>5335.2</v>
      </c>
      <c r="M49" s="1" t="str">
        <f t="shared" si="0"/>
        <v>Retail Store</v>
      </c>
      <c r="N49" s="1">
        <f t="shared" si="1"/>
        <v>16.2</v>
      </c>
    </row>
    <row r="50" spans="1:14" x14ac:dyDescent="0.3">
      <c r="A50" s="1" t="s">
        <v>2239</v>
      </c>
      <c r="B50" s="1">
        <v>46030</v>
      </c>
      <c r="C50" s="1" t="s">
        <v>47</v>
      </c>
      <c r="D50" s="1" t="s">
        <v>27</v>
      </c>
      <c r="E50" s="1" t="s">
        <v>16</v>
      </c>
      <c r="F50" s="1" t="s">
        <v>82</v>
      </c>
      <c r="G50" s="1" t="s">
        <v>150</v>
      </c>
      <c r="H50" s="1" t="s">
        <v>49</v>
      </c>
      <c r="I50" s="1">
        <v>2</v>
      </c>
      <c r="J50" s="1">
        <v>2937.6</v>
      </c>
      <c r="K50" s="1">
        <v>0.05</v>
      </c>
      <c r="L50" s="1">
        <v>5581.44</v>
      </c>
      <c r="M50" s="1" t="str">
        <f t="shared" si="0"/>
        <v>Retail Store</v>
      </c>
      <c r="N50" s="1">
        <f t="shared" si="1"/>
        <v>421.2</v>
      </c>
    </row>
    <row r="51" spans="1:14" x14ac:dyDescent="0.3">
      <c r="A51" s="1" t="s">
        <v>2240</v>
      </c>
      <c r="B51" s="1">
        <v>46030</v>
      </c>
      <c r="C51" s="1" t="s">
        <v>54</v>
      </c>
      <c r="D51" s="1" t="s">
        <v>15</v>
      </c>
      <c r="E51" s="1" t="s">
        <v>16</v>
      </c>
      <c r="F51" s="1" t="s">
        <v>36</v>
      </c>
      <c r="G51" s="1" t="s">
        <v>70</v>
      </c>
      <c r="H51" s="1" t="s">
        <v>56</v>
      </c>
      <c r="I51" s="1">
        <v>2</v>
      </c>
      <c r="J51" s="1">
        <v>553.32000000000005</v>
      </c>
      <c r="K51" s="1">
        <v>0.05</v>
      </c>
      <c r="L51" s="1">
        <v>1051.31</v>
      </c>
      <c r="M51" s="1" t="str">
        <f t="shared" si="0"/>
        <v>Online</v>
      </c>
      <c r="N51" s="1">
        <f t="shared" si="1"/>
        <v>267.12</v>
      </c>
    </row>
    <row r="52" spans="1:14" x14ac:dyDescent="0.3">
      <c r="A52" s="1" t="s">
        <v>2241</v>
      </c>
      <c r="B52" s="1">
        <v>46030</v>
      </c>
      <c r="C52" s="1" t="s">
        <v>61</v>
      </c>
      <c r="D52" s="1" t="s">
        <v>35</v>
      </c>
      <c r="E52" s="1" t="s">
        <v>16</v>
      </c>
      <c r="F52" s="1" t="s">
        <v>42</v>
      </c>
      <c r="G52" s="1" t="s">
        <v>43</v>
      </c>
      <c r="H52" s="1" t="s">
        <v>63</v>
      </c>
      <c r="I52" s="1">
        <v>8</v>
      </c>
      <c r="J52" s="1">
        <v>168.48</v>
      </c>
      <c r="K52" s="1">
        <v>0.1</v>
      </c>
      <c r="L52" s="1">
        <v>1213.06</v>
      </c>
      <c r="M52" s="1" t="str">
        <f t="shared" si="0"/>
        <v>Retail Store</v>
      </c>
      <c r="N52" s="1">
        <f t="shared" si="1"/>
        <v>62.01</v>
      </c>
    </row>
    <row r="53" spans="1:14" x14ac:dyDescent="0.3">
      <c r="A53" s="1" t="s">
        <v>2242</v>
      </c>
      <c r="B53" s="1">
        <v>46030</v>
      </c>
      <c r="C53" s="1" t="s">
        <v>54</v>
      </c>
      <c r="D53" s="1" t="s">
        <v>27</v>
      </c>
      <c r="E53" s="1" t="s">
        <v>16</v>
      </c>
      <c r="F53" s="1" t="s">
        <v>82</v>
      </c>
      <c r="G53" s="1" t="s">
        <v>83</v>
      </c>
      <c r="H53" s="1" t="s">
        <v>80</v>
      </c>
      <c r="I53" s="1">
        <v>2</v>
      </c>
      <c r="J53" s="1">
        <v>3780</v>
      </c>
      <c r="K53" s="1">
        <v>0</v>
      </c>
      <c r="L53" s="1">
        <v>7560</v>
      </c>
      <c r="M53" s="1" t="str">
        <f t="shared" si="0"/>
        <v>Marketplace</v>
      </c>
      <c r="N53" s="1">
        <f t="shared" si="1"/>
        <v>267.12</v>
      </c>
    </row>
    <row r="54" spans="1:14" x14ac:dyDescent="0.3">
      <c r="A54" s="1" t="s">
        <v>2243</v>
      </c>
      <c r="B54" s="1">
        <v>46030</v>
      </c>
      <c r="C54" s="1" t="s">
        <v>14</v>
      </c>
      <c r="D54" s="1" t="s">
        <v>27</v>
      </c>
      <c r="E54" s="1" t="s">
        <v>28</v>
      </c>
      <c r="F54" s="1" t="s">
        <v>42</v>
      </c>
      <c r="G54" s="1" t="s">
        <v>43</v>
      </c>
      <c r="H54" s="1" t="s">
        <v>40</v>
      </c>
      <c r="I54" s="1">
        <v>6</v>
      </c>
      <c r="J54" s="1">
        <v>162</v>
      </c>
      <c r="K54" s="1">
        <v>0.08</v>
      </c>
      <c r="L54" s="1">
        <v>894.24</v>
      </c>
      <c r="M54" s="1" t="str">
        <f t="shared" si="0"/>
        <v>Online</v>
      </c>
      <c r="N54" s="1">
        <f t="shared" si="1"/>
        <v>16.2</v>
      </c>
    </row>
    <row r="55" spans="1:14" x14ac:dyDescent="0.3">
      <c r="A55" s="1" t="s">
        <v>2233</v>
      </c>
      <c r="B55" s="1">
        <v>46031</v>
      </c>
      <c r="C55" s="1" t="s">
        <v>21</v>
      </c>
      <c r="D55" s="1" t="s">
        <v>22</v>
      </c>
      <c r="E55" s="1" t="s">
        <v>16</v>
      </c>
      <c r="F55" s="1" t="s">
        <v>29</v>
      </c>
      <c r="G55" s="1" t="s">
        <v>51</v>
      </c>
      <c r="H55" s="1" t="s">
        <v>86</v>
      </c>
      <c r="I55" s="1">
        <v>2</v>
      </c>
      <c r="J55" s="1">
        <v>40.5</v>
      </c>
      <c r="K55" s="1">
        <v>0.1</v>
      </c>
      <c r="L55" s="1">
        <v>72.900000000000006</v>
      </c>
      <c r="M55" s="1" t="str">
        <f t="shared" si="0"/>
        <v>Online</v>
      </c>
      <c r="N55" s="1">
        <f t="shared" si="1"/>
        <v>405</v>
      </c>
    </row>
    <row r="56" spans="1:14" x14ac:dyDescent="0.3">
      <c r="A56" s="1" t="s">
        <v>2234</v>
      </c>
      <c r="B56" s="1">
        <v>46031</v>
      </c>
      <c r="C56" s="1" t="s">
        <v>14</v>
      </c>
      <c r="D56" s="1" t="s">
        <v>15</v>
      </c>
      <c r="E56" s="1" t="s">
        <v>16</v>
      </c>
      <c r="F56" s="1" t="s">
        <v>36</v>
      </c>
      <c r="G56" s="1" t="s">
        <v>70</v>
      </c>
      <c r="H56" s="1" t="s">
        <v>31</v>
      </c>
      <c r="I56" s="1">
        <v>2</v>
      </c>
      <c r="J56" s="1">
        <v>522</v>
      </c>
      <c r="K56" s="1">
        <v>0.03</v>
      </c>
      <c r="L56" s="1">
        <v>1012.68</v>
      </c>
      <c r="M56" s="1" t="str">
        <f t="shared" si="0"/>
        <v>Online</v>
      </c>
      <c r="N56" s="1">
        <f t="shared" si="1"/>
        <v>16.2</v>
      </c>
    </row>
    <row r="57" spans="1:14" x14ac:dyDescent="0.3">
      <c r="A57" s="1" t="s">
        <v>2235</v>
      </c>
      <c r="B57" s="1">
        <v>46031</v>
      </c>
      <c r="C57" s="1" t="s">
        <v>14</v>
      </c>
      <c r="D57" s="1" t="s">
        <v>27</v>
      </c>
      <c r="E57" s="1" t="s">
        <v>28</v>
      </c>
      <c r="F57" s="1" t="s">
        <v>29</v>
      </c>
      <c r="G57" s="1" t="s">
        <v>39</v>
      </c>
      <c r="H57" s="1" t="s">
        <v>40</v>
      </c>
      <c r="I57" s="1">
        <v>4</v>
      </c>
      <c r="J57" s="1">
        <v>74.88</v>
      </c>
      <c r="K57" s="1">
        <v>0.15</v>
      </c>
      <c r="L57" s="1">
        <v>254.59</v>
      </c>
      <c r="M57" s="1" t="str">
        <f t="shared" si="0"/>
        <v>Online</v>
      </c>
      <c r="N57" s="1">
        <f t="shared" si="1"/>
        <v>16.2</v>
      </c>
    </row>
    <row r="58" spans="1:14" x14ac:dyDescent="0.3">
      <c r="A58" s="1" t="s">
        <v>2236</v>
      </c>
      <c r="B58" s="1">
        <v>46031</v>
      </c>
      <c r="C58" s="1" t="s">
        <v>61</v>
      </c>
      <c r="D58" s="1" t="s">
        <v>27</v>
      </c>
      <c r="E58" s="1" t="s">
        <v>28</v>
      </c>
      <c r="F58" s="1" t="s">
        <v>29</v>
      </c>
      <c r="G58" s="1" t="s">
        <v>55</v>
      </c>
      <c r="H58" s="1" t="s">
        <v>73</v>
      </c>
      <c r="I58" s="1">
        <v>3</v>
      </c>
      <c r="J58" s="1">
        <v>35.57</v>
      </c>
      <c r="K58" s="1">
        <v>0.15</v>
      </c>
      <c r="L58" s="1">
        <v>90.7</v>
      </c>
      <c r="M58" s="1" t="str">
        <f t="shared" si="0"/>
        <v>Online</v>
      </c>
      <c r="N58" s="1">
        <f t="shared" si="1"/>
        <v>62.01</v>
      </c>
    </row>
    <row r="59" spans="1:14" x14ac:dyDescent="0.3">
      <c r="A59" s="1" t="s">
        <v>2237</v>
      </c>
      <c r="B59" s="1">
        <v>46031</v>
      </c>
      <c r="C59" s="1" t="s">
        <v>47</v>
      </c>
      <c r="D59" s="1" t="s">
        <v>15</v>
      </c>
      <c r="E59" s="1" t="s">
        <v>28</v>
      </c>
      <c r="F59" s="1" t="s">
        <v>29</v>
      </c>
      <c r="G59" s="1" t="s">
        <v>33</v>
      </c>
      <c r="H59" s="1" t="s">
        <v>58</v>
      </c>
      <c r="I59" s="1">
        <v>4</v>
      </c>
      <c r="J59" s="1">
        <v>13.1</v>
      </c>
      <c r="K59" s="1">
        <v>0</v>
      </c>
      <c r="L59" s="1">
        <v>52.38</v>
      </c>
      <c r="M59" s="1" t="str">
        <f t="shared" si="0"/>
        <v>Corporate Sales</v>
      </c>
      <c r="N59" s="1">
        <f t="shared" si="1"/>
        <v>421.2</v>
      </c>
    </row>
    <row r="60" spans="1:14" x14ac:dyDescent="0.3">
      <c r="A60" s="1" t="s">
        <v>2238</v>
      </c>
      <c r="B60" s="1">
        <v>46031</v>
      </c>
      <c r="C60" s="1" t="s">
        <v>14</v>
      </c>
      <c r="D60" s="1" t="s">
        <v>22</v>
      </c>
      <c r="E60" s="1" t="s">
        <v>16</v>
      </c>
      <c r="F60" s="1" t="s">
        <v>23</v>
      </c>
      <c r="G60" s="1" t="s">
        <v>178</v>
      </c>
      <c r="H60" s="1" t="s">
        <v>19</v>
      </c>
      <c r="I60" s="1">
        <v>3</v>
      </c>
      <c r="J60" s="1">
        <v>32.76</v>
      </c>
      <c r="K60" s="1">
        <v>0.08</v>
      </c>
      <c r="L60" s="1">
        <v>90.42</v>
      </c>
      <c r="M60" s="1" t="str">
        <f t="shared" si="0"/>
        <v>Retail Store</v>
      </c>
      <c r="N60" s="1">
        <f t="shared" si="1"/>
        <v>16.2</v>
      </c>
    </row>
    <row r="61" spans="1:14" x14ac:dyDescent="0.3">
      <c r="A61" s="1" t="s">
        <v>2230</v>
      </c>
      <c r="B61" s="1">
        <v>46032</v>
      </c>
      <c r="C61" s="1" t="s">
        <v>54</v>
      </c>
      <c r="D61" s="1" t="s">
        <v>27</v>
      </c>
      <c r="E61" s="1" t="s">
        <v>16</v>
      </c>
      <c r="F61" s="1" t="s">
        <v>36</v>
      </c>
      <c r="G61" s="1" t="s">
        <v>37</v>
      </c>
      <c r="H61" s="1" t="s">
        <v>56</v>
      </c>
      <c r="I61" s="1">
        <v>2</v>
      </c>
      <c r="J61" s="1">
        <v>780.3</v>
      </c>
      <c r="K61" s="1">
        <v>0.03</v>
      </c>
      <c r="L61" s="1">
        <v>1513.78</v>
      </c>
      <c r="M61" s="1" t="str">
        <f t="shared" si="0"/>
        <v>Online</v>
      </c>
      <c r="N61" s="1">
        <f t="shared" si="1"/>
        <v>267.12</v>
      </c>
    </row>
    <row r="62" spans="1:14" x14ac:dyDescent="0.3">
      <c r="A62" s="1" t="s">
        <v>2231</v>
      </c>
      <c r="B62" s="1">
        <v>46032</v>
      </c>
      <c r="C62" s="1" t="s">
        <v>14</v>
      </c>
      <c r="D62" s="1" t="s">
        <v>15</v>
      </c>
      <c r="E62" s="1" t="s">
        <v>28</v>
      </c>
      <c r="F62" s="1" t="s">
        <v>29</v>
      </c>
      <c r="G62" s="1" t="s">
        <v>55</v>
      </c>
      <c r="H62" s="1" t="s">
        <v>40</v>
      </c>
      <c r="I62" s="1">
        <v>4</v>
      </c>
      <c r="J62" s="1">
        <v>34.200000000000003</v>
      </c>
      <c r="K62" s="1">
        <v>0.05</v>
      </c>
      <c r="L62" s="1">
        <v>129.96</v>
      </c>
      <c r="M62" s="1" t="str">
        <f t="shared" si="0"/>
        <v>Online</v>
      </c>
      <c r="N62" s="1">
        <f t="shared" si="1"/>
        <v>16.2</v>
      </c>
    </row>
    <row r="63" spans="1:14" x14ac:dyDescent="0.3">
      <c r="A63" s="1" t="s">
        <v>2232</v>
      </c>
      <c r="B63" s="1">
        <v>46032</v>
      </c>
      <c r="C63" s="1" t="s">
        <v>61</v>
      </c>
      <c r="D63" s="1" t="s">
        <v>15</v>
      </c>
      <c r="E63" s="1" t="s">
        <v>16</v>
      </c>
      <c r="F63" s="1" t="s">
        <v>82</v>
      </c>
      <c r="G63" s="1" t="s">
        <v>150</v>
      </c>
      <c r="H63" s="1" t="s">
        <v>73</v>
      </c>
      <c r="I63" s="1">
        <v>2</v>
      </c>
      <c r="J63" s="1">
        <v>2880</v>
      </c>
      <c r="K63" s="1">
        <v>0.1</v>
      </c>
      <c r="L63" s="1">
        <v>5184</v>
      </c>
      <c r="M63" s="1" t="str">
        <f t="shared" si="0"/>
        <v>Online</v>
      </c>
      <c r="N63" s="1">
        <f t="shared" si="1"/>
        <v>62.01</v>
      </c>
    </row>
    <row r="64" spans="1:14" x14ac:dyDescent="0.3">
      <c r="A64" s="1" t="s">
        <v>2217</v>
      </c>
      <c r="B64" s="1">
        <v>46033</v>
      </c>
      <c r="C64" s="1" t="s">
        <v>21</v>
      </c>
      <c r="D64" s="1" t="s">
        <v>15</v>
      </c>
      <c r="E64" s="1" t="s">
        <v>28</v>
      </c>
      <c r="F64" s="1" t="s">
        <v>29</v>
      </c>
      <c r="G64" s="1" t="s">
        <v>33</v>
      </c>
      <c r="H64" s="1" t="s">
        <v>44</v>
      </c>
      <c r="I64" s="1">
        <v>2</v>
      </c>
      <c r="J64" s="1">
        <v>14.04</v>
      </c>
      <c r="K64" s="1">
        <v>0.08</v>
      </c>
      <c r="L64" s="1">
        <v>25.83</v>
      </c>
      <c r="M64" s="1" t="str">
        <f t="shared" si="0"/>
        <v>Retail Store</v>
      </c>
      <c r="N64" s="1">
        <f t="shared" si="1"/>
        <v>405</v>
      </c>
    </row>
    <row r="65" spans="1:14" x14ac:dyDescent="0.3">
      <c r="A65" s="1" t="s">
        <v>2218</v>
      </c>
      <c r="B65" s="1">
        <v>46033</v>
      </c>
      <c r="C65" s="1" t="s">
        <v>47</v>
      </c>
      <c r="D65" s="1" t="s">
        <v>27</v>
      </c>
      <c r="E65" s="1" t="s">
        <v>16</v>
      </c>
      <c r="F65" s="1" t="s">
        <v>42</v>
      </c>
      <c r="G65" s="1" t="s">
        <v>65</v>
      </c>
      <c r="H65" s="1" t="s">
        <v>78</v>
      </c>
      <c r="I65" s="1">
        <v>3</v>
      </c>
      <c r="J65" s="1">
        <v>654.75</v>
      </c>
      <c r="K65" s="1">
        <v>0.1</v>
      </c>
      <c r="L65" s="1">
        <v>1767.83</v>
      </c>
      <c r="M65" s="1" t="str">
        <f t="shared" si="0"/>
        <v>Retail Store</v>
      </c>
      <c r="N65" s="1">
        <f t="shared" si="1"/>
        <v>421.2</v>
      </c>
    </row>
    <row r="66" spans="1:14" x14ac:dyDescent="0.3">
      <c r="A66" s="1" t="s">
        <v>2219</v>
      </c>
      <c r="B66" s="1">
        <v>46033</v>
      </c>
      <c r="C66" s="1" t="s">
        <v>21</v>
      </c>
      <c r="D66" s="1" t="s">
        <v>35</v>
      </c>
      <c r="E66" s="1" t="s">
        <v>28</v>
      </c>
      <c r="F66" s="1" t="s">
        <v>36</v>
      </c>
      <c r="G66" s="1" t="s">
        <v>37</v>
      </c>
      <c r="H66" s="1" t="s">
        <v>86</v>
      </c>
      <c r="I66" s="1">
        <v>3</v>
      </c>
      <c r="J66" s="1">
        <v>765</v>
      </c>
      <c r="K66" s="1">
        <v>0.08</v>
      </c>
      <c r="L66" s="1">
        <v>2111.4</v>
      </c>
      <c r="M66" s="1" t="str">
        <f t="shared" ref="M66:M129" si="2">INDEX(D:D,MATCH(H66,H:H,0))</f>
        <v>Online</v>
      </c>
      <c r="N66" s="1">
        <f t="shared" ref="N66:N129" si="3">VLOOKUP(C:C,C:J,8,FALSE)</f>
        <v>405</v>
      </c>
    </row>
    <row r="67" spans="1:14" x14ac:dyDescent="0.3">
      <c r="A67" s="1" t="s">
        <v>2220</v>
      </c>
      <c r="B67" s="1">
        <v>46033</v>
      </c>
      <c r="C67" s="1" t="s">
        <v>54</v>
      </c>
      <c r="D67" s="1" t="s">
        <v>22</v>
      </c>
      <c r="E67" s="1" t="s">
        <v>16</v>
      </c>
      <c r="F67" s="1" t="s">
        <v>82</v>
      </c>
      <c r="G67" s="1" t="s">
        <v>114</v>
      </c>
      <c r="H67" s="1" t="s">
        <v>80</v>
      </c>
      <c r="I67" s="1">
        <v>2</v>
      </c>
      <c r="J67" s="1">
        <v>2250</v>
      </c>
      <c r="K67" s="1">
        <v>0.1</v>
      </c>
      <c r="L67" s="1">
        <v>4050</v>
      </c>
      <c r="M67" s="1" t="str">
        <f t="shared" si="2"/>
        <v>Marketplace</v>
      </c>
      <c r="N67" s="1">
        <f t="shared" si="3"/>
        <v>267.12</v>
      </c>
    </row>
    <row r="68" spans="1:14" x14ac:dyDescent="0.3">
      <c r="A68" s="1" t="s">
        <v>2221</v>
      </c>
      <c r="B68" s="1">
        <v>46033</v>
      </c>
      <c r="C68" s="1" t="s">
        <v>21</v>
      </c>
      <c r="D68" s="1" t="s">
        <v>15</v>
      </c>
      <c r="E68" s="1" t="s">
        <v>16</v>
      </c>
      <c r="F68" s="1" t="s">
        <v>29</v>
      </c>
      <c r="G68" s="1" t="s">
        <v>88</v>
      </c>
      <c r="H68" s="1" t="s">
        <v>25</v>
      </c>
      <c r="I68" s="1">
        <v>2</v>
      </c>
      <c r="J68" s="1">
        <v>58.5</v>
      </c>
      <c r="K68" s="1">
        <v>0.05</v>
      </c>
      <c r="L68" s="1">
        <v>111.15</v>
      </c>
      <c r="M68" s="1" t="str">
        <f t="shared" si="2"/>
        <v>Marketplace</v>
      </c>
      <c r="N68" s="1">
        <f t="shared" si="3"/>
        <v>405</v>
      </c>
    </row>
    <row r="69" spans="1:14" x14ac:dyDescent="0.3">
      <c r="A69" s="1" t="s">
        <v>2222</v>
      </c>
      <c r="B69" s="1">
        <v>46033</v>
      </c>
      <c r="C69" s="1" t="s">
        <v>14</v>
      </c>
      <c r="D69" s="1" t="s">
        <v>22</v>
      </c>
      <c r="E69" s="1" t="s">
        <v>28</v>
      </c>
      <c r="F69" s="1" t="s">
        <v>29</v>
      </c>
      <c r="G69" s="1" t="s">
        <v>55</v>
      </c>
      <c r="H69" s="1" t="s">
        <v>31</v>
      </c>
      <c r="I69" s="1">
        <v>3</v>
      </c>
      <c r="J69" s="1">
        <v>34.200000000000003</v>
      </c>
      <c r="K69" s="1">
        <v>0.08</v>
      </c>
      <c r="L69" s="1">
        <v>94.39</v>
      </c>
      <c r="M69" s="1" t="str">
        <f t="shared" si="2"/>
        <v>Online</v>
      </c>
      <c r="N69" s="1">
        <f t="shared" si="3"/>
        <v>16.2</v>
      </c>
    </row>
    <row r="70" spans="1:14" x14ac:dyDescent="0.3">
      <c r="A70" s="1" t="s">
        <v>2223</v>
      </c>
      <c r="B70" s="1">
        <v>46033</v>
      </c>
      <c r="C70" s="1" t="s">
        <v>14</v>
      </c>
      <c r="D70" s="1" t="s">
        <v>15</v>
      </c>
      <c r="E70" s="1" t="s">
        <v>28</v>
      </c>
      <c r="F70" s="1" t="s">
        <v>29</v>
      </c>
      <c r="G70" s="1" t="s">
        <v>33</v>
      </c>
      <c r="H70" s="1" t="s">
        <v>40</v>
      </c>
      <c r="I70" s="1">
        <v>2</v>
      </c>
      <c r="J70" s="1">
        <v>13.5</v>
      </c>
      <c r="K70" s="1">
        <v>0.05</v>
      </c>
      <c r="L70" s="1">
        <v>25.65</v>
      </c>
      <c r="M70" s="1" t="str">
        <f t="shared" si="2"/>
        <v>Online</v>
      </c>
      <c r="N70" s="1">
        <f t="shared" si="3"/>
        <v>16.2</v>
      </c>
    </row>
    <row r="71" spans="1:14" x14ac:dyDescent="0.3">
      <c r="A71" s="1" t="s">
        <v>2224</v>
      </c>
      <c r="B71" s="1">
        <v>46033</v>
      </c>
      <c r="C71" s="1" t="s">
        <v>54</v>
      </c>
      <c r="D71" s="1" t="s">
        <v>35</v>
      </c>
      <c r="E71" s="1" t="s">
        <v>16</v>
      </c>
      <c r="F71" s="1" t="s">
        <v>36</v>
      </c>
      <c r="G71" s="1" t="s">
        <v>77</v>
      </c>
      <c r="H71" s="1" t="s">
        <v>56</v>
      </c>
      <c r="I71" s="1">
        <v>2</v>
      </c>
      <c r="J71" s="1">
        <v>1404</v>
      </c>
      <c r="K71" s="1">
        <v>0.08</v>
      </c>
      <c r="L71" s="1">
        <v>2583.36</v>
      </c>
      <c r="M71" s="1" t="str">
        <f t="shared" si="2"/>
        <v>Online</v>
      </c>
      <c r="N71" s="1">
        <f t="shared" si="3"/>
        <v>267.12</v>
      </c>
    </row>
    <row r="72" spans="1:14" x14ac:dyDescent="0.3">
      <c r="A72" s="1" t="s">
        <v>2225</v>
      </c>
      <c r="B72" s="1">
        <v>46033</v>
      </c>
      <c r="C72" s="1" t="s">
        <v>21</v>
      </c>
      <c r="D72" s="1" t="s">
        <v>15</v>
      </c>
      <c r="E72" s="1" t="s">
        <v>16</v>
      </c>
      <c r="F72" s="1" t="s">
        <v>29</v>
      </c>
      <c r="G72" s="1" t="s">
        <v>39</v>
      </c>
      <c r="H72" s="1" t="s">
        <v>44</v>
      </c>
      <c r="I72" s="1">
        <v>7</v>
      </c>
      <c r="J72" s="1">
        <v>68.400000000000006</v>
      </c>
      <c r="K72" s="1">
        <v>0.03</v>
      </c>
      <c r="L72" s="1">
        <v>464.44</v>
      </c>
      <c r="M72" s="1" t="str">
        <f t="shared" si="2"/>
        <v>Retail Store</v>
      </c>
      <c r="N72" s="1">
        <f t="shared" si="3"/>
        <v>405</v>
      </c>
    </row>
    <row r="73" spans="1:14" x14ac:dyDescent="0.3">
      <c r="A73" s="1" t="s">
        <v>2226</v>
      </c>
      <c r="B73" s="1">
        <v>46033</v>
      </c>
      <c r="C73" s="1" t="s">
        <v>14</v>
      </c>
      <c r="D73" s="1" t="s">
        <v>35</v>
      </c>
      <c r="E73" s="1" t="s">
        <v>16</v>
      </c>
      <c r="F73" s="1" t="s">
        <v>42</v>
      </c>
      <c r="G73" s="1" t="s">
        <v>65</v>
      </c>
      <c r="H73" s="1" t="s">
        <v>40</v>
      </c>
      <c r="I73" s="1">
        <v>9</v>
      </c>
      <c r="J73" s="1">
        <v>641.25</v>
      </c>
      <c r="K73" s="1">
        <v>0.15</v>
      </c>
      <c r="L73" s="1">
        <v>4905.5600000000004</v>
      </c>
      <c r="M73" s="1" t="str">
        <f t="shared" si="2"/>
        <v>Online</v>
      </c>
      <c r="N73" s="1">
        <f t="shared" si="3"/>
        <v>16.2</v>
      </c>
    </row>
    <row r="74" spans="1:14" x14ac:dyDescent="0.3">
      <c r="A74" s="1" t="s">
        <v>2227</v>
      </c>
      <c r="B74" s="1">
        <v>46033</v>
      </c>
      <c r="C74" s="1" t="s">
        <v>54</v>
      </c>
      <c r="D74" s="1" t="s">
        <v>15</v>
      </c>
      <c r="E74" s="1" t="s">
        <v>28</v>
      </c>
      <c r="F74" s="1" t="s">
        <v>23</v>
      </c>
      <c r="G74" s="1" t="s">
        <v>116</v>
      </c>
      <c r="H74" s="1" t="s">
        <v>71</v>
      </c>
      <c r="I74" s="1">
        <v>4</v>
      </c>
      <c r="J74" s="1">
        <v>7.34</v>
      </c>
      <c r="K74" s="1">
        <v>0.1</v>
      </c>
      <c r="L74" s="1">
        <v>26.44</v>
      </c>
      <c r="M74" s="1" t="str">
        <f t="shared" si="2"/>
        <v>Online</v>
      </c>
      <c r="N74" s="1">
        <f t="shared" si="3"/>
        <v>267.12</v>
      </c>
    </row>
    <row r="75" spans="1:14" x14ac:dyDescent="0.3">
      <c r="A75" s="1" t="s">
        <v>2228</v>
      </c>
      <c r="B75" s="1">
        <v>46033</v>
      </c>
      <c r="C75" s="1" t="s">
        <v>47</v>
      </c>
      <c r="D75" s="1" t="s">
        <v>15</v>
      </c>
      <c r="E75" s="1" t="s">
        <v>28</v>
      </c>
      <c r="F75" s="1" t="s">
        <v>29</v>
      </c>
      <c r="G75" s="1" t="s">
        <v>88</v>
      </c>
      <c r="H75" s="1" t="s">
        <v>58</v>
      </c>
      <c r="I75" s="1">
        <v>4</v>
      </c>
      <c r="J75" s="1">
        <v>58.5</v>
      </c>
      <c r="K75" s="1">
        <v>0.1</v>
      </c>
      <c r="L75" s="1">
        <v>210.6</v>
      </c>
      <c r="M75" s="1" t="str">
        <f t="shared" si="2"/>
        <v>Corporate Sales</v>
      </c>
      <c r="N75" s="1">
        <f t="shared" si="3"/>
        <v>421.2</v>
      </c>
    </row>
    <row r="76" spans="1:14" x14ac:dyDescent="0.3">
      <c r="A76" s="1" t="s">
        <v>2229</v>
      </c>
      <c r="B76" s="1">
        <v>46033</v>
      </c>
      <c r="C76" s="1" t="s">
        <v>54</v>
      </c>
      <c r="D76" s="1" t="s">
        <v>15</v>
      </c>
      <c r="E76" s="1" t="s">
        <v>16</v>
      </c>
      <c r="F76" s="1" t="s">
        <v>82</v>
      </c>
      <c r="G76" s="1" t="s">
        <v>96</v>
      </c>
      <c r="H76" s="1" t="s">
        <v>80</v>
      </c>
      <c r="I76" s="1">
        <v>2</v>
      </c>
      <c r="J76" s="1">
        <v>2619</v>
      </c>
      <c r="K76" s="1">
        <v>0.05</v>
      </c>
      <c r="L76" s="1">
        <v>4976.1000000000004</v>
      </c>
      <c r="M76" s="1" t="str">
        <f t="shared" si="2"/>
        <v>Marketplace</v>
      </c>
      <c r="N76" s="1">
        <f t="shared" si="3"/>
        <v>267.12</v>
      </c>
    </row>
    <row r="77" spans="1:14" x14ac:dyDescent="0.3">
      <c r="A77" s="1" t="s">
        <v>2210</v>
      </c>
      <c r="B77" s="1">
        <v>46034</v>
      </c>
      <c r="C77" s="1" t="s">
        <v>54</v>
      </c>
      <c r="D77" s="1" t="s">
        <v>15</v>
      </c>
      <c r="E77" s="1" t="s">
        <v>16</v>
      </c>
      <c r="F77" s="1" t="s">
        <v>29</v>
      </c>
      <c r="G77" s="1" t="s">
        <v>51</v>
      </c>
      <c r="H77" s="1" t="s">
        <v>80</v>
      </c>
      <c r="I77" s="1">
        <v>6</v>
      </c>
      <c r="J77" s="1">
        <v>40.5</v>
      </c>
      <c r="K77" s="1">
        <v>0.1</v>
      </c>
      <c r="L77" s="1">
        <v>218.7</v>
      </c>
      <c r="M77" s="1" t="str">
        <f t="shared" si="2"/>
        <v>Marketplace</v>
      </c>
      <c r="N77" s="1">
        <f t="shared" si="3"/>
        <v>267.12</v>
      </c>
    </row>
    <row r="78" spans="1:14" x14ac:dyDescent="0.3">
      <c r="A78" s="1" t="s">
        <v>2211</v>
      </c>
      <c r="B78" s="1">
        <v>46034</v>
      </c>
      <c r="C78" s="1" t="s">
        <v>14</v>
      </c>
      <c r="D78" s="1" t="s">
        <v>15</v>
      </c>
      <c r="E78" s="1" t="s">
        <v>16</v>
      </c>
      <c r="F78" s="1" t="s">
        <v>23</v>
      </c>
      <c r="G78" s="1" t="s">
        <v>116</v>
      </c>
      <c r="H78" s="1" t="s">
        <v>31</v>
      </c>
      <c r="I78" s="1">
        <v>8</v>
      </c>
      <c r="J78" s="1">
        <v>6.84</v>
      </c>
      <c r="K78" s="1">
        <v>0.08</v>
      </c>
      <c r="L78" s="1">
        <v>50.34</v>
      </c>
      <c r="M78" s="1" t="str">
        <f t="shared" si="2"/>
        <v>Online</v>
      </c>
      <c r="N78" s="1">
        <f t="shared" si="3"/>
        <v>16.2</v>
      </c>
    </row>
    <row r="79" spans="1:14" x14ac:dyDescent="0.3">
      <c r="A79" s="1" t="s">
        <v>2212</v>
      </c>
      <c r="B79" s="1">
        <v>46034</v>
      </c>
      <c r="C79" s="1" t="s">
        <v>54</v>
      </c>
      <c r="D79" s="1" t="s">
        <v>22</v>
      </c>
      <c r="E79" s="1" t="s">
        <v>16</v>
      </c>
      <c r="F79" s="1" t="s">
        <v>29</v>
      </c>
      <c r="G79" s="1" t="s">
        <v>55</v>
      </c>
      <c r="H79" s="1" t="s">
        <v>71</v>
      </c>
      <c r="I79" s="1">
        <v>4</v>
      </c>
      <c r="J79" s="1">
        <v>34.880000000000003</v>
      </c>
      <c r="K79" s="1">
        <v>0.1</v>
      </c>
      <c r="L79" s="1">
        <v>125.58</v>
      </c>
      <c r="M79" s="1" t="str">
        <f t="shared" si="2"/>
        <v>Online</v>
      </c>
      <c r="N79" s="1">
        <f t="shared" si="3"/>
        <v>267.12</v>
      </c>
    </row>
    <row r="80" spans="1:14" x14ac:dyDescent="0.3">
      <c r="A80" s="1" t="s">
        <v>2213</v>
      </c>
      <c r="B80" s="1">
        <v>46034</v>
      </c>
      <c r="C80" s="1" t="s">
        <v>54</v>
      </c>
      <c r="D80" s="1" t="s">
        <v>15</v>
      </c>
      <c r="E80" s="1" t="s">
        <v>16</v>
      </c>
      <c r="F80" s="1" t="s">
        <v>17</v>
      </c>
      <c r="G80" s="1" t="s">
        <v>18</v>
      </c>
      <c r="H80" s="1" t="s">
        <v>80</v>
      </c>
      <c r="I80" s="1">
        <v>5</v>
      </c>
      <c r="J80" s="1">
        <v>81</v>
      </c>
      <c r="K80" s="1">
        <v>0.1</v>
      </c>
      <c r="L80" s="1">
        <v>364.5</v>
      </c>
      <c r="M80" s="1" t="str">
        <f t="shared" si="2"/>
        <v>Marketplace</v>
      </c>
      <c r="N80" s="1">
        <f t="shared" si="3"/>
        <v>267.12</v>
      </c>
    </row>
    <row r="81" spans="1:14" x14ac:dyDescent="0.3">
      <c r="A81" s="1" t="s">
        <v>2214</v>
      </c>
      <c r="B81" s="1">
        <v>46034</v>
      </c>
      <c r="C81" s="1" t="s">
        <v>14</v>
      </c>
      <c r="D81" s="1" t="s">
        <v>15</v>
      </c>
      <c r="E81" s="1" t="s">
        <v>16</v>
      </c>
      <c r="F81" s="1" t="s">
        <v>23</v>
      </c>
      <c r="G81" s="1" t="s">
        <v>142</v>
      </c>
      <c r="H81" s="1" t="s">
        <v>31</v>
      </c>
      <c r="I81" s="1">
        <v>5</v>
      </c>
      <c r="J81" s="1">
        <v>16.2</v>
      </c>
      <c r="K81" s="1">
        <v>0.03</v>
      </c>
      <c r="L81" s="1">
        <v>78.569999999999993</v>
      </c>
      <c r="M81" s="1" t="str">
        <f t="shared" si="2"/>
        <v>Online</v>
      </c>
      <c r="N81" s="1">
        <f t="shared" si="3"/>
        <v>16.2</v>
      </c>
    </row>
    <row r="82" spans="1:14" x14ac:dyDescent="0.3">
      <c r="A82" s="1" t="s">
        <v>2215</v>
      </c>
      <c r="B82" s="1">
        <v>46034</v>
      </c>
      <c r="C82" s="1" t="s">
        <v>54</v>
      </c>
      <c r="D82" s="1" t="s">
        <v>22</v>
      </c>
      <c r="E82" s="1" t="s">
        <v>28</v>
      </c>
      <c r="F82" s="1" t="s">
        <v>36</v>
      </c>
      <c r="G82" s="1" t="s">
        <v>37</v>
      </c>
      <c r="H82" s="1" t="s">
        <v>56</v>
      </c>
      <c r="I82" s="1">
        <v>2</v>
      </c>
      <c r="J82" s="1">
        <v>726.75</v>
      </c>
      <c r="K82" s="1">
        <v>0.05</v>
      </c>
      <c r="L82" s="1">
        <v>1380.83</v>
      </c>
      <c r="M82" s="1" t="str">
        <f t="shared" si="2"/>
        <v>Online</v>
      </c>
      <c r="N82" s="1">
        <f t="shared" si="3"/>
        <v>267.12</v>
      </c>
    </row>
    <row r="83" spans="1:14" x14ac:dyDescent="0.3">
      <c r="A83" s="1" t="s">
        <v>2216</v>
      </c>
      <c r="B83" s="1">
        <v>46034</v>
      </c>
      <c r="C83" s="1" t="s">
        <v>21</v>
      </c>
      <c r="D83" s="1" t="s">
        <v>22</v>
      </c>
      <c r="E83" s="1" t="s">
        <v>16</v>
      </c>
      <c r="F83" s="1" t="s">
        <v>29</v>
      </c>
      <c r="G83" s="1" t="s">
        <v>51</v>
      </c>
      <c r="H83" s="1" t="s">
        <v>25</v>
      </c>
      <c r="I83" s="1">
        <v>5</v>
      </c>
      <c r="J83" s="1">
        <v>42.12</v>
      </c>
      <c r="K83" s="1">
        <v>0.1</v>
      </c>
      <c r="L83" s="1">
        <v>189.54</v>
      </c>
      <c r="M83" s="1" t="str">
        <f t="shared" si="2"/>
        <v>Marketplace</v>
      </c>
      <c r="N83" s="1">
        <f t="shared" si="3"/>
        <v>405</v>
      </c>
    </row>
    <row r="84" spans="1:14" x14ac:dyDescent="0.3">
      <c r="A84" s="1" t="s">
        <v>2202</v>
      </c>
      <c r="B84" s="1">
        <v>46054</v>
      </c>
      <c r="C84" s="1" t="s">
        <v>61</v>
      </c>
      <c r="D84" s="1" t="s">
        <v>27</v>
      </c>
      <c r="E84" s="1" t="s">
        <v>16</v>
      </c>
      <c r="F84" s="1" t="s">
        <v>42</v>
      </c>
      <c r="G84" s="1" t="s">
        <v>48</v>
      </c>
      <c r="H84" s="1" t="s">
        <v>73</v>
      </c>
      <c r="I84" s="1">
        <v>3</v>
      </c>
      <c r="J84" s="1">
        <v>17.100000000000001</v>
      </c>
      <c r="K84" s="1">
        <v>0.03</v>
      </c>
      <c r="L84" s="1">
        <v>49.76</v>
      </c>
      <c r="M84" s="1" t="str">
        <f t="shared" si="2"/>
        <v>Online</v>
      </c>
      <c r="N84" s="1">
        <f t="shared" si="3"/>
        <v>62.01</v>
      </c>
    </row>
    <row r="85" spans="1:14" x14ac:dyDescent="0.3">
      <c r="A85" s="1" t="s">
        <v>2203</v>
      </c>
      <c r="B85" s="1">
        <v>46054</v>
      </c>
      <c r="C85" s="1" t="s">
        <v>21</v>
      </c>
      <c r="D85" s="1" t="s">
        <v>15</v>
      </c>
      <c r="E85" s="1" t="s">
        <v>28</v>
      </c>
      <c r="F85" s="1" t="s">
        <v>42</v>
      </c>
      <c r="G85" s="1" t="s">
        <v>43</v>
      </c>
      <c r="H85" s="1" t="s">
        <v>86</v>
      </c>
      <c r="I85" s="1">
        <v>9</v>
      </c>
      <c r="J85" s="1">
        <v>162</v>
      </c>
      <c r="K85" s="1">
        <v>0</v>
      </c>
      <c r="L85" s="1">
        <v>1458</v>
      </c>
      <c r="M85" s="1" t="str">
        <f t="shared" si="2"/>
        <v>Online</v>
      </c>
      <c r="N85" s="1">
        <f t="shared" si="3"/>
        <v>405</v>
      </c>
    </row>
    <row r="86" spans="1:14" x14ac:dyDescent="0.3">
      <c r="A86" s="1" t="s">
        <v>2204</v>
      </c>
      <c r="B86" s="1">
        <v>46054</v>
      </c>
      <c r="C86" s="1" t="s">
        <v>14</v>
      </c>
      <c r="D86" s="1" t="s">
        <v>35</v>
      </c>
      <c r="E86" s="1" t="s">
        <v>28</v>
      </c>
      <c r="F86" s="1" t="s">
        <v>36</v>
      </c>
      <c r="G86" s="1" t="s">
        <v>70</v>
      </c>
      <c r="H86" s="1" t="s">
        <v>40</v>
      </c>
      <c r="I86" s="1">
        <v>3</v>
      </c>
      <c r="J86" s="1">
        <v>522</v>
      </c>
      <c r="K86" s="1">
        <v>0.08</v>
      </c>
      <c r="L86" s="1">
        <v>1440.72</v>
      </c>
      <c r="M86" s="1" t="str">
        <f t="shared" si="2"/>
        <v>Online</v>
      </c>
      <c r="N86" s="1">
        <f t="shared" si="3"/>
        <v>16.2</v>
      </c>
    </row>
    <row r="87" spans="1:14" x14ac:dyDescent="0.3">
      <c r="A87" s="1" t="s">
        <v>2205</v>
      </c>
      <c r="B87" s="1">
        <v>46054</v>
      </c>
      <c r="C87" s="1" t="s">
        <v>47</v>
      </c>
      <c r="D87" s="1" t="s">
        <v>27</v>
      </c>
      <c r="E87" s="1" t="s">
        <v>16</v>
      </c>
      <c r="F87" s="1" t="s">
        <v>36</v>
      </c>
      <c r="G87" s="1" t="s">
        <v>119</v>
      </c>
      <c r="H87" s="1" t="s">
        <v>49</v>
      </c>
      <c r="I87" s="1">
        <v>4</v>
      </c>
      <c r="J87" s="1">
        <v>611.1</v>
      </c>
      <c r="K87" s="1">
        <v>0.2</v>
      </c>
      <c r="L87" s="1">
        <v>1955.52</v>
      </c>
      <c r="M87" s="1" t="str">
        <f t="shared" si="2"/>
        <v>Retail Store</v>
      </c>
      <c r="N87" s="1">
        <f t="shared" si="3"/>
        <v>421.2</v>
      </c>
    </row>
    <row r="88" spans="1:14" x14ac:dyDescent="0.3">
      <c r="A88" s="1" t="s">
        <v>2206</v>
      </c>
      <c r="B88" s="1">
        <v>46054</v>
      </c>
      <c r="C88" s="1" t="s">
        <v>54</v>
      </c>
      <c r="D88" s="1" t="s">
        <v>35</v>
      </c>
      <c r="E88" s="1" t="s">
        <v>28</v>
      </c>
      <c r="F88" s="1" t="s">
        <v>36</v>
      </c>
      <c r="G88" s="1" t="s">
        <v>119</v>
      </c>
      <c r="H88" s="1" t="s">
        <v>80</v>
      </c>
      <c r="I88" s="1">
        <v>3</v>
      </c>
      <c r="J88" s="1">
        <v>598.5</v>
      </c>
      <c r="K88" s="1">
        <v>0</v>
      </c>
      <c r="L88" s="1">
        <v>1795.5</v>
      </c>
      <c r="M88" s="1" t="str">
        <f t="shared" si="2"/>
        <v>Marketplace</v>
      </c>
      <c r="N88" s="1">
        <f t="shared" si="3"/>
        <v>267.12</v>
      </c>
    </row>
    <row r="89" spans="1:14" x14ac:dyDescent="0.3">
      <c r="A89" s="1" t="s">
        <v>2207</v>
      </c>
      <c r="B89" s="1">
        <v>46054</v>
      </c>
      <c r="C89" s="1" t="s">
        <v>54</v>
      </c>
      <c r="D89" s="1" t="s">
        <v>22</v>
      </c>
      <c r="E89" s="1" t="s">
        <v>28</v>
      </c>
      <c r="F89" s="1" t="s">
        <v>36</v>
      </c>
      <c r="G89" s="1" t="s">
        <v>70</v>
      </c>
      <c r="H89" s="1" t="s">
        <v>71</v>
      </c>
      <c r="I89" s="1">
        <v>2</v>
      </c>
      <c r="J89" s="1">
        <v>542.88</v>
      </c>
      <c r="K89" s="1">
        <v>0.15</v>
      </c>
      <c r="L89" s="1">
        <v>922.9</v>
      </c>
      <c r="M89" s="1" t="str">
        <f t="shared" si="2"/>
        <v>Online</v>
      </c>
      <c r="N89" s="1">
        <f t="shared" si="3"/>
        <v>267.12</v>
      </c>
    </row>
    <row r="90" spans="1:14" x14ac:dyDescent="0.3">
      <c r="A90" s="1" t="s">
        <v>2208</v>
      </c>
      <c r="B90" s="1">
        <v>46054</v>
      </c>
      <c r="C90" s="1" t="s">
        <v>54</v>
      </c>
      <c r="D90" s="1" t="s">
        <v>35</v>
      </c>
      <c r="E90" s="1" t="s">
        <v>28</v>
      </c>
      <c r="F90" s="1" t="s">
        <v>82</v>
      </c>
      <c r="G90" s="1" t="s">
        <v>85</v>
      </c>
      <c r="H90" s="1" t="s">
        <v>80</v>
      </c>
      <c r="I90" s="1">
        <v>3</v>
      </c>
      <c r="J90" s="1">
        <v>1620</v>
      </c>
      <c r="K90" s="1">
        <v>0.1</v>
      </c>
      <c r="L90" s="1">
        <v>4374</v>
      </c>
      <c r="M90" s="1" t="str">
        <f t="shared" si="2"/>
        <v>Marketplace</v>
      </c>
      <c r="N90" s="1">
        <f t="shared" si="3"/>
        <v>267.12</v>
      </c>
    </row>
    <row r="91" spans="1:14" x14ac:dyDescent="0.3">
      <c r="A91" s="1" t="s">
        <v>2209</v>
      </c>
      <c r="B91" s="1">
        <v>46054</v>
      </c>
      <c r="C91" s="1" t="s">
        <v>61</v>
      </c>
      <c r="D91" s="1" t="s">
        <v>27</v>
      </c>
      <c r="E91" s="1" t="s">
        <v>28</v>
      </c>
      <c r="F91" s="1" t="s">
        <v>17</v>
      </c>
      <c r="G91" s="1" t="s">
        <v>18</v>
      </c>
      <c r="H91" s="1" t="s">
        <v>63</v>
      </c>
      <c r="I91" s="1">
        <v>5</v>
      </c>
      <c r="J91" s="1">
        <v>84.24</v>
      </c>
      <c r="K91" s="1">
        <v>0</v>
      </c>
      <c r="L91" s="1">
        <v>421.2</v>
      </c>
      <c r="M91" s="1" t="str">
        <f t="shared" si="2"/>
        <v>Retail Store</v>
      </c>
      <c r="N91" s="1">
        <f t="shared" si="3"/>
        <v>62.01</v>
      </c>
    </row>
    <row r="92" spans="1:14" x14ac:dyDescent="0.3">
      <c r="A92" s="1" t="s">
        <v>2197</v>
      </c>
      <c r="B92" s="1">
        <v>46055</v>
      </c>
      <c r="C92" s="1" t="s">
        <v>21</v>
      </c>
      <c r="D92" s="1" t="s">
        <v>27</v>
      </c>
      <c r="E92" s="1" t="s">
        <v>28</v>
      </c>
      <c r="F92" s="1" t="s">
        <v>23</v>
      </c>
      <c r="G92" s="1" t="s">
        <v>178</v>
      </c>
      <c r="H92" s="1" t="s">
        <v>86</v>
      </c>
      <c r="I92" s="1">
        <v>3</v>
      </c>
      <c r="J92" s="1">
        <v>29.93</v>
      </c>
      <c r="K92" s="1">
        <v>0.1</v>
      </c>
      <c r="L92" s="1">
        <v>80.8</v>
      </c>
      <c r="M92" s="1" t="str">
        <f t="shared" si="2"/>
        <v>Online</v>
      </c>
      <c r="N92" s="1">
        <f t="shared" si="3"/>
        <v>405</v>
      </c>
    </row>
    <row r="93" spans="1:14" x14ac:dyDescent="0.3">
      <c r="A93" s="1" t="s">
        <v>2198</v>
      </c>
      <c r="B93" s="1">
        <v>46055</v>
      </c>
      <c r="C93" s="1" t="s">
        <v>61</v>
      </c>
      <c r="D93" s="1" t="s">
        <v>27</v>
      </c>
      <c r="E93" s="1" t="s">
        <v>16</v>
      </c>
      <c r="F93" s="1" t="s">
        <v>29</v>
      </c>
      <c r="G93" s="1" t="s">
        <v>30</v>
      </c>
      <c r="H93" s="1" t="s">
        <v>73</v>
      </c>
      <c r="I93" s="1">
        <v>6</v>
      </c>
      <c r="J93" s="1">
        <v>48.02</v>
      </c>
      <c r="K93" s="1">
        <v>0.08</v>
      </c>
      <c r="L93" s="1">
        <v>265.04000000000002</v>
      </c>
      <c r="M93" s="1" t="str">
        <f t="shared" si="2"/>
        <v>Online</v>
      </c>
      <c r="N93" s="1">
        <f t="shared" si="3"/>
        <v>62.01</v>
      </c>
    </row>
    <row r="94" spans="1:14" x14ac:dyDescent="0.3">
      <c r="A94" s="1" t="s">
        <v>2199</v>
      </c>
      <c r="B94" s="1">
        <v>46055</v>
      </c>
      <c r="C94" s="1" t="s">
        <v>61</v>
      </c>
      <c r="D94" s="1" t="s">
        <v>15</v>
      </c>
      <c r="E94" s="1" t="s">
        <v>16</v>
      </c>
      <c r="F94" s="1" t="s">
        <v>17</v>
      </c>
      <c r="G94" s="1" t="s">
        <v>189</v>
      </c>
      <c r="H94" s="1" t="s">
        <v>73</v>
      </c>
      <c r="I94" s="1">
        <v>7</v>
      </c>
      <c r="J94" s="1">
        <v>273.60000000000002</v>
      </c>
      <c r="K94" s="1">
        <v>0.05</v>
      </c>
      <c r="L94" s="1">
        <v>1819.44</v>
      </c>
      <c r="M94" s="1" t="str">
        <f t="shared" si="2"/>
        <v>Online</v>
      </c>
      <c r="N94" s="1">
        <f t="shared" si="3"/>
        <v>62.01</v>
      </c>
    </row>
    <row r="95" spans="1:14" x14ac:dyDescent="0.3">
      <c r="A95" s="1" t="s">
        <v>2200</v>
      </c>
      <c r="B95" s="1">
        <v>46055</v>
      </c>
      <c r="C95" s="1" t="s">
        <v>54</v>
      </c>
      <c r="D95" s="1" t="s">
        <v>27</v>
      </c>
      <c r="E95" s="1" t="s">
        <v>28</v>
      </c>
      <c r="F95" s="1" t="s">
        <v>82</v>
      </c>
      <c r="G95" s="1" t="s">
        <v>83</v>
      </c>
      <c r="H95" s="1" t="s">
        <v>71</v>
      </c>
      <c r="I95" s="1">
        <v>2</v>
      </c>
      <c r="J95" s="1">
        <v>3591</v>
      </c>
      <c r="K95" s="1">
        <v>0</v>
      </c>
      <c r="L95" s="1">
        <v>7182</v>
      </c>
      <c r="M95" s="1" t="str">
        <f t="shared" si="2"/>
        <v>Online</v>
      </c>
      <c r="N95" s="1">
        <f t="shared" si="3"/>
        <v>267.12</v>
      </c>
    </row>
    <row r="96" spans="1:14" x14ac:dyDescent="0.3">
      <c r="A96" s="1" t="s">
        <v>2201</v>
      </c>
      <c r="B96" s="1">
        <v>46055</v>
      </c>
      <c r="C96" s="1" t="s">
        <v>14</v>
      </c>
      <c r="D96" s="1" t="s">
        <v>15</v>
      </c>
      <c r="E96" s="1" t="s">
        <v>16</v>
      </c>
      <c r="F96" s="1" t="s">
        <v>29</v>
      </c>
      <c r="G96" s="1" t="s">
        <v>30</v>
      </c>
      <c r="H96" s="1" t="s">
        <v>31</v>
      </c>
      <c r="I96" s="1">
        <v>2</v>
      </c>
      <c r="J96" s="1">
        <v>49.5</v>
      </c>
      <c r="K96" s="1">
        <v>0.08</v>
      </c>
      <c r="L96" s="1">
        <v>91.08</v>
      </c>
      <c r="M96" s="1" t="str">
        <f t="shared" si="2"/>
        <v>Online</v>
      </c>
      <c r="N96" s="1">
        <f t="shared" si="3"/>
        <v>16.2</v>
      </c>
    </row>
    <row r="97" spans="1:14" x14ac:dyDescent="0.3">
      <c r="A97" s="1" t="s">
        <v>2192</v>
      </c>
      <c r="B97" s="1">
        <v>46056</v>
      </c>
      <c r="C97" s="1" t="s">
        <v>61</v>
      </c>
      <c r="D97" s="1" t="s">
        <v>27</v>
      </c>
      <c r="E97" s="1" t="s">
        <v>16</v>
      </c>
      <c r="F97" s="1" t="s">
        <v>36</v>
      </c>
      <c r="G97" s="1" t="s">
        <v>70</v>
      </c>
      <c r="H97" s="1" t="s">
        <v>73</v>
      </c>
      <c r="I97" s="1">
        <v>2</v>
      </c>
      <c r="J97" s="1">
        <v>553.32000000000005</v>
      </c>
      <c r="K97" s="1">
        <v>0.03</v>
      </c>
      <c r="L97" s="1">
        <v>1073.44</v>
      </c>
      <c r="M97" s="1" t="str">
        <f t="shared" si="2"/>
        <v>Online</v>
      </c>
      <c r="N97" s="1">
        <f t="shared" si="3"/>
        <v>62.01</v>
      </c>
    </row>
    <row r="98" spans="1:14" x14ac:dyDescent="0.3">
      <c r="A98" s="1" t="s">
        <v>2193</v>
      </c>
      <c r="B98" s="1">
        <v>46056</v>
      </c>
      <c r="C98" s="1" t="s">
        <v>14</v>
      </c>
      <c r="D98" s="1" t="s">
        <v>22</v>
      </c>
      <c r="E98" s="1" t="s">
        <v>16</v>
      </c>
      <c r="F98" s="1" t="s">
        <v>36</v>
      </c>
      <c r="G98" s="1" t="s">
        <v>77</v>
      </c>
      <c r="H98" s="1" t="s">
        <v>31</v>
      </c>
      <c r="I98" s="1">
        <v>2</v>
      </c>
      <c r="J98" s="1">
        <v>1282.5</v>
      </c>
      <c r="K98" s="1">
        <v>0.08</v>
      </c>
      <c r="L98" s="1">
        <v>2359.8000000000002</v>
      </c>
      <c r="M98" s="1" t="str">
        <f t="shared" si="2"/>
        <v>Online</v>
      </c>
      <c r="N98" s="1">
        <f t="shared" si="3"/>
        <v>16.2</v>
      </c>
    </row>
    <row r="99" spans="1:14" x14ac:dyDescent="0.3">
      <c r="A99" s="1" t="s">
        <v>2194</v>
      </c>
      <c r="B99" s="1">
        <v>46056</v>
      </c>
      <c r="C99" s="1" t="s">
        <v>21</v>
      </c>
      <c r="D99" s="1" t="s">
        <v>27</v>
      </c>
      <c r="E99" s="1" t="s">
        <v>16</v>
      </c>
      <c r="F99" s="1" t="s">
        <v>82</v>
      </c>
      <c r="G99" s="1" t="s">
        <v>114</v>
      </c>
      <c r="H99" s="1" t="s">
        <v>44</v>
      </c>
      <c r="I99" s="1">
        <v>4</v>
      </c>
      <c r="J99" s="1">
        <v>2295</v>
      </c>
      <c r="K99" s="1">
        <v>0.08</v>
      </c>
      <c r="L99" s="1">
        <v>8445.6</v>
      </c>
      <c r="M99" s="1" t="str">
        <f t="shared" si="2"/>
        <v>Retail Store</v>
      </c>
      <c r="N99" s="1">
        <f t="shared" si="3"/>
        <v>405</v>
      </c>
    </row>
    <row r="100" spans="1:14" x14ac:dyDescent="0.3">
      <c r="A100" s="1" t="s">
        <v>2195</v>
      </c>
      <c r="B100" s="1">
        <v>46056</v>
      </c>
      <c r="C100" s="1" t="s">
        <v>54</v>
      </c>
      <c r="D100" s="1" t="s">
        <v>35</v>
      </c>
      <c r="E100" s="1" t="s">
        <v>16</v>
      </c>
      <c r="F100" s="1" t="s">
        <v>36</v>
      </c>
      <c r="G100" s="1" t="s">
        <v>70</v>
      </c>
      <c r="H100" s="1" t="s">
        <v>80</v>
      </c>
      <c r="I100" s="1">
        <v>2</v>
      </c>
      <c r="J100" s="1">
        <v>522</v>
      </c>
      <c r="K100" s="1">
        <v>0.2</v>
      </c>
      <c r="L100" s="1">
        <v>835.2</v>
      </c>
      <c r="M100" s="1" t="str">
        <f t="shared" si="2"/>
        <v>Marketplace</v>
      </c>
      <c r="N100" s="1">
        <f t="shared" si="3"/>
        <v>267.12</v>
      </c>
    </row>
    <row r="101" spans="1:14" x14ac:dyDescent="0.3">
      <c r="A101" s="1" t="s">
        <v>2196</v>
      </c>
      <c r="B101" s="1">
        <v>46056</v>
      </c>
      <c r="C101" s="1" t="s">
        <v>14</v>
      </c>
      <c r="D101" s="1" t="s">
        <v>27</v>
      </c>
      <c r="E101" s="1" t="s">
        <v>16</v>
      </c>
      <c r="F101" s="1" t="s">
        <v>36</v>
      </c>
      <c r="G101" s="1" t="s">
        <v>37</v>
      </c>
      <c r="H101" s="1" t="s">
        <v>19</v>
      </c>
      <c r="I101" s="1">
        <v>2</v>
      </c>
      <c r="J101" s="1">
        <v>780.3</v>
      </c>
      <c r="K101" s="1">
        <v>0.15</v>
      </c>
      <c r="L101" s="1">
        <v>1326.51</v>
      </c>
      <c r="M101" s="1" t="str">
        <f t="shared" si="2"/>
        <v>Retail Store</v>
      </c>
      <c r="N101" s="1">
        <f t="shared" si="3"/>
        <v>16.2</v>
      </c>
    </row>
    <row r="102" spans="1:14" x14ac:dyDescent="0.3">
      <c r="A102" s="1" t="s">
        <v>2186</v>
      </c>
      <c r="B102" s="1">
        <v>46057</v>
      </c>
      <c r="C102" s="1" t="s">
        <v>54</v>
      </c>
      <c r="D102" s="1" t="s">
        <v>15</v>
      </c>
      <c r="E102" s="1" t="s">
        <v>28</v>
      </c>
      <c r="F102" s="1" t="s">
        <v>29</v>
      </c>
      <c r="G102" s="1" t="s">
        <v>55</v>
      </c>
      <c r="H102" s="1" t="s">
        <v>80</v>
      </c>
      <c r="I102" s="1">
        <v>9</v>
      </c>
      <c r="J102" s="1">
        <v>34.200000000000003</v>
      </c>
      <c r="K102" s="1">
        <v>0</v>
      </c>
      <c r="L102" s="1">
        <v>307.8</v>
      </c>
      <c r="M102" s="1" t="str">
        <f t="shared" si="2"/>
        <v>Marketplace</v>
      </c>
      <c r="N102" s="1">
        <f t="shared" si="3"/>
        <v>267.12</v>
      </c>
    </row>
    <row r="103" spans="1:14" x14ac:dyDescent="0.3">
      <c r="A103" s="1" t="s">
        <v>2187</v>
      </c>
      <c r="B103" s="1">
        <v>46057</v>
      </c>
      <c r="C103" s="1" t="s">
        <v>47</v>
      </c>
      <c r="D103" s="1" t="s">
        <v>27</v>
      </c>
      <c r="E103" s="1" t="s">
        <v>16</v>
      </c>
      <c r="F103" s="1" t="s">
        <v>29</v>
      </c>
      <c r="G103" s="1" t="s">
        <v>30</v>
      </c>
      <c r="H103" s="1" t="s">
        <v>58</v>
      </c>
      <c r="I103" s="1">
        <v>5</v>
      </c>
      <c r="J103" s="1">
        <v>50.49</v>
      </c>
      <c r="K103" s="1">
        <v>0</v>
      </c>
      <c r="L103" s="1">
        <v>252.45</v>
      </c>
      <c r="M103" s="1" t="str">
        <f t="shared" si="2"/>
        <v>Corporate Sales</v>
      </c>
      <c r="N103" s="1">
        <f t="shared" si="3"/>
        <v>421.2</v>
      </c>
    </row>
    <row r="104" spans="1:14" x14ac:dyDescent="0.3">
      <c r="A104" s="1" t="s">
        <v>2188</v>
      </c>
      <c r="B104" s="1">
        <v>46057</v>
      </c>
      <c r="C104" s="1" t="s">
        <v>14</v>
      </c>
      <c r="D104" s="1" t="s">
        <v>27</v>
      </c>
      <c r="E104" s="1" t="s">
        <v>16</v>
      </c>
      <c r="F104" s="1" t="s">
        <v>17</v>
      </c>
      <c r="G104" s="1" t="s">
        <v>189</v>
      </c>
      <c r="H104" s="1" t="s">
        <v>40</v>
      </c>
      <c r="I104" s="1">
        <v>4</v>
      </c>
      <c r="J104" s="1">
        <v>288</v>
      </c>
      <c r="K104" s="1">
        <v>0.05</v>
      </c>
      <c r="L104" s="1">
        <v>1094.4000000000001</v>
      </c>
      <c r="M104" s="1" t="str">
        <f t="shared" si="2"/>
        <v>Online</v>
      </c>
      <c r="N104" s="1">
        <f t="shared" si="3"/>
        <v>16.2</v>
      </c>
    </row>
    <row r="105" spans="1:14" x14ac:dyDescent="0.3">
      <c r="A105" s="1" t="s">
        <v>2189</v>
      </c>
      <c r="B105" s="1">
        <v>46057</v>
      </c>
      <c r="C105" s="1" t="s">
        <v>54</v>
      </c>
      <c r="D105" s="1" t="s">
        <v>27</v>
      </c>
      <c r="E105" s="1" t="s">
        <v>28</v>
      </c>
      <c r="F105" s="1" t="s">
        <v>82</v>
      </c>
      <c r="G105" s="1" t="s">
        <v>83</v>
      </c>
      <c r="H105" s="1" t="s">
        <v>71</v>
      </c>
      <c r="I105" s="1">
        <v>3</v>
      </c>
      <c r="J105" s="1">
        <v>3780</v>
      </c>
      <c r="K105" s="1">
        <v>0.1</v>
      </c>
      <c r="L105" s="1">
        <v>10206</v>
      </c>
      <c r="M105" s="1" t="str">
        <f t="shared" si="2"/>
        <v>Online</v>
      </c>
      <c r="N105" s="1">
        <f t="shared" si="3"/>
        <v>267.12</v>
      </c>
    </row>
    <row r="106" spans="1:14" x14ac:dyDescent="0.3">
      <c r="A106" s="1" t="s">
        <v>2190</v>
      </c>
      <c r="B106" s="1">
        <v>46057</v>
      </c>
      <c r="C106" s="1" t="s">
        <v>61</v>
      </c>
      <c r="D106" s="1" t="s">
        <v>22</v>
      </c>
      <c r="E106" s="1" t="s">
        <v>16</v>
      </c>
      <c r="F106" s="1" t="s">
        <v>82</v>
      </c>
      <c r="G106" s="1" t="s">
        <v>96</v>
      </c>
      <c r="H106" s="1" t="s">
        <v>73</v>
      </c>
      <c r="I106" s="1">
        <v>2</v>
      </c>
      <c r="J106" s="1">
        <v>2700</v>
      </c>
      <c r="K106" s="1">
        <v>0.03</v>
      </c>
      <c r="L106" s="1">
        <v>5238</v>
      </c>
      <c r="M106" s="1" t="str">
        <f t="shared" si="2"/>
        <v>Online</v>
      </c>
      <c r="N106" s="1">
        <f t="shared" si="3"/>
        <v>62.01</v>
      </c>
    </row>
    <row r="107" spans="1:14" x14ac:dyDescent="0.3">
      <c r="A107" s="1" t="s">
        <v>2191</v>
      </c>
      <c r="B107" s="1">
        <v>46057</v>
      </c>
      <c r="C107" s="1" t="s">
        <v>21</v>
      </c>
      <c r="D107" s="1" t="s">
        <v>35</v>
      </c>
      <c r="E107" s="1" t="s">
        <v>28</v>
      </c>
      <c r="F107" s="1" t="s">
        <v>23</v>
      </c>
      <c r="G107" s="1" t="s">
        <v>178</v>
      </c>
      <c r="H107" s="1" t="s">
        <v>44</v>
      </c>
      <c r="I107" s="1">
        <v>7</v>
      </c>
      <c r="J107" s="1">
        <v>33.39</v>
      </c>
      <c r="K107" s="1">
        <v>0.08</v>
      </c>
      <c r="L107" s="1">
        <v>215.03</v>
      </c>
      <c r="M107" s="1" t="str">
        <f t="shared" si="2"/>
        <v>Retail Store</v>
      </c>
      <c r="N107" s="1">
        <f t="shared" si="3"/>
        <v>405</v>
      </c>
    </row>
    <row r="108" spans="1:14" x14ac:dyDescent="0.3">
      <c r="A108" s="1" t="s">
        <v>2182</v>
      </c>
      <c r="B108" s="1">
        <v>46058</v>
      </c>
      <c r="C108" s="1" t="s">
        <v>47</v>
      </c>
      <c r="D108" s="1" t="s">
        <v>35</v>
      </c>
      <c r="E108" s="1" t="s">
        <v>16</v>
      </c>
      <c r="F108" s="1" t="s">
        <v>82</v>
      </c>
      <c r="G108" s="1" t="s">
        <v>83</v>
      </c>
      <c r="H108" s="1" t="s">
        <v>78</v>
      </c>
      <c r="I108" s="1">
        <v>2</v>
      </c>
      <c r="J108" s="1">
        <v>3780</v>
      </c>
      <c r="K108" s="1">
        <v>0.08</v>
      </c>
      <c r="L108" s="1">
        <v>6955.2</v>
      </c>
      <c r="M108" s="1" t="str">
        <f t="shared" si="2"/>
        <v>Retail Store</v>
      </c>
      <c r="N108" s="1">
        <f t="shared" si="3"/>
        <v>421.2</v>
      </c>
    </row>
    <row r="109" spans="1:14" x14ac:dyDescent="0.3">
      <c r="A109" s="1" t="s">
        <v>2183</v>
      </c>
      <c r="B109" s="1">
        <v>46058</v>
      </c>
      <c r="C109" s="1" t="s">
        <v>54</v>
      </c>
      <c r="D109" s="1" t="s">
        <v>27</v>
      </c>
      <c r="E109" s="1" t="s">
        <v>16</v>
      </c>
      <c r="F109" s="1" t="s">
        <v>17</v>
      </c>
      <c r="G109" s="1" t="s">
        <v>189</v>
      </c>
      <c r="H109" s="1" t="s">
        <v>71</v>
      </c>
      <c r="I109" s="1">
        <v>4</v>
      </c>
      <c r="J109" s="1">
        <v>288</v>
      </c>
      <c r="K109" s="1">
        <v>0.2</v>
      </c>
      <c r="L109" s="1">
        <v>921.6</v>
      </c>
      <c r="M109" s="1" t="str">
        <f t="shared" si="2"/>
        <v>Online</v>
      </c>
      <c r="N109" s="1">
        <f t="shared" si="3"/>
        <v>267.12</v>
      </c>
    </row>
    <row r="110" spans="1:14" x14ac:dyDescent="0.3">
      <c r="A110" s="1" t="s">
        <v>2184</v>
      </c>
      <c r="B110" s="1">
        <v>46058</v>
      </c>
      <c r="C110" s="1" t="s">
        <v>14</v>
      </c>
      <c r="D110" s="1" t="s">
        <v>27</v>
      </c>
      <c r="E110" s="1" t="s">
        <v>28</v>
      </c>
      <c r="F110" s="1" t="s">
        <v>29</v>
      </c>
      <c r="G110" s="1" t="s">
        <v>55</v>
      </c>
      <c r="H110" s="1" t="s">
        <v>40</v>
      </c>
      <c r="I110" s="1">
        <v>4</v>
      </c>
      <c r="J110" s="1">
        <v>36.25</v>
      </c>
      <c r="K110" s="1">
        <v>0.03</v>
      </c>
      <c r="L110" s="1">
        <v>140.66</v>
      </c>
      <c r="M110" s="1" t="str">
        <f t="shared" si="2"/>
        <v>Online</v>
      </c>
      <c r="N110" s="1">
        <f t="shared" si="3"/>
        <v>16.2</v>
      </c>
    </row>
    <row r="111" spans="1:14" x14ac:dyDescent="0.3">
      <c r="A111" s="1" t="s">
        <v>2185</v>
      </c>
      <c r="B111" s="1">
        <v>46058</v>
      </c>
      <c r="C111" s="1" t="s">
        <v>47</v>
      </c>
      <c r="D111" s="1" t="s">
        <v>27</v>
      </c>
      <c r="E111" s="1" t="s">
        <v>16</v>
      </c>
      <c r="F111" s="1" t="s">
        <v>29</v>
      </c>
      <c r="G111" s="1" t="s">
        <v>55</v>
      </c>
      <c r="H111" s="1" t="s">
        <v>78</v>
      </c>
      <c r="I111" s="1">
        <v>2</v>
      </c>
      <c r="J111" s="1">
        <v>33.17</v>
      </c>
      <c r="K111" s="1">
        <v>0</v>
      </c>
      <c r="L111" s="1">
        <v>66.349999999999994</v>
      </c>
      <c r="M111" s="1" t="str">
        <f t="shared" si="2"/>
        <v>Retail Store</v>
      </c>
      <c r="N111" s="1">
        <f t="shared" si="3"/>
        <v>421.2</v>
      </c>
    </row>
    <row r="112" spans="1:14" x14ac:dyDescent="0.3">
      <c r="A112" s="1" t="s">
        <v>2176</v>
      </c>
      <c r="B112" s="1">
        <v>46059</v>
      </c>
      <c r="C112" s="1" t="s">
        <v>61</v>
      </c>
      <c r="D112" s="1" t="s">
        <v>15</v>
      </c>
      <c r="E112" s="1" t="s">
        <v>16</v>
      </c>
      <c r="F112" s="1" t="s">
        <v>29</v>
      </c>
      <c r="G112" s="1" t="s">
        <v>30</v>
      </c>
      <c r="H112" s="1" t="s">
        <v>73</v>
      </c>
      <c r="I112" s="1">
        <v>5</v>
      </c>
      <c r="J112" s="1">
        <v>49.5</v>
      </c>
      <c r="K112" s="1">
        <v>0.15</v>
      </c>
      <c r="L112" s="1">
        <v>210.38</v>
      </c>
      <c r="M112" s="1" t="str">
        <f t="shared" si="2"/>
        <v>Online</v>
      </c>
      <c r="N112" s="1">
        <f t="shared" si="3"/>
        <v>62.01</v>
      </c>
    </row>
    <row r="113" spans="1:14" x14ac:dyDescent="0.3">
      <c r="A113" s="1" t="s">
        <v>2177</v>
      </c>
      <c r="B113" s="1">
        <v>46059</v>
      </c>
      <c r="C113" s="1" t="s">
        <v>54</v>
      </c>
      <c r="D113" s="1" t="s">
        <v>15</v>
      </c>
      <c r="E113" s="1" t="s">
        <v>16</v>
      </c>
      <c r="F113" s="1" t="s">
        <v>29</v>
      </c>
      <c r="G113" s="1" t="s">
        <v>39</v>
      </c>
      <c r="H113" s="1" t="s">
        <v>56</v>
      </c>
      <c r="I113" s="1">
        <v>6</v>
      </c>
      <c r="J113" s="1">
        <v>69.84</v>
      </c>
      <c r="K113" s="1">
        <v>0.1</v>
      </c>
      <c r="L113" s="1">
        <v>377.14</v>
      </c>
      <c r="M113" s="1" t="str">
        <f t="shared" si="2"/>
        <v>Online</v>
      </c>
      <c r="N113" s="1">
        <f t="shared" si="3"/>
        <v>267.12</v>
      </c>
    </row>
    <row r="114" spans="1:14" x14ac:dyDescent="0.3">
      <c r="A114" s="1" t="s">
        <v>2178</v>
      </c>
      <c r="B114" s="1">
        <v>46059</v>
      </c>
      <c r="C114" s="1" t="s">
        <v>47</v>
      </c>
      <c r="D114" s="1" t="s">
        <v>15</v>
      </c>
      <c r="E114" s="1" t="s">
        <v>28</v>
      </c>
      <c r="F114" s="1" t="s">
        <v>17</v>
      </c>
      <c r="G114" s="1" t="s">
        <v>62</v>
      </c>
      <c r="H114" s="1" t="s">
        <v>78</v>
      </c>
      <c r="I114" s="1">
        <v>2</v>
      </c>
      <c r="J114" s="1">
        <v>54</v>
      </c>
      <c r="K114" s="1">
        <v>0.08</v>
      </c>
      <c r="L114" s="1">
        <v>99.36</v>
      </c>
      <c r="M114" s="1" t="str">
        <f t="shared" si="2"/>
        <v>Retail Store</v>
      </c>
      <c r="N114" s="1">
        <f t="shared" si="3"/>
        <v>421.2</v>
      </c>
    </row>
    <row r="115" spans="1:14" x14ac:dyDescent="0.3">
      <c r="A115" s="1" t="s">
        <v>2179</v>
      </c>
      <c r="B115" s="1">
        <v>46059</v>
      </c>
      <c r="C115" s="1" t="s">
        <v>61</v>
      </c>
      <c r="D115" s="1" t="s">
        <v>15</v>
      </c>
      <c r="E115" s="1" t="s">
        <v>28</v>
      </c>
      <c r="F115" s="1" t="s">
        <v>29</v>
      </c>
      <c r="G115" s="1" t="s">
        <v>88</v>
      </c>
      <c r="H115" s="1" t="s">
        <v>63</v>
      </c>
      <c r="I115" s="1">
        <v>5</v>
      </c>
      <c r="J115" s="1">
        <v>60.84</v>
      </c>
      <c r="K115" s="1">
        <v>0.08</v>
      </c>
      <c r="L115" s="1">
        <v>279.86</v>
      </c>
      <c r="M115" s="1" t="str">
        <f t="shared" si="2"/>
        <v>Retail Store</v>
      </c>
      <c r="N115" s="1">
        <f t="shared" si="3"/>
        <v>62.01</v>
      </c>
    </row>
    <row r="116" spans="1:14" x14ac:dyDescent="0.3">
      <c r="A116" s="1" t="s">
        <v>2180</v>
      </c>
      <c r="B116" s="1">
        <v>46059</v>
      </c>
      <c r="C116" s="1" t="s">
        <v>54</v>
      </c>
      <c r="D116" s="1" t="s">
        <v>27</v>
      </c>
      <c r="E116" s="1" t="s">
        <v>16</v>
      </c>
      <c r="F116" s="1" t="s">
        <v>82</v>
      </c>
      <c r="G116" s="1" t="s">
        <v>114</v>
      </c>
      <c r="H116" s="1" t="s">
        <v>80</v>
      </c>
      <c r="I116" s="1">
        <v>2</v>
      </c>
      <c r="J116" s="1">
        <v>2385</v>
      </c>
      <c r="K116" s="1">
        <v>0.05</v>
      </c>
      <c r="L116" s="1">
        <v>4531.5</v>
      </c>
      <c r="M116" s="1" t="str">
        <f t="shared" si="2"/>
        <v>Marketplace</v>
      </c>
      <c r="N116" s="1">
        <f t="shared" si="3"/>
        <v>267.12</v>
      </c>
    </row>
    <row r="117" spans="1:14" x14ac:dyDescent="0.3">
      <c r="A117" s="1" t="s">
        <v>2181</v>
      </c>
      <c r="B117" s="1">
        <v>46059</v>
      </c>
      <c r="C117" s="1" t="s">
        <v>54</v>
      </c>
      <c r="D117" s="1" t="s">
        <v>15</v>
      </c>
      <c r="E117" s="1" t="s">
        <v>28</v>
      </c>
      <c r="F117" s="1" t="s">
        <v>36</v>
      </c>
      <c r="G117" s="1" t="s">
        <v>77</v>
      </c>
      <c r="H117" s="1" t="s">
        <v>56</v>
      </c>
      <c r="I117" s="1">
        <v>2</v>
      </c>
      <c r="J117" s="1">
        <v>1377</v>
      </c>
      <c r="K117" s="1">
        <v>0.05</v>
      </c>
      <c r="L117" s="1">
        <v>2616.3000000000002</v>
      </c>
      <c r="M117" s="1" t="str">
        <f t="shared" si="2"/>
        <v>Online</v>
      </c>
      <c r="N117" s="1">
        <f t="shared" si="3"/>
        <v>267.12</v>
      </c>
    </row>
    <row r="118" spans="1:14" x14ac:dyDescent="0.3">
      <c r="A118" s="1" t="s">
        <v>2175</v>
      </c>
      <c r="B118" s="1">
        <v>46060</v>
      </c>
      <c r="C118" s="1" t="s">
        <v>21</v>
      </c>
      <c r="D118" s="1" t="s">
        <v>22</v>
      </c>
      <c r="E118" s="1" t="s">
        <v>16</v>
      </c>
      <c r="F118" s="1" t="s">
        <v>42</v>
      </c>
      <c r="G118" s="1" t="s">
        <v>67</v>
      </c>
      <c r="H118" s="1" t="s">
        <v>44</v>
      </c>
      <c r="I118" s="1">
        <v>4</v>
      </c>
      <c r="J118" s="1">
        <v>252</v>
      </c>
      <c r="K118" s="1">
        <v>0.15</v>
      </c>
      <c r="L118" s="1">
        <v>856.8</v>
      </c>
      <c r="M118" s="1" t="str">
        <f t="shared" si="2"/>
        <v>Retail Store</v>
      </c>
      <c r="N118" s="1">
        <f t="shared" si="3"/>
        <v>405</v>
      </c>
    </row>
    <row r="119" spans="1:14" x14ac:dyDescent="0.3">
      <c r="A119" s="1" t="s">
        <v>2171</v>
      </c>
      <c r="B119" s="1">
        <v>46061</v>
      </c>
      <c r="C119" s="1" t="s">
        <v>54</v>
      </c>
      <c r="D119" s="1" t="s">
        <v>27</v>
      </c>
      <c r="E119" s="1" t="s">
        <v>28</v>
      </c>
      <c r="F119" s="1" t="s">
        <v>17</v>
      </c>
      <c r="G119" s="1" t="s">
        <v>62</v>
      </c>
      <c r="H119" s="1" t="s">
        <v>80</v>
      </c>
      <c r="I119" s="1">
        <v>3</v>
      </c>
      <c r="J119" s="1">
        <v>57.24</v>
      </c>
      <c r="K119" s="1">
        <v>0.03</v>
      </c>
      <c r="L119" s="1">
        <v>166.57</v>
      </c>
      <c r="M119" s="1" t="str">
        <f t="shared" si="2"/>
        <v>Marketplace</v>
      </c>
      <c r="N119" s="1">
        <f t="shared" si="3"/>
        <v>267.12</v>
      </c>
    </row>
    <row r="120" spans="1:14" x14ac:dyDescent="0.3">
      <c r="A120" s="1" t="s">
        <v>2172</v>
      </c>
      <c r="B120" s="1">
        <v>46061</v>
      </c>
      <c r="C120" s="1" t="s">
        <v>54</v>
      </c>
      <c r="D120" s="1" t="s">
        <v>27</v>
      </c>
      <c r="E120" s="1" t="s">
        <v>16</v>
      </c>
      <c r="F120" s="1" t="s">
        <v>17</v>
      </c>
      <c r="G120" s="1" t="s">
        <v>18</v>
      </c>
      <c r="H120" s="1" t="s">
        <v>80</v>
      </c>
      <c r="I120" s="1">
        <v>4</v>
      </c>
      <c r="J120" s="1">
        <v>81</v>
      </c>
      <c r="K120" s="1">
        <v>0.1</v>
      </c>
      <c r="L120" s="1">
        <v>291.60000000000002</v>
      </c>
      <c r="M120" s="1" t="str">
        <f t="shared" si="2"/>
        <v>Marketplace</v>
      </c>
      <c r="N120" s="1">
        <f t="shared" si="3"/>
        <v>267.12</v>
      </c>
    </row>
    <row r="121" spans="1:14" x14ac:dyDescent="0.3">
      <c r="A121" s="1" t="s">
        <v>2173</v>
      </c>
      <c r="B121" s="1">
        <v>46061</v>
      </c>
      <c r="C121" s="1" t="s">
        <v>21</v>
      </c>
      <c r="D121" s="1" t="s">
        <v>15</v>
      </c>
      <c r="E121" s="1" t="s">
        <v>16</v>
      </c>
      <c r="F121" s="1" t="s">
        <v>17</v>
      </c>
      <c r="G121" s="1" t="s">
        <v>18</v>
      </c>
      <c r="H121" s="1" t="s">
        <v>25</v>
      </c>
      <c r="I121" s="1">
        <v>5</v>
      </c>
      <c r="J121" s="1">
        <v>82.62</v>
      </c>
      <c r="K121" s="1">
        <v>0</v>
      </c>
      <c r="L121" s="1">
        <v>413.1</v>
      </c>
      <c r="M121" s="1" t="str">
        <f t="shared" si="2"/>
        <v>Marketplace</v>
      </c>
      <c r="N121" s="1">
        <f t="shared" si="3"/>
        <v>405</v>
      </c>
    </row>
    <row r="122" spans="1:14" x14ac:dyDescent="0.3">
      <c r="A122" s="1" t="s">
        <v>2174</v>
      </c>
      <c r="B122" s="1">
        <v>46061</v>
      </c>
      <c r="C122" s="1" t="s">
        <v>61</v>
      </c>
      <c r="D122" s="1" t="s">
        <v>15</v>
      </c>
      <c r="E122" s="1" t="s">
        <v>16</v>
      </c>
      <c r="F122" s="1" t="s">
        <v>23</v>
      </c>
      <c r="G122" s="1" t="s">
        <v>142</v>
      </c>
      <c r="H122" s="1" t="s">
        <v>112</v>
      </c>
      <c r="I122" s="1">
        <v>4</v>
      </c>
      <c r="J122" s="1">
        <v>17.170000000000002</v>
      </c>
      <c r="K122" s="1">
        <v>0.08</v>
      </c>
      <c r="L122" s="1">
        <v>63.19</v>
      </c>
      <c r="M122" s="1" t="str">
        <f t="shared" si="2"/>
        <v>Online</v>
      </c>
      <c r="N122" s="1">
        <f t="shared" si="3"/>
        <v>62.01</v>
      </c>
    </row>
    <row r="123" spans="1:14" x14ac:dyDescent="0.3">
      <c r="A123" s="1" t="s">
        <v>2167</v>
      </c>
      <c r="B123" s="1">
        <v>46062</v>
      </c>
      <c r="C123" s="1" t="s">
        <v>54</v>
      </c>
      <c r="D123" s="1" t="s">
        <v>22</v>
      </c>
      <c r="E123" s="1" t="s">
        <v>16</v>
      </c>
      <c r="F123" s="1" t="s">
        <v>29</v>
      </c>
      <c r="G123" s="1" t="s">
        <v>55</v>
      </c>
      <c r="H123" s="1" t="s">
        <v>71</v>
      </c>
      <c r="I123" s="1">
        <v>8</v>
      </c>
      <c r="J123" s="1">
        <v>34.200000000000003</v>
      </c>
      <c r="K123" s="1">
        <v>0.1</v>
      </c>
      <c r="L123" s="1">
        <v>246.24</v>
      </c>
      <c r="M123" s="1" t="str">
        <f t="shared" si="2"/>
        <v>Online</v>
      </c>
      <c r="N123" s="1">
        <f t="shared" si="3"/>
        <v>267.12</v>
      </c>
    </row>
    <row r="124" spans="1:14" x14ac:dyDescent="0.3">
      <c r="A124" s="1" t="s">
        <v>2168</v>
      </c>
      <c r="B124" s="1">
        <v>46062</v>
      </c>
      <c r="C124" s="1" t="s">
        <v>21</v>
      </c>
      <c r="D124" s="1" t="s">
        <v>15</v>
      </c>
      <c r="E124" s="1" t="s">
        <v>28</v>
      </c>
      <c r="F124" s="1" t="s">
        <v>29</v>
      </c>
      <c r="G124" s="1" t="s">
        <v>30</v>
      </c>
      <c r="H124" s="1" t="s">
        <v>25</v>
      </c>
      <c r="I124" s="1">
        <v>3</v>
      </c>
      <c r="J124" s="1">
        <v>49.5</v>
      </c>
      <c r="K124" s="1">
        <v>0.15</v>
      </c>
      <c r="L124" s="1">
        <v>126.23</v>
      </c>
      <c r="M124" s="1" t="str">
        <f t="shared" si="2"/>
        <v>Marketplace</v>
      </c>
      <c r="N124" s="1">
        <f t="shared" si="3"/>
        <v>405</v>
      </c>
    </row>
    <row r="125" spans="1:14" x14ac:dyDescent="0.3">
      <c r="A125" s="1" t="s">
        <v>2169</v>
      </c>
      <c r="B125" s="1">
        <v>46062</v>
      </c>
      <c r="C125" s="1" t="s">
        <v>54</v>
      </c>
      <c r="D125" s="1" t="s">
        <v>15</v>
      </c>
      <c r="E125" s="1" t="s">
        <v>16</v>
      </c>
      <c r="F125" s="1" t="s">
        <v>36</v>
      </c>
      <c r="G125" s="1" t="s">
        <v>37</v>
      </c>
      <c r="H125" s="1" t="s">
        <v>80</v>
      </c>
      <c r="I125" s="1">
        <v>2</v>
      </c>
      <c r="J125" s="1">
        <v>765</v>
      </c>
      <c r="K125" s="1">
        <v>0.05</v>
      </c>
      <c r="L125" s="1">
        <v>1453.5</v>
      </c>
      <c r="M125" s="1" t="str">
        <f t="shared" si="2"/>
        <v>Marketplace</v>
      </c>
      <c r="N125" s="1">
        <f t="shared" si="3"/>
        <v>267.12</v>
      </c>
    </row>
    <row r="126" spans="1:14" x14ac:dyDescent="0.3">
      <c r="A126" s="1" t="s">
        <v>2170</v>
      </c>
      <c r="B126" s="1">
        <v>46062</v>
      </c>
      <c r="C126" s="1" t="s">
        <v>61</v>
      </c>
      <c r="D126" s="1" t="s">
        <v>35</v>
      </c>
      <c r="E126" s="1" t="s">
        <v>16</v>
      </c>
      <c r="F126" s="1" t="s">
        <v>82</v>
      </c>
      <c r="G126" s="1" t="s">
        <v>83</v>
      </c>
      <c r="H126" s="1" t="s">
        <v>112</v>
      </c>
      <c r="I126" s="1">
        <v>2</v>
      </c>
      <c r="J126" s="1">
        <v>3591</v>
      </c>
      <c r="K126" s="1">
        <v>0</v>
      </c>
      <c r="L126" s="1">
        <v>7182</v>
      </c>
      <c r="M126" s="1" t="str">
        <f t="shared" si="2"/>
        <v>Online</v>
      </c>
      <c r="N126" s="1">
        <f t="shared" si="3"/>
        <v>62.01</v>
      </c>
    </row>
    <row r="127" spans="1:14" x14ac:dyDescent="0.3">
      <c r="A127" s="1" t="s">
        <v>2163</v>
      </c>
      <c r="B127" s="1">
        <v>46063</v>
      </c>
      <c r="C127" s="1" t="s">
        <v>14</v>
      </c>
      <c r="D127" s="1" t="s">
        <v>15</v>
      </c>
      <c r="E127" s="1" t="s">
        <v>16</v>
      </c>
      <c r="F127" s="1" t="s">
        <v>42</v>
      </c>
      <c r="G127" s="1" t="s">
        <v>43</v>
      </c>
      <c r="H127" s="1" t="s">
        <v>19</v>
      </c>
      <c r="I127" s="1">
        <v>5</v>
      </c>
      <c r="J127" s="1">
        <v>162</v>
      </c>
      <c r="K127" s="1">
        <v>0.05</v>
      </c>
      <c r="L127" s="1">
        <v>769.5</v>
      </c>
      <c r="M127" s="1" t="str">
        <f t="shared" si="2"/>
        <v>Retail Store</v>
      </c>
      <c r="N127" s="1">
        <f t="shared" si="3"/>
        <v>16.2</v>
      </c>
    </row>
    <row r="128" spans="1:14" x14ac:dyDescent="0.3">
      <c r="A128" s="1" t="s">
        <v>2164</v>
      </c>
      <c r="B128" s="1">
        <v>46063</v>
      </c>
      <c r="C128" s="1" t="s">
        <v>54</v>
      </c>
      <c r="D128" s="1" t="s">
        <v>15</v>
      </c>
      <c r="E128" s="1" t="s">
        <v>16</v>
      </c>
      <c r="F128" s="1" t="s">
        <v>17</v>
      </c>
      <c r="G128" s="1" t="s">
        <v>18</v>
      </c>
      <c r="H128" s="1" t="s">
        <v>56</v>
      </c>
      <c r="I128" s="1">
        <v>3</v>
      </c>
      <c r="J128" s="1">
        <v>81</v>
      </c>
      <c r="K128" s="1">
        <v>0.03</v>
      </c>
      <c r="L128" s="1">
        <v>235.71</v>
      </c>
      <c r="M128" s="1" t="str">
        <f t="shared" si="2"/>
        <v>Online</v>
      </c>
      <c r="N128" s="1">
        <f t="shared" si="3"/>
        <v>267.12</v>
      </c>
    </row>
    <row r="129" spans="1:14" x14ac:dyDescent="0.3">
      <c r="A129" s="1" t="s">
        <v>2165</v>
      </c>
      <c r="B129" s="1">
        <v>46063</v>
      </c>
      <c r="C129" s="1" t="s">
        <v>14</v>
      </c>
      <c r="D129" s="1" t="s">
        <v>35</v>
      </c>
      <c r="E129" s="1" t="s">
        <v>28</v>
      </c>
      <c r="F129" s="1" t="s">
        <v>82</v>
      </c>
      <c r="G129" s="1" t="s">
        <v>83</v>
      </c>
      <c r="H129" s="1" t="s">
        <v>40</v>
      </c>
      <c r="I129" s="1">
        <v>2</v>
      </c>
      <c r="J129" s="1">
        <v>3780</v>
      </c>
      <c r="K129" s="1">
        <v>0.1</v>
      </c>
      <c r="L129" s="1">
        <v>6804</v>
      </c>
      <c r="M129" s="1" t="str">
        <f t="shared" si="2"/>
        <v>Online</v>
      </c>
      <c r="N129" s="1">
        <f t="shared" si="3"/>
        <v>16.2</v>
      </c>
    </row>
    <row r="130" spans="1:14" x14ac:dyDescent="0.3">
      <c r="A130" s="1" t="s">
        <v>2166</v>
      </c>
      <c r="B130" s="1">
        <v>46063</v>
      </c>
      <c r="C130" s="1" t="s">
        <v>21</v>
      </c>
      <c r="D130" s="1" t="s">
        <v>22</v>
      </c>
      <c r="E130" s="1" t="s">
        <v>16</v>
      </c>
      <c r="F130" s="1" t="s">
        <v>23</v>
      </c>
      <c r="G130" s="1" t="s">
        <v>116</v>
      </c>
      <c r="H130" s="1" t="s">
        <v>25</v>
      </c>
      <c r="I130" s="1">
        <v>6</v>
      </c>
      <c r="J130" s="1">
        <v>6.98</v>
      </c>
      <c r="K130" s="1">
        <v>0</v>
      </c>
      <c r="L130" s="1">
        <v>41.9</v>
      </c>
      <c r="M130" s="1" t="str">
        <f t="shared" ref="M130:M193" si="4">INDEX(D:D,MATCH(H130,H:H,0))</f>
        <v>Marketplace</v>
      </c>
      <c r="N130" s="1">
        <f t="shared" ref="N130:N193" si="5">VLOOKUP(C:C,C:J,8,FALSE)</f>
        <v>405</v>
      </c>
    </row>
    <row r="131" spans="1:14" x14ac:dyDescent="0.3">
      <c r="A131" s="1" t="s">
        <v>2155</v>
      </c>
      <c r="B131" s="1">
        <v>46064</v>
      </c>
      <c r="C131" s="1" t="s">
        <v>21</v>
      </c>
      <c r="D131" s="1" t="s">
        <v>27</v>
      </c>
      <c r="E131" s="1" t="s">
        <v>28</v>
      </c>
      <c r="F131" s="1" t="s">
        <v>29</v>
      </c>
      <c r="G131" s="1" t="s">
        <v>55</v>
      </c>
      <c r="H131" s="1" t="s">
        <v>25</v>
      </c>
      <c r="I131" s="1">
        <v>8</v>
      </c>
      <c r="J131" s="1">
        <v>34.200000000000003</v>
      </c>
      <c r="K131" s="1">
        <v>0.03</v>
      </c>
      <c r="L131" s="1">
        <v>265.39</v>
      </c>
      <c r="M131" s="1" t="str">
        <f t="shared" si="4"/>
        <v>Marketplace</v>
      </c>
      <c r="N131" s="1">
        <f t="shared" si="5"/>
        <v>405</v>
      </c>
    </row>
    <row r="132" spans="1:14" x14ac:dyDescent="0.3">
      <c r="A132" s="1" t="s">
        <v>2156</v>
      </c>
      <c r="B132" s="1">
        <v>46064</v>
      </c>
      <c r="C132" s="1" t="s">
        <v>21</v>
      </c>
      <c r="D132" s="1" t="s">
        <v>15</v>
      </c>
      <c r="E132" s="1" t="s">
        <v>16</v>
      </c>
      <c r="F132" s="1" t="s">
        <v>36</v>
      </c>
      <c r="G132" s="1" t="s">
        <v>119</v>
      </c>
      <c r="H132" s="1" t="s">
        <v>44</v>
      </c>
      <c r="I132" s="1">
        <v>2</v>
      </c>
      <c r="J132" s="1">
        <v>630</v>
      </c>
      <c r="K132" s="1">
        <v>0.03</v>
      </c>
      <c r="L132" s="1">
        <v>1222.2</v>
      </c>
      <c r="M132" s="1" t="str">
        <f t="shared" si="4"/>
        <v>Retail Store</v>
      </c>
      <c r="N132" s="1">
        <f t="shared" si="5"/>
        <v>405</v>
      </c>
    </row>
    <row r="133" spans="1:14" x14ac:dyDescent="0.3">
      <c r="A133" s="1" t="s">
        <v>2157</v>
      </c>
      <c r="B133" s="1">
        <v>46064</v>
      </c>
      <c r="C133" s="1" t="s">
        <v>47</v>
      </c>
      <c r="D133" s="1" t="s">
        <v>35</v>
      </c>
      <c r="E133" s="1" t="s">
        <v>16</v>
      </c>
      <c r="F133" s="1" t="s">
        <v>42</v>
      </c>
      <c r="G133" s="1" t="s">
        <v>65</v>
      </c>
      <c r="H133" s="1" t="s">
        <v>49</v>
      </c>
      <c r="I133" s="1">
        <v>4</v>
      </c>
      <c r="J133" s="1">
        <v>675</v>
      </c>
      <c r="K133" s="1">
        <v>0.03</v>
      </c>
      <c r="L133" s="1">
        <v>2619</v>
      </c>
      <c r="M133" s="1" t="str">
        <f t="shared" si="4"/>
        <v>Retail Store</v>
      </c>
      <c r="N133" s="1">
        <f t="shared" si="5"/>
        <v>421.2</v>
      </c>
    </row>
    <row r="134" spans="1:14" x14ac:dyDescent="0.3">
      <c r="A134" s="1" t="s">
        <v>2158</v>
      </c>
      <c r="B134" s="1">
        <v>46064</v>
      </c>
      <c r="C134" s="1" t="s">
        <v>14</v>
      </c>
      <c r="D134" s="1" t="s">
        <v>15</v>
      </c>
      <c r="E134" s="1" t="s">
        <v>28</v>
      </c>
      <c r="F134" s="1" t="s">
        <v>29</v>
      </c>
      <c r="G134" s="1" t="s">
        <v>55</v>
      </c>
      <c r="H134" s="1" t="s">
        <v>19</v>
      </c>
      <c r="I134" s="1">
        <v>5</v>
      </c>
      <c r="J134" s="1">
        <v>34.200000000000003</v>
      </c>
      <c r="K134" s="1">
        <v>0.1</v>
      </c>
      <c r="L134" s="1">
        <v>153.9</v>
      </c>
      <c r="M134" s="1" t="str">
        <f t="shared" si="4"/>
        <v>Retail Store</v>
      </c>
      <c r="N134" s="1">
        <f t="shared" si="5"/>
        <v>16.2</v>
      </c>
    </row>
    <row r="135" spans="1:14" x14ac:dyDescent="0.3">
      <c r="A135" s="1" t="s">
        <v>2159</v>
      </c>
      <c r="B135" s="1">
        <v>46064</v>
      </c>
      <c r="C135" s="1" t="s">
        <v>21</v>
      </c>
      <c r="D135" s="1" t="s">
        <v>35</v>
      </c>
      <c r="E135" s="1" t="s">
        <v>28</v>
      </c>
      <c r="F135" s="1" t="s">
        <v>23</v>
      </c>
      <c r="G135" s="1" t="s">
        <v>142</v>
      </c>
      <c r="H135" s="1" t="s">
        <v>86</v>
      </c>
      <c r="I135" s="1">
        <v>7</v>
      </c>
      <c r="J135" s="1">
        <v>15.71</v>
      </c>
      <c r="K135" s="1">
        <v>0.05</v>
      </c>
      <c r="L135" s="1">
        <v>104.5</v>
      </c>
      <c r="M135" s="1" t="str">
        <f t="shared" si="4"/>
        <v>Online</v>
      </c>
      <c r="N135" s="1">
        <f t="shared" si="5"/>
        <v>405</v>
      </c>
    </row>
    <row r="136" spans="1:14" x14ac:dyDescent="0.3">
      <c r="A136" s="1" t="s">
        <v>2160</v>
      </c>
      <c r="B136" s="1">
        <v>46064</v>
      </c>
      <c r="C136" s="1" t="s">
        <v>61</v>
      </c>
      <c r="D136" s="1" t="s">
        <v>35</v>
      </c>
      <c r="E136" s="1" t="s">
        <v>16</v>
      </c>
      <c r="F136" s="1" t="s">
        <v>82</v>
      </c>
      <c r="G136" s="1" t="s">
        <v>114</v>
      </c>
      <c r="H136" s="1" t="s">
        <v>112</v>
      </c>
      <c r="I136" s="1">
        <v>2</v>
      </c>
      <c r="J136" s="1">
        <v>2385</v>
      </c>
      <c r="K136" s="1">
        <v>0.05</v>
      </c>
      <c r="L136" s="1">
        <v>4531.5</v>
      </c>
      <c r="M136" s="1" t="str">
        <f t="shared" si="4"/>
        <v>Online</v>
      </c>
      <c r="N136" s="1">
        <f t="shared" si="5"/>
        <v>62.01</v>
      </c>
    </row>
    <row r="137" spans="1:14" x14ac:dyDescent="0.3">
      <c r="A137" s="1" t="s">
        <v>2161</v>
      </c>
      <c r="B137" s="1">
        <v>46064</v>
      </c>
      <c r="C137" s="1" t="s">
        <v>14</v>
      </c>
      <c r="D137" s="1" t="s">
        <v>15</v>
      </c>
      <c r="E137" s="1" t="s">
        <v>16</v>
      </c>
      <c r="F137" s="1" t="s">
        <v>29</v>
      </c>
      <c r="G137" s="1" t="s">
        <v>39</v>
      </c>
      <c r="H137" s="1" t="s">
        <v>19</v>
      </c>
      <c r="I137" s="1">
        <v>2</v>
      </c>
      <c r="J137" s="1">
        <v>72</v>
      </c>
      <c r="K137" s="1">
        <v>0.03</v>
      </c>
      <c r="L137" s="1">
        <v>139.68</v>
      </c>
      <c r="M137" s="1" t="str">
        <f t="shared" si="4"/>
        <v>Retail Store</v>
      </c>
      <c r="N137" s="1">
        <f t="shared" si="5"/>
        <v>16.2</v>
      </c>
    </row>
    <row r="138" spans="1:14" x14ac:dyDescent="0.3">
      <c r="A138" s="1" t="s">
        <v>2162</v>
      </c>
      <c r="B138" s="1">
        <v>46064</v>
      </c>
      <c r="C138" s="1" t="s">
        <v>14</v>
      </c>
      <c r="D138" s="1" t="s">
        <v>15</v>
      </c>
      <c r="E138" s="1" t="s">
        <v>16</v>
      </c>
      <c r="F138" s="1" t="s">
        <v>29</v>
      </c>
      <c r="G138" s="1" t="s">
        <v>88</v>
      </c>
      <c r="H138" s="1" t="s">
        <v>19</v>
      </c>
      <c r="I138" s="1">
        <v>3</v>
      </c>
      <c r="J138" s="1">
        <v>56.75</v>
      </c>
      <c r="K138" s="1">
        <v>0.03</v>
      </c>
      <c r="L138" s="1">
        <v>165.13</v>
      </c>
      <c r="M138" s="1" t="str">
        <f t="shared" si="4"/>
        <v>Retail Store</v>
      </c>
      <c r="N138" s="1">
        <f t="shared" si="5"/>
        <v>16.2</v>
      </c>
    </row>
    <row r="139" spans="1:14" x14ac:dyDescent="0.3">
      <c r="A139" s="1" t="s">
        <v>2150</v>
      </c>
      <c r="B139" s="1">
        <v>46065</v>
      </c>
      <c r="C139" s="1" t="s">
        <v>61</v>
      </c>
      <c r="D139" s="1" t="s">
        <v>35</v>
      </c>
      <c r="E139" s="1" t="s">
        <v>16</v>
      </c>
      <c r="F139" s="1" t="s">
        <v>82</v>
      </c>
      <c r="G139" s="1" t="s">
        <v>96</v>
      </c>
      <c r="H139" s="1" t="s">
        <v>112</v>
      </c>
      <c r="I139" s="1">
        <v>2</v>
      </c>
      <c r="J139" s="1">
        <v>2700</v>
      </c>
      <c r="K139" s="1">
        <v>0.1</v>
      </c>
      <c r="L139" s="1">
        <v>4860</v>
      </c>
      <c r="M139" s="1" t="str">
        <f t="shared" si="4"/>
        <v>Online</v>
      </c>
      <c r="N139" s="1">
        <f t="shared" si="5"/>
        <v>62.01</v>
      </c>
    </row>
    <row r="140" spans="1:14" x14ac:dyDescent="0.3">
      <c r="A140" s="1" t="s">
        <v>2151</v>
      </c>
      <c r="B140" s="1">
        <v>46065</v>
      </c>
      <c r="C140" s="1" t="s">
        <v>54</v>
      </c>
      <c r="D140" s="1" t="s">
        <v>27</v>
      </c>
      <c r="E140" s="1" t="s">
        <v>28</v>
      </c>
      <c r="F140" s="1" t="s">
        <v>36</v>
      </c>
      <c r="G140" s="1" t="s">
        <v>37</v>
      </c>
      <c r="H140" s="1" t="s">
        <v>71</v>
      </c>
      <c r="I140" s="1">
        <v>2</v>
      </c>
      <c r="J140" s="1">
        <v>726.75</v>
      </c>
      <c r="K140" s="1">
        <v>0.08</v>
      </c>
      <c r="L140" s="1">
        <v>1337.22</v>
      </c>
      <c r="M140" s="1" t="str">
        <f t="shared" si="4"/>
        <v>Online</v>
      </c>
      <c r="N140" s="1">
        <f t="shared" si="5"/>
        <v>267.12</v>
      </c>
    </row>
    <row r="141" spans="1:14" x14ac:dyDescent="0.3">
      <c r="A141" s="1" t="s">
        <v>2152</v>
      </c>
      <c r="B141" s="1">
        <v>46065</v>
      </c>
      <c r="C141" s="1" t="s">
        <v>54</v>
      </c>
      <c r="D141" s="1" t="s">
        <v>15</v>
      </c>
      <c r="E141" s="1" t="s">
        <v>16</v>
      </c>
      <c r="F141" s="1" t="s">
        <v>17</v>
      </c>
      <c r="G141" s="1" t="s">
        <v>18</v>
      </c>
      <c r="H141" s="1" t="s">
        <v>56</v>
      </c>
      <c r="I141" s="1">
        <v>7</v>
      </c>
      <c r="J141" s="1">
        <v>81</v>
      </c>
      <c r="K141" s="1">
        <v>0.1</v>
      </c>
      <c r="L141" s="1">
        <v>510.3</v>
      </c>
      <c r="M141" s="1" t="str">
        <f t="shared" si="4"/>
        <v>Online</v>
      </c>
      <c r="N141" s="1">
        <f t="shared" si="5"/>
        <v>267.12</v>
      </c>
    </row>
    <row r="142" spans="1:14" x14ac:dyDescent="0.3">
      <c r="A142" s="1" t="s">
        <v>2153</v>
      </c>
      <c r="B142" s="1">
        <v>46065</v>
      </c>
      <c r="C142" s="1" t="s">
        <v>61</v>
      </c>
      <c r="D142" s="1" t="s">
        <v>15</v>
      </c>
      <c r="E142" s="1" t="s">
        <v>16</v>
      </c>
      <c r="F142" s="1" t="s">
        <v>82</v>
      </c>
      <c r="G142" s="1" t="s">
        <v>150</v>
      </c>
      <c r="H142" s="1" t="s">
        <v>112</v>
      </c>
      <c r="I142" s="1">
        <v>2</v>
      </c>
      <c r="J142" s="1">
        <v>3052.8</v>
      </c>
      <c r="K142" s="1">
        <v>0.08</v>
      </c>
      <c r="L142" s="1">
        <v>5617.15</v>
      </c>
      <c r="M142" s="1" t="str">
        <f t="shared" si="4"/>
        <v>Online</v>
      </c>
      <c r="N142" s="1">
        <f t="shared" si="5"/>
        <v>62.01</v>
      </c>
    </row>
    <row r="143" spans="1:14" x14ac:dyDescent="0.3">
      <c r="A143" s="1" t="s">
        <v>2154</v>
      </c>
      <c r="B143" s="1">
        <v>46065</v>
      </c>
      <c r="C143" s="1" t="s">
        <v>14</v>
      </c>
      <c r="D143" s="1" t="s">
        <v>15</v>
      </c>
      <c r="E143" s="1" t="s">
        <v>16</v>
      </c>
      <c r="F143" s="1" t="s">
        <v>29</v>
      </c>
      <c r="G143" s="1" t="s">
        <v>55</v>
      </c>
      <c r="H143" s="1" t="s">
        <v>19</v>
      </c>
      <c r="I143" s="1">
        <v>7</v>
      </c>
      <c r="J143" s="1">
        <v>32.49</v>
      </c>
      <c r="K143" s="1">
        <v>0.05</v>
      </c>
      <c r="L143" s="1">
        <v>216.06</v>
      </c>
      <c r="M143" s="1" t="str">
        <f t="shared" si="4"/>
        <v>Retail Store</v>
      </c>
      <c r="N143" s="1">
        <f t="shared" si="5"/>
        <v>16.2</v>
      </c>
    </row>
    <row r="144" spans="1:14" x14ac:dyDescent="0.3">
      <c r="A144" s="1" t="s">
        <v>2146</v>
      </c>
      <c r="B144" s="1">
        <v>46082</v>
      </c>
      <c r="C144" s="1" t="s">
        <v>14</v>
      </c>
      <c r="D144" s="1" t="s">
        <v>15</v>
      </c>
      <c r="E144" s="1" t="s">
        <v>16</v>
      </c>
      <c r="F144" s="1" t="s">
        <v>23</v>
      </c>
      <c r="G144" s="1" t="s">
        <v>103</v>
      </c>
      <c r="H144" s="1" t="s">
        <v>40</v>
      </c>
      <c r="I144" s="1">
        <v>7</v>
      </c>
      <c r="J144" s="1">
        <v>10.26</v>
      </c>
      <c r="K144" s="1">
        <v>0.08</v>
      </c>
      <c r="L144" s="1">
        <v>66.069999999999993</v>
      </c>
      <c r="M144" s="1" t="str">
        <f t="shared" si="4"/>
        <v>Online</v>
      </c>
      <c r="N144" s="1">
        <f t="shared" si="5"/>
        <v>16.2</v>
      </c>
    </row>
    <row r="145" spans="1:14" x14ac:dyDescent="0.3">
      <c r="A145" s="1" t="s">
        <v>2147</v>
      </c>
      <c r="B145" s="1">
        <v>46082</v>
      </c>
      <c r="C145" s="1" t="s">
        <v>21</v>
      </c>
      <c r="D145" s="1" t="s">
        <v>15</v>
      </c>
      <c r="E145" s="1" t="s">
        <v>16</v>
      </c>
      <c r="F145" s="1" t="s">
        <v>29</v>
      </c>
      <c r="G145" s="1" t="s">
        <v>33</v>
      </c>
      <c r="H145" s="1" t="s">
        <v>86</v>
      </c>
      <c r="I145" s="1">
        <v>6</v>
      </c>
      <c r="J145" s="1">
        <v>13.1</v>
      </c>
      <c r="K145" s="1">
        <v>0.03</v>
      </c>
      <c r="L145" s="1">
        <v>76.209999999999994</v>
      </c>
      <c r="M145" s="1" t="str">
        <f t="shared" si="4"/>
        <v>Online</v>
      </c>
      <c r="N145" s="1">
        <f t="shared" si="5"/>
        <v>405</v>
      </c>
    </row>
    <row r="146" spans="1:14" x14ac:dyDescent="0.3">
      <c r="A146" s="1" t="s">
        <v>2148</v>
      </c>
      <c r="B146" s="1">
        <v>46082</v>
      </c>
      <c r="C146" s="1" t="s">
        <v>54</v>
      </c>
      <c r="D146" s="1" t="s">
        <v>35</v>
      </c>
      <c r="E146" s="1" t="s">
        <v>16</v>
      </c>
      <c r="F146" s="1" t="s">
        <v>42</v>
      </c>
      <c r="G146" s="1" t="s">
        <v>67</v>
      </c>
      <c r="H146" s="1" t="s">
        <v>80</v>
      </c>
      <c r="I146" s="1">
        <v>9</v>
      </c>
      <c r="J146" s="1">
        <v>252</v>
      </c>
      <c r="K146" s="1">
        <v>0.2</v>
      </c>
      <c r="L146" s="1">
        <v>1814.4</v>
      </c>
      <c r="M146" s="1" t="str">
        <f t="shared" si="4"/>
        <v>Marketplace</v>
      </c>
      <c r="N146" s="1">
        <f t="shared" si="5"/>
        <v>267.12</v>
      </c>
    </row>
    <row r="147" spans="1:14" x14ac:dyDescent="0.3">
      <c r="A147" s="1" t="s">
        <v>2149</v>
      </c>
      <c r="B147" s="1">
        <v>46082</v>
      </c>
      <c r="C147" s="1" t="s">
        <v>47</v>
      </c>
      <c r="D147" s="1" t="s">
        <v>15</v>
      </c>
      <c r="E147" s="1" t="s">
        <v>28</v>
      </c>
      <c r="F147" s="1" t="s">
        <v>23</v>
      </c>
      <c r="G147" s="1" t="s">
        <v>103</v>
      </c>
      <c r="H147" s="1" t="s">
        <v>49</v>
      </c>
      <c r="I147" s="1">
        <v>4</v>
      </c>
      <c r="J147" s="1">
        <v>10.26</v>
      </c>
      <c r="K147" s="1">
        <v>0.03</v>
      </c>
      <c r="L147" s="1">
        <v>39.81</v>
      </c>
      <c r="M147" s="1" t="str">
        <f t="shared" si="4"/>
        <v>Retail Store</v>
      </c>
      <c r="N147" s="1">
        <f t="shared" si="5"/>
        <v>421.2</v>
      </c>
    </row>
    <row r="148" spans="1:14" x14ac:dyDescent="0.3">
      <c r="A148" s="1" t="s">
        <v>2141</v>
      </c>
      <c r="B148" s="1">
        <v>46083</v>
      </c>
      <c r="C148" s="1" t="s">
        <v>54</v>
      </c>
      <c r="D148" s="1" t="s">
        <v>27</v>
      </c>
      <c r="E148" s="1" t="s">
        <v>16</v>
      </c>
      <c r="F148" s="1" t="s">
        <v>23</v>
      </c>
      <c r="G148" s="1" t="s">
        <v>116</v>
      </c>
      <c r="H148" s="1" t="s">
        <v>56</v>
      </c>
      <c r="I148" s="1">
        <v>2</v>
      </c>
      <c r="J148" s="1">
        <v>7.63</v>
      </c>
      <c r="K148" s="1">
        <v>0.08</v>
      </c>
      <c r="L148" s="1">
        <v>14.04</v>
      </c>
      <c r="M148" s="1" t="str">
        <f t="shared" si="4"/>
        <v>Online</v>
      </c>
      <c r="N148" s="1">
        <f t="shared" si="5"/>
        <v>267.12</v>
      </c>
    </row>
    <row r="149" spans="1:14" x14ac:dyDescent="0.3">
      <c r="A149" s="1" t="s">
        <v>2142</v>
      </c>
      <c r="B149" s="1">
        <v>46083</v>
      </c>
      <c r="C149" s="1" t="s">
        <v>21</v>
      </c>
      <c r="D149" s="1" t="s">
        <v>35</v>
      </c>
      <c r="E149" s="1" t="s">
        <v>16</v>
      </c>
      <c r="F149" s="1" t="s">
        <v>17</v>
      </c>
      <c r="G149" s="1" t="s">
        <v>18</v>
      </c>
      <c r="H149" s="1" t="s">
        <v>44</v>
      </c>
      <c r="I149" s="1">
        <v>7</v>
      </c>
      <c r="J149" s="1">
        <v>81</v>
      </c>
      <c r="K149" s="1">
        <v>0.1</v>
      </c>
      <c r="L149" s="1">
        <v>510.3</v>
      </c>
      <c r="M149" s="1" t="str">
        <f t="shared" si="4"/>
        <v>Retail Store</v>
      </c>
      <c r="N149" s="1">
        <f t="shared" si="5"/>
        <v>405</v>
      </c>
    </row>
    <row r="150" spans="1:14" x14ac:dyDescent="0.3">
      <c r="A150" s="1" t="s">
        <v>2143</v>
      </c>
      <c r="B150" s="1">
        <v>46083</v>
      </c>
      <c r="C150" s="1" t="s">
        <v>54</v>
      </c>
      <c r="D150" s="1" t="s">
        <v>22</v>
      </c>
      <c r="E150" s="1" t="s">
        <v>16</v>
      </c>
      <c r="F150" s="1" t="s">
        <v>17</v>
      </c>
      <c r="G150" s="1" t="s">
        <v>189</v>
      </c>
      <c r="H150" s="1" t="s">
        <v>56</v>
      </c>
      <c r="I150" s="1">
        <v>4</v>
      </c>
      <c r="J150" s="1">
        <v>293.76</v>
      </c>
      <c r="K150" s="1">
        <v>0.2</v>
      </c>
      <c r="L150" s="1">
        <v>940.03</v>
      </c>
      <c r="M150" s="1" t="str">
        <f t="shared" si="4"/>
        <v>Online</v>
      </c>
      <c r="N150" s="1">
        <f t="shared" si="5"/>
        <v>267.12</v>
      </c>
    </row>
    <row r="151" spans="1:14" x14ac:dyDescent="0.3">
      <c r="A151" s="1" t="s">
        <v>2144</v>
      </c>
      <c r="B151" s="1">
        <v>46083</v>
      </c>
      <c r="C151" s="1" t="s">
        <v>54</v>
      </c>
      <c r="D151" s="1" t="s">
        <v>15</v>
      </c>
      <c r="E151" s="1" t="s">
        <v>16</v>
      </c>
      <c r="F151" s="1" t="s">
        <v>42</v>
      </c>
      <c r="G151" s="1" t="s">
        <v>67</v>
      </c>
      <c r="H151" s="1" t="s">
        <v>56</v>
      </c>
      <c r="I151" s="1">
        <v>5</v>
      </c>
      <c r="J151" s="1">
        <v>252</v>
      </c>
      <c r="K151" s="1">
        <v>0.2</v>
      </c>
      <c r="L151" s="1">
        <v>1008</v>
      </c>
      <c r="M151" s="1" t="str">
        <f t="shared" si="4"/>
        <v>Online</v>
      </c>
      <c r="N151" s="1">
        <f t="shared" si="5"/>
        <v>267.12</v>
      </c>
    </row>
    <row r="152" spans="1:14" x14ac:dyDescent="0.3">
      <c r="A152" s="1" t="s">
        <v>2145</v>
      </c>
      <c r="B152" s="1">
        <v>46083</v>
      </c>
      <c r="C152" s="1" t="s">
        <v>21</v>
      </c>
      <c r="D152" s="1" t="s">
        <v>15</v>
      </c>
      <c r="E152" s="1" t="s">
        <v>28</v>
      </c>
      <c r="F152" s="1" t="s">
        <v>23</v>
      </c>
      <c r="G152" s="1" t="s">
        <v>178</v>
      </c>
      <c r="H152" s="1" t="s">
        <v>86</v>
      </c>
      <c r="I152" s="1">
        <v>4</v>
      </c>
      <c r="J152" s="1">
        <v>31.5</v>
      </c>
      <c r="K152" s="1">
        <v>0.05</v>
      </c>
      <c r="L152" s="1">
        <v>119.7</v>
      </c>
      <c r="M152" s="1" t="str">
        <f t="shared" si="4"/>
        <v>Online</v>
      </c>
      <c r="N152" s="1">
        <f t="shared" si="5"/>
        <v>405</v>
      </c>
    </row>
    <row r="153" spans="1:14" x14ac:dyDescent="0.3">
      <c r="A153" s="1" t="s">
        <v>2137</v>
      </c>
      <c r="B153" s="1">
        <v>46084</v>
      </c>
      <c r="C153" s="1" t="s">
        <v>21</v>
      </c>
      <c r="D153" s="1" t="s">
        <v>35</v>
      </c>
      <c r="E153" s="1" t="s">
        <v>16</v>
      </c>
      <c r="F153" s="1" t="s">
        <v>82</v>
      </c>
      <c r="G153" s="1" t="s">
        <v>114</v>
      </c>
      <c r="H153" s="1" t="s">
        <v>44</v>
      </c>
      <c r="I153" s="1">
        <v>2</v>
      </c>
      <c r="J153" s="1">
        <v>2250</v>
      </c>
      <c r="K153" s="1">
        <v>0.03</v>
      </c>
      <c r="L153" s="1">
        <v>4365</v>
      </c>
      <c r="M153" s="1" t="str">
        <f t="shared" si="4"/>
        <v>Retail Store</v>
      </c>
      <c r="N153" s="1">
        <f t="shared" si="5"/>
        <v>405</v>
      </c>
    </row>
    <row r="154" spans="1:14" x14ac:dyDescent="0.3">
      <c r="A154" s="1" t="s">
        <v>2138</v>
      </c>
      <c r="B154" s="1">
        <v>46084</v>
      </c>
      <c r="C154" s="1" t="s">
        <v>54</v>
      </c>
      <c r="D154" s="1" t="s">
        <v>22</v>
      </c>
      <c r="E154" s="1" t="s">
        <v>28</v>
      </c>
      <c r="F154" s="1" t="s">
        <v>42</v>
      </c>
      <c r="G154" s="1" t="s">
        <v>65</v>
      </c>
      <c r="H154" s="1" t="s">
        <v>80</v>
      </c>
      <c r="I154" s="1">
        <v>5</v>
      </c>
      <c r="J154" s="1">
        <v>675</v>
      </c>
      <c r="K154" s="1">
        <v>0.05</v>
      </c>
      <c r="L154" s="1">
        <v>3206.25</v>
      </c>
      <c r="M154" s="1" t="str">
        <f t="shared" si="4"/>
        <v>Marketplace</v>
      </c>
      <c r="N154" s="1">
        <f t="shared" si="5"/>
        <v>267.12</v>
      </c>
    </row>
    <row r="155" spans="1:14" x14ac:dyDescent="0.3">
      <c r="A155" s="1" t="s">
        <v>2139</v>
      </c>
      <c r="B155" s="1">
        <v>46084</v>
      </c>
      <c r="C155" s="1" t="s">
        <v>21</v>
      </c>
      <c r="D155" s="1" t="s">
        <v>15</v>
      </c>
      <c r="E155" s="1" t="s">
        <v>28</v>
      </c>
      <c r="F155" s="1" t="s">
        <v>17</v>
      </c>
      <c r="G155" s="1" t="s">
        <v>18</v>
      </c>
      <c r="H155" s="1" t="s">
        <v>25</v>
      </c>
      <c r="I155" s="1">
        <v>2</v>
      </c>
      <c r="J155" s="1">
        <v>78.569999999999993</v>
      </c>
      <c r="K155" s="1">
        <v>0</v>
      </c>
      <c r="L155" s="1">
        <v>157.13999999999999</v>
      </c>
      <c r="M155" s="1" t="str">
        <f t="shared" si="4"/>
        <v>Marketplace</v>
      </c>
      <c r="N155" s="1">
        <f t="shared" si="5"/>
        <v>405</v>
      </c>
    </row>
    <row r="156" spans="1:14" x14ac:dyDescent="0.3">
      <c r="A156" s="1" t="s">
        <v>2140</v>
      </c>
      <c r="B156" s="1">
        <v>46084</v>
      </c>
      <c r="C156" s="1" t="s">
        <v>47</v>
      </c>
      <c r="D156" s="1" t="s">
        <v>27</v>
      </c>
      <c r="E156" s="1" t="s">
        <v>16</v>
      </c>
      <c r="F156" s="1" t="s">
        <v>29</v>
      </c>
      <c r="G156" s="1" t="s">
        <v>39</v>
      </c>
      <c r="H156" s="1" t="s">
        <v>58</v>
      </c>
      <c r="I156" s="1">
        <v>2</v>
      </c>
      <c r="J156" s="1">
        <v>68.400000000000006</v>
      </c>
      <c r="K156" s="1">
        <v>0</v>
      </c>
      <c r="L156" s="1">
        <v>136.80000000000001</v>
      </c>
      <c r="M156" s="1" t="str">
        <f t="shared" si="4"/>
        <v>Corporate Sales</v>
      </c>
      <c r="N156" s="1">
        <f t="shared" si="5"/>
        <v>421.2</v>
      </c>
    </row>
    <row r="157" spans="1:14" x14ac:dyDescent="0.3">
      <c r="A157" s="1" t="s">
        <v>2129</v>
      </c>
      <c r="B157" s="1">
        <v>46085</v>
      </c>
      <c r="C157" s="1" t="s">
        <v>14</v>
      </c>
      <c r="D157" s="1" t="s">
        <v>15</v>
      </c>
      <c r="E157" s="1" t="s">
        <v>16</v>
      </c>
      <c r="F157" s="1" t="s">
        <v>36</v>
      </c>
      <c r="G157" s="1" t="s">
        <v>77</v>
      </c>
      <c r="H157" s="1" t="s">
        <v>40</v>
      </c>
      <c r="I157" s="1">
        <v>3</v>
      </c>
      <c r="J157" s="1">
        <v>1309.5</v>
      </c>
      <c r="K157" s="1">
        <v>0.05</v>
      </c>
      <c r="L157" s="1">
        <v>3732.08</v>
      </c>
      <c r="M157" s="1" t="str">
        <f t="shared" si="4"/>
        <v>Online</v>
      </c>
      <c r="N157" s="1">
        <f t="shared" si="5"/>
        <v>16.2</v>
      </c>
    </row>
    <row r="158" spans="1:14" x14ac:dyDescent="0.3">
      <c r="A158" s="1" t="s">
        <v>2130</v>
      </c>
      <c r="B158" s="1">
        <v>46085</v>
      </c>
      <c r="C158" s="1" t="s">
        <v>54</v>
      </c>
      <c r="D158" s="1" t="s">
        <v>22</v>
      </c>
      <c r="E158" s="1" t="s">
        <v>16</v>
      </c>
      <c r="F158" s="1" t="s">
        <v>17</v>
      </c>
      <c r="G158" s="1" t="s">
        <v>189</v>
      </c>
      <c r="H158" s="1" t="s">
        <v>71</v>
      </c>
      <c r="I158" s="1">
        <v>2</v>
      </c>
      <c r="J158" s="1">
        <v>293.76</v>
      </c>
      <c r="K158" s="1">
        <v>0.03</v>
      </c>
      <c r="L158" s="1">
        <v>569.89</v>
      </c>
      <c r="M158" s="1" t="str">
        <f t="shared" si="4"/>
        <v>Online</v>
      </c>
      <c r="N158" s="1">
        <f t="shared" si="5"/>
        <v>267.12</v>
      </c>
    </row>
    <row r="159" spans="1:14" x14ac:dyDescent="0.3">
      <c r="A159" s="1" t="s">
        <v>2131</v>
      </c>
      <c r="B159" s="1">
        <v>46085</v>
      </c>
      <c r="C159" s="1" t="s">
        <v>61</v>
      </c>
      <c r="D159" s="1" t="s">
        <v>15</v>
      </c>
      <c r="E159" s="1" t="s">
        <v>16</v>
      </c>
      <c r="F159" s="1" t="s">
        <v>82</v>
      </c>
      <c r="G159" s="1" t="s">
        <v>96</v>
      </c>
      <c r="H159" s="1" t="s">
        <v>73</v>
      </c>
      <c r="I159" s="1">
        <v>4</v>
      </c>
      <c r="J159" s="1">
        <v>2754</v>
      </c>
      <c r="K159" s="1">
        <v>0</v>
      </c>
      <c r="L159" s="1">
        <v>11016</v>
      </c>
      <c r="M159" s="1" t="str">
        <f t="shared" si="4"/>
        <v>Online</v>
      </c>
      <c r="N159" s="1">
        <f t="shared" si="5"/>
        <v>62.01</v>
      </c>
    </row>
    <row r="160" spans="1:14" x14ac:dyDescent="0.3">
      <c r="A160" s="1" t="s">
        <v>2132</v>
      </c>
      <c r="B160" s="1">
        <v>46085</v>
      </c>
      <c r="C160" s="1" t="s">
        <v>21</v>
      </c>
      <c r="D160" s="1" t="s">
        <v>22</v>
      </c>
      <c r="E160" s="1" t="s">
        <v>16</v>
      </c>
      <c r="F160" s="1" t="s">
        <v>36</v>
      </c>
      <c r="G160" s="1" t="s">
        <v>77</v>
      </c>
      <c r="H160" s="1" t="s">
        <v>86</v>
      </c>
      <c r="I160" s="1">
        <v>2</v>
      </c>
      <c r="J160" s="1">
        <v>1282.5</v>
      </c>
      <c r="K160" s="1">
        <v>0.08</v>
      </c>
      <c r="L160" s="1">
        <v>2359.8000000000002</v>
      </c>
      <c r="M160" s="1" t="str">
        <f t="shared" si="4"/>
        <v>Online</v>
      </c>
      <c r="N160" s="1">
        <f t="shared" si="5"/>
        <v>405</v>
      </c>
    </row>
    <row r="161" spans="1:14" x14ac:dyDescent="0.3">
      <c r="A161" s="1" t="s">
        <v>2133</v>
      </c>
      <c r="B161" s="1">
        <v>46085</v>
      </c>
      <c r="C161" s="1" t="s">
        <v>21</v>
      </c>
      <c r="D161" s="1" t="s">
        <v>35</v>
      </c>
      <c r="E161" s="1" t="s">
        <v>16</v>
      </c>
      <c r="F161" s="1" t="s">
        <v>36</v>
      </c>
      <c r="G161" s="1" t="s">
        <v>77</v>
      </c>
      <c r="H161" s="1" t="s">
        <v>86</v>
      </c>
      <c r="I161" s="1">
        <v>4</v>
      </c>
      <c r="J161" s="1">
        <v>1350</v>
      </c>
      <c r="K161" s="1">
        <v>0</v>
      </c>
      <c r="L161" s="1">
        <v>5400</v>
      </c>
      <c r="M161" s="1" t="str">
        <f t="shared" si="4"/>
        <v>Online</v>
      </c>
      <c r="N161" s="1">
        <f t="shared" si="5"/>
        <v>405</v>
      </c>
    </row>
    <row r="162" spans="1:14" x14ac:dyDescent="0.3">
      <c r="A162" s="1" t="s">
        <v>2134</v>
      </c>
      <c r="B162" s="1">
        <v>46085</v>
      </c>
      <c r="C162" s="1" t="s">
        <v>54</v>
      </c>
      <c r="D162" s="1" t="s">
        <v>15</v>
      </c>
      <c r="E162" s="1" t="s">
        <v>16</v>
      </c>
      <c r="F162" s="1" t="s">
        <v>17</v>
      </c>
      <c r="G162" s="1" t="s">
        <v>98</v>
      </c>
      <c r="H162" s="1" t="s">
        <v>71</v>
      </c>
      <c r="I162" s="1">
        <v>5</v>
      </c>
      <c r="J162" s="1">
        <v>405</v>
      </c>
      <c r="K162" s="1">
        <v>0.05</v>
      </c>
      <c r="L162" s="1">
        <v>1923.75</v>
      </c>
      <c r="M162" s="1" t="str">
        <f t="shared" si="4"/>
        <v>Online</v>
      </c>
      <c r="N162" s="1">
        <f t="shared" si="5"/>
        <v>267.12</v>
      </c>
    </row>
    <row r="163" spans="1:14" x14ac:dyDescent="0.3">
      <c r="A163" s="1" t="s">
        <v>2135</v>
      </c>
      <c r="B163" s="1">
        <v>46085</v>
      </c>
      <c r="C163" s="1" t="s">
        <v>54</v>
      </c>
      <c r="D163" s="1" t="s">
        <v>22</v>
      </c>
      <c r="E163" s="1" t="s">
        <v>16</v>
      </c>
      <c r="F163" s="1" t="s">
        <v>29</v>
      </c>
      <c r="G163" s="1" t="s">
        <v>55</v>
      </c>
      <c r="H163" s="1" t="s">
        <v>80</v>
      </c>
      <c r="I163" s="1">
        <v>2</v>
      </c>
      <c r="J163" s="1">
        <v>34.200000000000003</v>
      </c>
      <c r="K163" s="1">
        <v>0</v>
      </c>
      <c r="L163" s="1">
        <v>68.400000000000006</v>
      </c>
      <c r="M163" s="1" t="str">
        <f t="shared" si="4"/>
        <v>Marketplace</v>
      </c>
      <c r="N163" s="1">
        <f t="shared" si="5"/>
        <v>267.12</v>
      </c>
    </row>
    <row r="164" spans="1:14" x14ac:dyDescent="0.3">
      <c r="A164" s="1" t="s">
        <v>2136</v>
      </c>
      <c r="B164" s="1">
        <v>46085</v>
      </c>
      <c r="C164" s="1" t="s">
        <v>14</v>
      </c>
      <c r="D164" s="1" t="s">
        <v>15</v>
      </c>
      <c r="E164" s="1" t="s">
        <v>16</v>
      </c>
      <c r="F164" s="1" t="s">
        <v>23</v>
      </c>
      <c r="G164" s="1" t="s">
        <v>116</v>
      </c>
      <c r="H164" s="1" t="s">
        <v>19</v>
      </c>
      <c r="I164" s="1">
        <v>9</v>
      </c>
      <c r="J164" s="1">
        <v>6.84</v>
      </c>
      <c r="K164" s="1">
        <v>0</v>
      </c>
      <c r="L164" s="1">
        <v>61.56</v>
      </c>
      <c r="M164" s="1" t="str">
        <f t="shared" si="4"/>
        <v>Retail Store</v>
      </c>
      <c r="N164" s="1">
        <f t="shared" si="5"/>
        <v>16.2</v>
      </c>
    </row>
    <row r="165" spans="1:14" x14ac:dyDescent="0.3">
      <c r="A165" s="1" t="s">
        <v>2124</v>
      </c>
      <c r="B165" s="1">
        <v>46086</v>
      </c>
      <c r="C165" s="1" t="s">
        <v>54</v>
      </c>
      <c r="D165" s="1" t="s">
        <v>15</v>
      </c>
      <c r="E165" s="1" t="s">
        <v>28</v>
      </c>
      <c r="F165" s="1" t="s">
        <v>29</v>
      </c>
      <c r="G165" s="1" t="s">
        <v>51</v>
      </c>
      <c r="H165" s="1" t="s">
        <v>56</v>
      </c>
      <c r="I165" s="1">
        <v>5</v>
      </c>
      <c r="J165" s="1">
        <v>40.5</v>
      </c>
      <c r="K165" s="1">
        <v>0.15</v>
      </c>
      <c r="L165" s="1">
        <v>172.13</v>
      </c>
      <c r="M165" s="1" t="str">
        <f t="shared" si="4"/>
        <v>Online</v>
      </c>
      <c r="N165" s="1">
        <f t="shared" si="5"/>
        <v>267.12</v>
      </c>
    </row>
    <row r="166" spans="1:14" x14ac:dyDescent="0.3">
      <c r="A166" s="1" t="s">
        <v>2125</v>
      </c>
      <c r="B166" s="1">
        <v>46086</v>
      </c>
      <c r="C166" s="1" t="s">
        <v>54</v>
      </c>
      <c r="D166" s="1" t="s">
        <v>27</v>
      </c>
      <c r="E166" s="1" t="s">
        <v>16</v>
      </c>
      <c r="F166" s="1" t="s">
        <v>42</v>
      </c>
      <c r="G166" s="1" t="s">
        <v>67</v>
      </c>
      <c r="H166" s="1" t="s">
        <v>56</v>
      </c>
      <c r="I166" s="1">
        <v>3</v>
      </c>
      <c r="J166" s="1">
        <v>239.4</v>
      </c>
      <c r="K166" s="1">
        <v>0.05</v>
      </c>
      <c r="L166" s="1">
        <v>682.29</v>
      </c>
      <c r="M166" s="1" t="str">
        <f t="shared" si="4"/>
        <v>Online</v>
      </c>
      <c r="N166" s="1">
        <f t="shared" si="5"/>
        <v>267.12</v>
      </c>
    </row>
    <row r="167" spans="1:14" x14ac:dyDescent="0.3">
      <c r="A167" s="1" t="s">
        <v>2126</v>
      </c>
      <c r="B167" s="1">
        <v>46086</v>
      </c>
      <c r="C167" s="1" t="s">
        <v>21</v>
      </c>
      <c r="D167" s="1" t="s">
        <v>22</v>
      </c>
      <c r="E167" s="1" t="s">
        <v>28</v>
      </c>
      <c r="F167" s="1" t="s">
        <v>29</v>
      </c>
      <c r="G167" s="1" t="s">
        <v>88</v>
      </c>
      <c r="H167" s="1" t="s">
        <v>86</v>
      </c>
      <c r="I167" s="1">
        <v>6</v>
      </c>
      <c r="J167" s="1">
        <v>58.5</v>
      </c>
      <c r="K167" s="1">
        <v>0.05</v>
      </c>
      <c r="L167" s="1">
        <v>333.45</v>
      </c>
      <c r="M167" s="1" t="str">
        <f t="shared" si="4"/>
        <v>Online</v>
      </c>
      <c r="N167" s="1">
        <f t="shared" si="5"/>
        <v>405</v>
      </c>
    </row>
    <row r="168" spans="1:14" x14ac:dyDescent="0.3">
      <c r="A168" s="1" t="s">
        <v>2127</v>
      </c>
      <c r="B168" s="1">
        <v>46086</v>
      </c>
      <c r="C168" s="1" t="s">
        <v>61</v>
      </c>
      <c r="D168" s="1" t="s">
        <v>15</v>
      </c>
      <c r="E168" s="1" t="s">
        <v>16</v>
      </c>
      <c r="F168" s="1" t="s">
        <v>36</v>
      </c>
      <c r="G168" s="1" t="s">
        <v>70</v>
      </c>
      <c r="H168" s="1" t="s">
        <v>112</v>
      </c>
      <c r="I168" s="1">
        <v>2</v>
      </c>
      <c r="J168" s="1">
        <v>506.34</v>
      </c>
      <c r="K168" s="1">
        <v>0.08</v>
      </c>
      <c r="L168" s="1">
        <v>931.67</v>
      </c>
      <c r="M168" s="1" t="str">
        <f t="shared" si="4"/>
        <v>Online</v>
      </c>
      <c r="N168" s="1">
        <f t="shared" si="5"/>
        <v>62.01</v>
      </c>
    </row>
    <row r="169" spans="1:14" x14ac:dyDescent="0.3">
      <c r="A169" s="1" t="s">
        <v>2128</v>
      </c>
      <c r="B169" s="1">
        <v>46086</v>
      </c>
      <c r="C169" s="1" t="s">
        <v>61</v>
      </c>
      <c r="D169" s="1" t="s">
        <v>27</v>
      </c>
      <c r="E169" s="1" t="s">
        <v>16</v>
      </c>
      <c r="F169" s="1" t="s">
        <v>23</v>
      </c>
      <c r="G169" s="1" t="s">
        <v>142</v>
      </c>
      <c r="H169" s="1" t="s">
        <v>63</v>
      </c>
      <c r="I169" s="1">
        <v>2</v>
      </c>
      <c r="J169" s="1">
        <v>16.850000000000001</v>
      </c>
      <c r="K169" s="1">
        <v>0.05</v>
      </c>
      <c r="L169" s="1">
        <v>32.01</v>
      </c>
      <c r="M169" s="1" t="str">
        <f t="shared" si="4"/>
        <v>Retail Store</v>
      </c>
      <c r="N169" s="1">
        <f t="shared" si="5"/>
        <v>62.01</v>
      </c>
    </row>
    <row r="170" spans="1:14" x14ac:dyDescent="0.3">
      <c r="A170" s="1" t="s">
        <v>2115</v>
      </c>
      <c r="B170" s="1">
        <v>46087</v>
      </c>
      <c r="C170" s="1" t="s">
        <v>21</v>
      </c>
      <c r="D170" s="1" t="s">
        <v>15</v>
      </c>
      <c r="E170" s="1" t="s">
        <v>16</v>
      </c>
      <c r="F170" s="1" t="s">
        <v>17</v>
      </c>
      <c r="G170" s="1" t="s">
        <v>18</v>
      </c>
      <c r="H170" s="1" t="s">
        <v>44</v>
      </c>
      <c r="I170" s="1">
        <v>5</v>
      </c>
      <c r="J170" s="1">
        <v>81</v>
      </c>
      <c r="K170" s="1">
        <v>0.1</v>
      </c>
      <c r="L170" s="1">
        <v>364.5</v>
      </c>
      <c r="M170" s="1" t="str">
        <f t="shared" si="4"/>
        <v>Retail Store</v>
      </c>
      <c r="N170" s="1">
        <f t="shared" si="5"/>
        <v>405</v>
      </c>
    </row>
    <row r="171" spans="1:14" x14ac:dyDescent="0.3">
      <c r="A171" s="1" t="s">
        <v>2116</v>
      </c>
      <c r="B171" s="1">
        <v>46087</v>
      </c>
      <c r="C171" s="1" t="s">
        <v>14</v>
      </c>
      <c r="D171" s="1" t="s">
        <v>27</v>
      </c>
      <c r="E171" s="1" t="s">
        <v>28</v>
      </c>
      <c r="F171" s="1" t="s">
        <v>17</v>
      </c>
      <c r="G171" s="1" t="s">
        <v>98</v>
      </c>
      <c r="H171" s="1" t="s">
        <v>19</v>
      </c>
      <c r="I171" s="1">
        <v>4</v>
      </c>
      <c r="J171" s="1">
        <v>405</v>
      </c>
      <c r="K171" s="1">
        <v>0.2</v>
      </c>
      <c r="L171" s="1">
        <v>1296</v>
      </c>
      <c r="M171" s="1" t="str">
        <f t="shared" si="4"/>
        <v>Retail Store</v>
      </c>
      <c r="N171" s="1">
        <f t="shared" si="5"/>
        <v>16.2</v>
      </c>
    </row>
    <row r="172" spans="1:14" x14ac:dyDescent="0.3">
      <c r="A172" s="1" t="s">
        <v>2117</v>
      </c>
      <c r="B172" s="1">
        <v>46087</v>
      </c>
      <c r="C172" s="1" t="s">
        <v>14</v>
      </c>
      <c r="D172" s="1" t="s">
        <v>15</v>
      </c>
      <c r="E172" s="1" t="s">
        <v>16</v>
      </c>
      <c r="F172" s="1" t="s">
        <v>23</v>
      </c>
      <c r="G172" s="1" t="s">
        <v>178</v>
      </c>
      <c r="H172" s="1" t="s">
        <v>40</v>
      </c>
      <c r="I172" s="1">
        <v>6</v>
      </c>
      <c r="J172" s="1">
        <v>31.5</v>
      </c>
      <c r="K172" s="1">
        <v>0.08</v>
      </c>
      <c r="L172" s="1">
        <v>173.88</v>
      </c>
      <c r="M172" s="1" t="str">
        <f t="shared" si="4"/>
        <v>Online</v>
      </c>
      <c r="N172" s="1">
        <f t="shared" si="5"/>
        <v>16.2</v>
      </c>
    </row>
    <row r="173" spans="1:14" x14ac:dyDescent="0.3">
      <c r="A173" s="1" t="s">
        <v>2118</v>
      </c>
      <c r="B173" s="1">
        <v>46087</v>
      </c>
      <c r="C173" s="1" t="s">
        <v>14</v>
      </c>
      <c r="D173" s="1" t="s">
        <v>35</v>
      </c>
      <c r="E173" s="1" t="s">
        <v>16</v>
      </c>
      <c r="F173" s="1" t="s">
        <v>42</v>
      </c>
      <c r="G173" s="1" t="s">
        <v>67</v>
      </c>
      <c r="H173" s="1" t="s">
        <v>19</v>
      </c>
      <c r="I173" s="1">
        <v>10</v>
      </c>
      <c r="J173" s="1">
        <v>252</v>
      </c>
      <c r="K173" s="1">
        <v>0.1</v>
      </c>
      <c r="L173" s="1">
        <v>2268</v>
      </c>
      <c r="M173" s="1" t="str">
        <f t="shared" si="4"/>
        <v>Retail Store</v>
      </c>
      <c r="N173" s="1">
        <f t="shared" si="5"/>
        <v>16.2</v>
      </c>
    </row>
    <row r="174" spans="1:14" x14ac:dyDescent="0.3">
      <c r="A174" s="1" t="s">
        <v>2119</v>
      </c>
      <c r="B174" s="1">
        <v>46087</v>
      </c>
      <c r="C174" s="1" t="s">
        <v>21</v>
      </c>
      <c r="D174" s="1" t="s">
        <v>15</v>
      </c>
      <c r="E174" s="1" t="s">
        <v>16</v>
      </c>
      <c r="F174" s="1" t="s">
        <v>23</v>
      </c>
      <c r="G174" s="1" t="s">
        <v>178</v>
      </c>
      <c r="H174" s="1" t="s">
        <v>86</v>
      </c>
      <c r="I174" s="1">
        <v>2</v>
      </c>
      <c r="J174" s="1">
        <v>31.5</v>
      </c>
      <c r="K174" s="1">
        <v>0.05</v>
      </c>
      <c r="L174" s="1">
        <v>59.85</v>
      </c>
      <c r="M174" s="1" t="str">
        <f t="shared" si="4"/>
        <v>Online</v>
      </c>
      <c r="N174" s="1">
        <f t="shared" si="5"/>
        <v>405</v>
      </c>
    </row>
    <row r="175" spans="1:14" x14ac:dyDescent="0.3">
      <c r="A175" s="1" t="s">
        <v>2120</v>
      </c>
      <c r="B175" s="1">
        <v>46087</v>
      </c>
      <c r="C175" s="1" t="s">
        <v>54</v>
      </c>
      <c r="D175" s="1" t="s">
        <v>27</v>
      </c>
      <c r="E175" s="1" t="s">
        <v>28</v>
      </c>
      <c r="F175" s="1" t="s">
        <v>36</v>
      </c>
      <c r="G175" s="1" t="s">
        <v>70</v>
      </c>
      <c r="H175" s="1" t="s">
        <v>80</v>
      </c>
      <c r="I175" s="1">
        <v>3</v>
      </c>
      <c r="J175" s="1">
        <v>532.44000000000005</v>
      </c>
      <c r="K175" s="1">
        <v>0.1</v>
      </c>
      <c r="L175" s="1">
        <v>1437.59</v>
      </c>
      <c r="M175" s="1" t="str">
        <f t="shared" si="4"/>
        <v>Marketplace</v>
      </c>
      <c r="N175" s="1">
        <f t="shared" si="5"/>
        <v>267.12</v>
      </c>
    </row>
    <row r="176" spans="1:14" x14ac:dyDescent="0.3">
      <c r="A176" s="1" t="s">
        <v>2121</v>
      </c>
      <c r="B176" s="1">
        <v>46087</v>
      </c>
      <c r="C176" s="1" t="s">
        <v>21</v>
      </c>
      <c r="D176" s="1" t="s">
        <v>22</v>
      </c>
      <c r="E176" s="1" t="s">
        <v>28</v>
      </c>
      <c r="F176" s="1" t="s">
        <v>23</v>
      </c>
      <c r="G176" s="1" t="s">
        <v>178</v>
      </c>
      <c r="H176" s="1" t="s">
        <v>44</v>
      </c>
      <c r="I176" s="1">
        <v>6</v>
      </c>
      <c r="J176" s="1">
        <v>32.76</v>
      </c>
      <c r="K176" s="1">
        <v>0.1</v>
      </c>
      <c r="L176" s="1">
        <v>176.9</v>
      </c>
      <c r="M176" s="1" t="str">
        <f t="shared" si="4"/>
        <v>Retail Store</v>
      </c>
      <c r="N176" s="1">
        <f t="shared" si="5"/>
        <v>405</v>
      </c>
    </row>
    <row r="177" spans="1:14" x14ac:dyDescent="0.3">
      <c r="A177" s="1" t="s">
        <v>2122</v>
      </c>
      <c r="B177" s="1">
        <v>46087</v>
      </c>
      <c r="C177" s="1" t="s">
        <v>14</v>
      </c>
      <c r="D177" s="1" t="s">
        <v>27</v>
      </c>
      <c r="E177" s="1" t="s">
        <v>16</v>
      </c>
      <c r="F177" s="1" t="s">
        <v>17</v>
      </c>
      <c r="G177" s="1" t="s">
        <v>189</v>
      </c>
      <c r="H177" s="1" t="s">
        <v>19</v>
      </c>
      <c r="I177" s="1">
        <v>2</v>
      </c>
      <c r="J177" s="1">
        <v>279.36</v>
      </c>
      <c r="K177" s="1">
        <v>0.05</v>
      </c>
      <c r="L177" s="1">
        <v>530.78</v>
      </c>
      <c r="M177" s="1" t="str">
        <f t="shared" si="4"/>
        <v>Retail Store</v>
      </c>
      <c r="N177" s="1">
        <f t="shared" si="5"/>
        <v>16.2</v>
      </c>
    </row>
    <row r="178" spans="1:14" x14ac:dyDescent="0.3">
      <c r="A178" s="1" t="s">
        <v>2123</v>
      </c>
      <c r="B178" s="1">
        <v>46087</v>
      </c>
      <c r="C178" s="1" t="s">
        <v>21</v>
      </c>
      <c r="D178" s="1" t="s">
        <v>35</v>
      </c>
      <c r="E178" s="1" t="s">
        <v>16</v>
      </c>
      <c r="F178" s="1" t="s">
        <v>36</v>
      </c>
      <c r="G178" s="1" t="s">
        <v>70</v>
      </c>
      <c r="H178" s="1" t="s">
        <v>86</v>
      </c>
      <c r="I178" s="1">
        <v>2</v>
      </c>
      <c r="J178" s="1">
        <v>522</v>
      </c>
      <c r="K178" s="1">
        <v>0.1</v>
      </c>
      <c r="L178" s="1">
        <v>939.6</v>
      </c>
      <c r="M178" s="1" t="str">
        <f t="shared" si="4"/>
        <v>Online</v>
      </c>
      <c r="N178" s="1">
        <f t="shared" si="5"/>
        <v>405</v>
      </c>
    </row>
    <row r="179" spans="1:14" x14ac:dyDescent="0.3">
      <c r="A179" s="1" t="s">
        <v>2112</v>
      </c>
      <c r="B179" s="1">
        <v>46088</v>
      </c>
      <c r="C179" s="1" t="s">
        <v>47</v>
      </c>
      <c r="D179" s="1" t="s">
        <v>35</v>
      </c>
      <c r="E179" s="1" t="s">
        <v>16</v>
      </c>
      <c r="F179" s="1" t="s">
        <v>42</v>
      </c>
      <c r="G179" s="1" t="s">
        <v>65</v>
      </c>
      <c r="H179" s="1" t="s">
        <v>49</v>
      </c>
      <c r="I179" s="1">
        <v>4</v>
      </c>
      <c r="J179" s="1">
        <v>675</v>
      </c>
      <c r="K179" s="1">
        <v>0.03</v>
      </c>
      <c r="L179" s="1">
        <v>2619</v>
      </c>
      <c r="M179" s="1" t="str">
        <f t="shared" si="4"/>
        <v>Retail Store</v>
      </c>
      <c r="N179" s="1">
        <f t="shared" si="5"/>
        <v>421.2</v>
      </c>
    </row>
    <row r="180" spans="1:14" x14ac:dyDescent="0.3">
      <c r="A180" s="1" t="s">
        <v>2113</v>
      </c>
      <c r="B180" s="1">
        <v>46088</v>
      </c>
      <c r="C180" s="1" t="s">
        <v>61</v>
      </c>
      <c r="D180" s="1" t="s">
        <v>27</v>
      </c>
      <c r="E180" s="1" t="s">
        <v>28</v>
      </c>
      <c r="F180" s="1" t="s">
        <v>29</v>
      </c>
      <c r="G180" s="1" t="s">
        <v>33</v>
      </c>
      <c r="H180" s="1" t="s">
        <v>63</v>
      </c>
      <c r="I180" s="1">
        <v>5</v>
      </c>
      <c r="J180" s="1">
        <v>13.5</v>
      </c>
      <c r="K180" s="1">
        <v>0</v>
      </c>
      <c r="L180" s="1">
        <v>67.5</v>
      </c>
      <c r="M180" s="1" t="str">
        <f t="shared" si="4"/>
        <v>Retail Store</v>
      </c>
      <c r="N180" s="1">
        <f t="shared" si="5"/>
        <v>62.01</v>
      </c>
    </row>
    <row r="181" spans="1:14" x14ac:dyDescent="0.3">
      <c r="A181" s="1" t="s">
        <v>2114</v>
      </c>
      <c r="B181" s="1">
        <v>46088</v>
      </c>
      <c r="C181" s="1" t="s">
        <v>14</v>
      </c>
      <c r="D181" s="1" t="s">
        <v>15</v>
      </c>
      <c r="E181" s="1" t="s">
        <v>16</v>
      </c>
      <c r="F181" s="1" t="s">
        <v>42</v>
      </c>
      <c r="G181" s="1" t="s">
        <v>67</v>
      </c>
      <c r="H181" s="1" t="s">
        <v>31</v>
      </c>
      <c r="I181" s="1">
        <v>4</v>
      </c>
      <c r="J181" s="1">
        <v>244.44</v>
      </c>
      <c r="K181" s="1">
        <v>0</v>
      </c>
      <c r="L181" s="1">
        <v>977.76</v>
      </c>
      <c r="M181" s="1" t="str">
        <f t="shared" si="4"/>
        <v>Online</v>
      </c>
      <c r="N181" s="1">
        <f t="shared" si="5"/>
        <v>16.2</v>
      </c>
    </row>
    <row r="182" spans="1:14" x14ac:dyDescent="0.3">
      <c r="A182" s="1" t="s">
        <v>2106</v>
      </c>
      <c r="B182" s="1">
        <v>46089</v>
      </c>
      <c r="C182" s="1" t="s">
        <v>14</v>
      </c>
      <c r="D182" s="1" t="s">
        <v>15</v>
      </c>
      <c r="E182" s="1" t="s">
        <v>16</v>
      </c>
      <c r="F182" s="1" t="s">
        <v>29</v>
      </c>
      <c r="G182" s="1" t="s">
        <v>30</v>
      </c>
      <c r="H182" s="1" t="s">
        <v>19</v>
      </c>
      <c r="I182" s="1">
        <v>8</v>
      </c>
      <c r="J182" s="1">
        <v>48.02</v>
      </c>
      <c r="K182" s="1">
        <v>0.08</v>
      </c>
      <c r="L182" s="1">
        <v>353.39</v>
      </c>
      <c r="M182" s="1" t="str">
        <f t="shared" si="4"/>
        <v>Retail Store</v>
      </c>
      <c r="N182" s="1">
        <f t="shared" si="5"/>
        <v>16.2</v>
      </c>
    </row>
    <row r="183" spans="1:14" x14ac:dyDescent="0.3">
      <c r="A183" s="1" t="s">
        <v>2107</v>
      </c>
      <c r="B183" s="1">
        <v>46089</v>
      </c>
      <c r="C183" s="1" t="s">
        <v>47</v>
      </c>
      <c r="D183" s="1" t="s">
        <v>27</v>
      </c>
      <c r="E183" s="1" t="s">
        <v>16</v>
      </c>
      <c r="F183" s="1" t="s">
        <v>23</v>
      </c>
      <c r="G183" s="1" t="s">
        <v>142</v>
      </c>
      <c r="H183" s="1" t="s">
        <v>49</v>
      </c>
      <c r="I183" s="1">
        <v>3</v>
      </c>
      <c r="J183" s="1">
        <v>16.2</v>
      </c>
      <c r="K183" s="1">
        <v>0.05</v>
      </c>
      <c r="L183" s="1">
        <v>46.17</v>
      </c>
      <c r="M183" s="1" t="str">
        <f t="shared" si="4"/>
        <v>Retail Store</v>
      </c>
      <c r="N183" s="1">
        <f t="shared" si="5"/>
        <v>421.2</v>
      </c>
    </row>
    <row r="184" spans="1:14" x14ac:dyDescent="0.3">
      <c r="A184" s="1" t="s">
        <v>2108</v>
      </c>
      <c r="B184" s="1">
        <v>46089</v>
      </c>
      <c r="C184" s="1" t="s">
        <v>54</v>
      </c>
      <c r="D184" s="1" t="s">
        <v>27</v>
      </c>
      <c r="E184" s="1" t="s">
        <v>28</v>
      </c>
      <c r="F184" s="1" t="s">
        <v>29</v>
      </c>
      <c r="G184" s="1" t="s">
        <v>39</v>
      </c>
      <c r="H184" s="1" t="s">
        <v>71</v>
      </c>
      <c r="I184" s="1">
        <v>6</v>
      </c>
      <c r="J184" s="1">
        <v>74.88</v>
      </c>
      <c r="K184" s="1">
        <v>0.05</v>
      </c>
      <c r="L184" s="1">
        <v>426.82</v>
      </c>
      <c r="M184" s="1" t="str">
        <f t="shared" si="4"/>
        <v>Online</v>
      </c>
      <c r="N184" s="1">
        <f t="shared" si="5"/>
        <v>267.12</v>
      </c>
    </row>
    <row r="185" spans="1:14" x14ac:dyDescent="0.3">
      <c r="A185" s="1" t="s">
        <v>2109</v>
      </c>
      <c r="B185" s="1">
        <v>46089</v>
      </c>
      <c r="C185" s="1" t="s">
        <v>21</v>
      </c>
      <c r="D185" s="1" t="s">
        <v>22</v>
      </c>
      <c r="E185" s="1" t="s">
        <v>16</v>
      </c>
      <c r="F185" s="1" t="s">
        <v>36</v>
      </c>
      <c r="G185" s="1" t="s">
        <v>70</v>
      </c>
      <c r="H185" s="1" t="s">
        <v>44</v>
      </c>
      <c r="I185" s="1">
        <v>2</v>
      </c>
      <c r="J185" s="1">
        <v>542.88</v>
      </c>
      <c r="K185" s="1">
        <v>0.03</v>
      </c>
      <c r="L185" s="1">
        <v>1053.19</v>
      </c>
      <c r="M185" s="1" t="str">
        <f t="shared" si="4"/>
        <v>Retail Store</v>
      </c>
      <c r="N185" s="1">
        <f t="shared" si="5"/>
        <v>405</v>
      </c>
    </row>
    <row r="186" spans="1:14" x14ac:dyDescent="0.3">
      <c r="A186" s="1" t="s">
        <v>2110</v>
      </c>
      <c r="B186" s="1">
        <v>46089</v>
      </c>
      <c r="C186" s="1" t="s">
        <v>21</v>
      </c>
      <c r="D186" s="1" t="s">
        <v>15</v>
      </c>
      <c r="E186" s="1" t="s">
        <v>16</v>
      </c>
      <c r="F186" s="1" t="s">
        <v>29</v>
      </c>
      <c r="G186" s="1" t="s">
        <v>88</v>
      </c>
      <c r="H186" s="1" t="s">
        <v>25</v>
      </c>
      <c r="I186" s="1">
        <v>2</v>
      </c>
      <c r="J186" s="1">
        <v>58.5</v>
      </c>
      <c r="K186" s="1">
        <v>0.03</v>
      </c>
      <c r="L186" s="1">
        <v>113.49</v>
      </c>
      <c r="M186" s="1" t="str">
        <f t="shared" si="4"/>
        <v>Marketplace</v>
      </c>
      <c r="N186" s="1">
        <f t="shared" si="5"/>
        <v>405</v>
      </c>
    </row>
    <row r="187" spans="1:14" x14ac:dyDescent="0.3">
      <c r="A187" s="1" t="s">
        <v>2111</v>
      </c>
      <c r="B187" s="1">
        <v>46089</v>
      </c>
      <c r="C187" s="1" t="s">
        <v>54</v>
      </c>
      <c r="D187" s="1" t="s">
        <v>27</v>
      </c>
      <c r="E187" s="1" t="s">
        <v>16</v>
      </c>
      <c r="F187" s="1" t="s">
        <v>23</v>
      </c>
      <c r="G187" s="1" t="s">
        <v>116</v>
      </c>
      <c r="H187" s="1" t="s">
        <v>80</v>
      </c>
      <c r="I187" s="1">
        <v>2</v>
      </c>
      <c r="J187" s="1">
        <v>7.2</v>
      </c>
      <c r="K187" s="1">
        <v>0.05</v>
      </c>
      <c r="L187" s="1">
        <v>13.68</v>
      </c>
      <c r="M187" s="1" t="str">
        <f t="shared" si="4"/>
        <v>Marketplace</v>
      </c>
      <c r="N187" s="1">
        <f t="shared" si="5"/>
        <v>267.12</v>
      </c>
    </row>
    <row r="188" spans="1:14" x14ac:dyDescent="0.3">
      <c r="A188" s="1" t="s">
        <v>2099</v>
      </c>
      <c r="B188" s="1">
        <v>46090</v>
      </c>
      <c r="C188" s="1" t="s">
        <v>61</v>
      </c>
      <c r="D188" s="1" t="s">
        <v>15</v>
      </c>
      <c r="E188" s="1" t="s">
        <v>28</v>
      </c>
      <c r="F188" s="1" t="s">
        <v>23</v>
      </c>
      <c r="G188" s="1" t="s">
        <v>24</v>
      </c>
      <c r="H188" s="1" t="s">
        <v>112</v>
      </c>
      <c r="I188" s="1">
        <v>3</v>
      </c>
      <c r="J188" s="1">
        <v>23.85</v>
      </c>
      <c r="K188" s="1">
        <v>0.08</v>
      </c>
      <c r="L188" s="1">
        <v>65.83</v>
      </c>
      <c r="M188" s="1" t="str">
        <f t="shared" si="4"/>
        <v>Online</v>
      </c>
      <c r="N188" s="1">
        <f t="shared" si="5"/>
        <v>62.01</v>
      </c>
    </row>
    <row r="189" spans="1:14" x14ac:dyDescent="0.3">
      <c r="A189" s="1" t="s">
        <v>2100</v>
      </c>
      <c r="B189" s="1">
        <v>46090</v>
      </c>
      <c r="C189" s="1" t="s">
        <v>21</v>
      </c>
      <c r="D189" s="1" t="s">
        <v>22</v>
      </c>
      <c r="E189" s="1" t="s">
        <v>16</v>
      </c>
      <c r="F189" s="1" t="s">
        <v>36</v>
      </c>
      <c r="G189" s="1" t="s">
        <v>119</v>
      </c>
      <c r="H189" s="1" t="s">
        <v>86</v>
      </c>
      <c r="I189" s="1">
        <v>3</v>
      </c>
      <c r="J189" s="1">
        <v>598.5</v>
      </c>
      <c r="K189" s="1">
        <v>0.08</v>
      </c>
      <c r="L189" s="1">
        <v>1651.86</v>
      </c>
      <c r="M189" s="1" t="str">
        <f t="shared" si="4"/>
        <v>Online</v>
      </c>
      <c r="N189" s="1">
        <f t="shared" si="5"/>
        <v>405</v>
      </c>
    </row>
    <row r="190" spans="1:14" x14ac:dyDescent="0.3">
      <c r="A190" s="1" t="s">
        <v>2101</v>
      </c>
      <c r="B190" s="1">
        <v>46090</v>
      </c>
      <c r="C190" s="1" t="s">
        <v>47</v>
      </c>
      <c r="D190" s="1" t="s">
        <v>15</v>
      </c>
      <c r="E190" s="1" t="s">
        <v>16</v>
      </c>
      <c r="F190" s="1" t="s">
        <v>82</v>
      </c>
      <c r="G190" s="1" t="s">
        <v>96</v>
      </c>
      <c r="H190" s="1" t="s">
        <v>49</v>
      </c>
      <c r="I190" s="1">
        <v>2</v>
      </c>
      <c r="J190" s="1">
        <v>2754</v>
      </c>
      <c r="K190" s="1">
        <v>0.05</v>
      </c>
      <c r="L190" s="1">
        <v>5232.6000000000004</v>
      </c>
      <c r="M190" s="1" t="str">
        <f t="shared" si="4"/>
        <v>Retail Store</v>
      </c>
      <c r="N190" s="1">
        <f t="shared" si="5"/>
        <v>421.2</v>
      </c>
    </row>
    <row r="191" spans="1:14" x14ac:dyDescent="0.3">
      <c r="A191" s="1" t="s">
        <v>2102</v>
      </c>
      <c r="B191" s="1">
        <v>46090</v>
      </c>
      <c r="C191" s="1" t="s">
        <v>61</v>
      </c>
      <c r="D191" s="1" t="s">
        <v>15</v>
      </c>
      <c r="E191" s="1" t="s">
        <v>28</v>
      </c>
      <c r="F191" s="1" t="s">
        <v>29</v>
      </c>
      <c r="G191" s="1" t="s">
        <v>30</v>
      </c>
      <c r="H191" s="1" t="s">
        <v>63</v>
      </c>
      <c r="I191" s="1">
        <v>3</v>
      </c>
      <c r="J191" s="1">
        <v>49.5</v>
      </c>
      <c r="K191" s="1">
        <v>0.03</v>
      </c>
      <c r="L191" s="1">
        <v>144.05000000000001</v>
      </c>
      <c r="M191" s="1" t="str">
        <f t="shared" si="4"/>
        <v>Retail Store</v>
      </c>
      <c r="N191" s="1">
        <f t="shared" si="5"/>
        <v>62.01</v>
      </c>
    </row>
    <row r="192" spans="1:14" x14ac:dyDescent="0.3">
      <c r="A192" s="1" t="s">
        <v>2103</v>
      </c>
      <c r="B192" s="1">
        <v>46090</v>
      </c>
      <c r="C192" s="1" t="s">
        <v>54</v>
      </c>
      <c r="D192" s="1" t="s">
        <v>35</v>
      </c>
      <c r="E192" s="1" t="s">
        <v>28</v>
      </c>
      <c r="F192" s="1" t="s">
        <v>82</v>
      </c>
      <c r="G192" s="1" t="s">
        <v>114</v>
      </c>
      <c r="H192" s="1" t="s">
        <v>56</v>
      </c>
      <c r="I192" s="1">
        <v>2</v>
      </c>
      <c r="J192" s="1">
        <v>2385</v>
      </c>
      <c r="K192" s="1">
        <v>0.08</v>
      </c>
      <c r="L192" s="1">
        <v>4388.3999999999996</v>
      </c>
      <c r="M192" s="1" t="str">
        <f t="shared" si="4"/>
        <v>Online</v>
      </c>
      <c r="N192" s="1">
        <f t="shared" si="5"/>
        <v>267.12</v>
      </c>
    </row>
    <row r="193" spans="1:14" x14ac:dyDescent="0.3">
      <c r="A193" s="1" t="s">
        <v>2104</v>
      </c>
      <c r="B193" s="1">
        <v>46090</v>
      </c>
      <c r="C193" s="1" t="s">
        <v>47</v>
      </c>
      <c r="D193" s="1" t="s">
        <v>27</v>
      </c>
      <c r="E193" s="1" t="s">
        <v>16</v>
      </c>
      <c r="F193" s="1" t="s">
        <v>23</v>
      </c>
      <c r="G193" s="1" t="s">
        <v>103</v>
      </c>
      <c r="H193" s="1" t="s">
        <v>78</v>
      </c>
      <c r="I193" s="1">
        <v>2</v>
      </c>
      <c r="J193" s="1">
        <v>11.23</v>
      </c>
      <c r="K193" s="1">
        <v>0</v>
      </c>
      <c r="L193" s="1">
        <v>22.46</v>
      </c>
      <c r="M193" s="1" t="str">
        <f t="shared" si="4"/>
        <v>Retail Store</v>
      </c>
      <c r="N193" s="1">
        <f t="shared" si="5"/>
        <v>421.2</v>
      </c>
    </row>
    <row r="194" spans="1:14" x14ac:dyDescent="0.3">
      <c r="A194" s="1" t="s">
        <v>2105</v>
      </c>
      <c r="B194" s="1">
        <v>46090</v>
      </c>
      <c r="C194" s="1" t="s">
        <v>21</v>
      </c>
      <c r="D194" s="1" t="s">
        <v>27</v>
      </c>
      <c r="E194" s="1" t="s">
        <v>16</v>
      </c>
      <c r="F194" s="1" t="s">
        <v>82</v>
      </c>
      <c r="G194" s="1" t="s">
        <v>114</v>
      </c>
      <c r="H194" s="1" t="s">
        <v>25</v>
      </c>
      <c r="I194" s="1">
        <v>4</v>
      </c>
      <c r="J194" s="1">
        <v>2182.5</v>
      </c>
      <c r="K194" s="1">
        <v>0</v>
      </c>
      <c r="L194" s="1">
        <v>8730</v>
      </c>
      <c r="M194" s="1" t="str">
        <f t="shared" ref="M194:M257" si="6">INDEX(D:D,MATCH(H194,H:H,0))</f>
        <v>Marketplace</v>
      </c>
      <c r="N194" s="1">
        <f t="shared" ref="N194:N257" si="7">VLOOKUP(C:C,C:J,8,FALSE)</f>
        <v>405</v>
      </c>
    </row>
    <row r="195" spans="1:14" x14ac:dyDescent="0.3">
      <c r="A195" s="1" t="s">
        <v>2096</v>
      </c>
      <c r="B195" s="1">
        <v>46091</v>
      </c>
      <c r="C195" s="1" t="s">
        <v>61</v>
      </c>
      <c r="D195" s="1" t="s">
        <v>15</v>
      </c>
      <c r="E195" s="1" t="s">
        <v>28</v>
      </c>
      <c r="F195" s="1" t="s">
        <v>36</v>
      </c>
      <c r="G195" s="1" t="s">
        <v>70</v>
      </c>
      <c r="H195" s="1" t="s">
        <v>63</v>
      </c>
      <c r="I195" s="1">
        <v>2</v>
      </c>
      <c r="J195" s="1">
        <v>532.44000000000005</v>
      </c>
      <c r="K195" s="1">
        <v>0.08</v>
      </c>
      <c r="L195" s="1">
        <v>979.69</v>
      </c>
      <c r="M195" s="1" t="str">
        <f t="shared" si="6"/>
        <v>Retail Store</v>
      </c>
      <c r="N195" s="1">
        <f t="shared" si="7"/>
        <v>62.01</v>
      </c>
    </row>
    <row r="196" spans="1:14" x14ac:dyDescent="0.3">
      <c r="A196" s="1" t="s">
        <v>2097</v>
      </c>
      <c r="B196" s="1">
        <v>46091</v>
      </c>
      <c r="C196" s="1" t="s">
        <v>54</v>
      </c>
      <c r="D196" s="1" t="s">
        <v>22</v>
      </c>
      <c r="E196" s="1" t="s">
        <v>16</v>
      </c>
      <c r="F196" s="1" t="s">
        <v>17</v>
      </c>
      <c r="G196" s="1" t="s">
        <v>62</v>
      </c>
      <c r="H196" s="1" t="s">
        <v>71</v>
      </c>
      <c r="I196" s="1">
        <v>7</v>
      </c>
      <c r="J196" s="1">
        <v>57.24</v>
      </c>
      <c r="K196" s="1">
        <v>0.05</v>
      </c>
      <c r="L196" s="1">
        <v>380.65</v>
      </c>
      <c r="M196" s="1" t="str">
        <f t="shared" si="6"/>
        <v>Online</v>
      </c>
      <c r="N196" s="1">
        <f t="shared" si="7"/>
        <v>267.12</v>
      </c>
    </row>
    <row r="197" spans="1:14" x14ac:dyDescent="0.3">
      <c r="A197" s="1" t="s">
        <v>2098</v>
      </c>
      <c r="B197" s="1">
        <v>46091</v>
      </c>
      <c r="C197" s="1" t="s">
        <v>14</v>
      </c>
      <c r="D197" s="1" t="s">
        <v>27</v>
      </c>
      <c r="E197" s="1" t="s">
        <v>16</v>
      </c>
      <c r="F197" s="1" t="s">
        <v>36</v>
      </c>
      <c r="G197" s="1" t="s">
        <v>119</v>
      </c>
      <c r="H197" s="1" t="s">
        <v>19</v>
      </c>
      <c r="I197" s="1">
        <v>4</v>
      </c>
      <c r="J197" s="1">
        <v>598.5</v>
      </c>
      <c r="K197" s="1">
        <v>0.05</v>
      </c>
      <c r="L197" s="1">
        <v>2274.3000000000002</v>
      </c>
      <c r="M197" s="1" t="str">
        <f t="shared" si="6"/>
        <v>Retail Store</v>
      </c>
      <c r="N197" s="1">
        <f t="shared" si="7"/>
        <v>16.2</v>
      </c>
    </row>
    <row r="198" spans="1:14" x14ac:dyDescent="0.3">
      <c r="A198" s="1" t="s">
        <v>2090</v>
      </c>
      <c r="B198" s="1">
        <v>46092</v>
      </c>
      <c r="C198" s="1" t="s">
        <v>54</v>
      </c>
      <c r="D198" s="1" t="s">
        <v>27</v>
      </c>
      <c r="E198" s="1" t="s">
        <v>16</v>
      </c>
      <c r="F198" s="1" t="s">
        <v>29</v>
      </c>
      <c r="G198" s="1" t="s">
        <v>55</v>
      </c>
      <c r="H198" s="1" t="s">
        <v>80</v>
      </c>
      <c r="I198" s="1">
        <v>2</v>
      </c>
      <c r="J198" s="1">
        <v>35.57</v>
      </c>
      <c r="K198" s="1">
        <v>0.15</v>
      </c>
      <c r="L198" s="1">
        <v>60.47</v>
      </c>
      <c r="M198" s="1" t="str">
        <f t="shared" si="6"/>
        <v>Marketplace</v>
      </c>
      <c r="N198" s="1">
        <f t="shared" si="7"/>
        <v>267.12</v>
      </c>
    </row>
    <row r="199" spans="1:14" x14ac:dyDescent="0.3">
      <c r="A199" s="1" t="s">
        <v>2091</v>
      </c>
      <c r="B199" s="1">
        <v>46092</v>
      </c>
      <c r="C199" s="1" t="s">
        <v>61</v>
      </c>
      <c r="D199" s="1" t="s">
        <v>15</v>
      </c>
      <c r="E199" s="1" t="s">
        <v>16</v>
      </c>
      <c r="F199" s="1" t="s">
        <v>82</v>
      </c>
      <c r="G199" s="1" t="s">
        <v>150</v>
      </c>
      <c r="H199" s="1" t="s">
        <v>112</v>
      </c>
      <c r="I199" s="1">
        <v>2</v>
      </c>
      <c r="J199" s="1">
        <v>2995.2</v>
      </c>
      <c r="K199" s="1">
        <v>0.08</v>
      </c>
      <c r="L199" s="1">
        <v>5511.17</v>
      </c>
      <c r="M199" s="1" t="str">
        <f t="shared" si="6"/>
        <v>Online</v>
      </c>
      <c r="N199" s="1">
        <f t="shared" si="7"/>
        <v>62.01</v>
      </c>
    </row>
    <row r="200" spans="1:14" x14ac:dyDescent="0.3">
      <c r="A200" s="1" t="s">
        <v>2092</v>
      </c>
      <c r="B200" s="1">
        <v>46092</v>
      </c>
      <c r="C200" s="1" t="s">
        <v>14</v>
      </c>
      <c r="D200" s="1" t="s">
        <v>15</v>
      </c>
      <c r="E200" s="1" t="s">
        <v>28</v>
      </c>
      <c r="F200" s="1" t="s">
        <v>29</v>
      </c>
      <c r="G200" s="1" t="s">
        <v>39</v>
      </c>
      <c r="H200" s="1" t="s">
        <v>31</v>
      </c>
      <c r="I200" s="1">
        <v>2</v>
      </c>
      <c r="J200" s="1">
        <v>72</v>
      </c>
      <c r="K200" s="1">
        <v>0.15</v>
      </c>
      <c r="L200" s="1">
        <v>122.4</v>
      </c>
      <c r="M200" s="1" t="str">
        <f t="shared" si="6"/>
        <v>Online</v>
      </c>
      <c r="N200" s="1">
        <f t="shared" si="7"/>
        <v>16.2</v>
      </c>
    </row>
    <row r="201" spans="1:14" x14ac:dyDescent="0.3">
      <c r="A201" s="1" t="s">
        <v>2093</v>
      </c>
      <c r="B201" s="1">
        <v>46092</v>
      </c>
      <c r="C201" s="1" t="s">
        <v>61</v>
      </c>
      <c r="D201" s="1" t="s">
        <v>35</v>
      </c>
      <c r="E201" s="1" t="s">
        <v>16</v>
      </c>
      <c r="F201" s="1" t="s">
        <v>36</v>
      </c>
      <c r="G201" s="1" t="s">
        <v>77</v>
      </c>
      <c r="H201" s="1" t="s">
        <v>73</v>
      </c>
      <c r="I201" s="1">
        <v>2</v>
      </c>
      <c r="J201" s="1">
        <v>1350</v>
      </c>
      <c r="K201" s="1">
        <v>0.03</v>
      </c>
      <c r="L201" s="1">
        <v>2619</v>
      </c>
      <c r="M201" s="1" t="str">
        <f t="shared" si="6"/>
        <v>Online</v>
      </c>
      <c r="N201" s="1">
        <f t="shared" si="7"/>
        <v>62.01</v>
      </c>
    </row>
    <row r="202" spans="1:14" x14ac:dyDescent="0.3">
      <c r="A202" s="1" t="s">
        <v>2094</v>
      </c>
      <c r="B202" s="1">
        <v>46092</v>
      </c>
      <c r="C202" s="1" t="s">
        <v>14</v>
      </c>
      <c r="D202" s="1" t="s">
        <v>15</v>
      </c>
      <c r="E202" s="1" t="s">
        <v>16</v>
      </c>
      <c r="F202" s="1" t="s">
        <v>36</v>
      </c>
      <c r="G202" s="1" t="s">
        <v>119</v>
      </c>
      <c r="H202" s="1" t="s">
        <v>19</v>
      </c>
      <c r="I202" s="1">
        <v>2</v>
      </c>
      <c r="J202" s="1">
        <v>611.1</v>
      </c>
      <c r="K202" s="1">
        <v>0.05</v>
      </c>
      <c r="L202" s="1">
        <v>1161.0899999999999</v>
      </c>
      <c r="M202" s="1" t="str">
        <f t="shared" si="6"/>
        <v>Retail Store</v>
      </c>
      <c r="N202" s="1">
        <f t="shared" si="7"/>
        <v>16.2</v>
      </c>
    </row>
    <row r="203" spans="1:14" x14ac:dyDescent="0.3">
      <c r="A203" s="1" t="s">
        <v>2095</v>
      </c>
      <c r="B203" s="1">
        <v>46092</v>
      </c>
      <c r="C203" s="1" t="s">
        <v>21</v>
      </c>
      <c r="D203" s="1" t="s">
        <v>15</v>
      </c>
      <c r="E203" s="1" t="s">
        <v>28</v>
      </c>
      <c r="F203" s="1" t="s">
        <v>29</v>
      </c>
      <c r="G203" s="1" t="s">
        <v>30</v>
      </c>
      <c r="H203" s="1" t="s">
        <v>86</v>
      </c>
      <c r="I203" s="1">
        <v>2</v>
      </c>
      <c r="J203" s="1">
        <v>47.03</v>
      </c>
      <c r="K203" s="1">
        <v>0.2</v>
      </c>
      <c r="L203" s="1">
        <v>75.239999999999995</v>
      </c>
      <c r="M203" s="1" t="str">
        <f t="shared" si="6"/>
        <v>Online</v>
      </c>
      <c r="N203" s="1">
        <f t="shared" si="7"/>
        <v>405</v>
      </c>
    </row>
    <row r="204" spans="1:14" x14ac:dyDescent="0.3">
      <c r="A204" s="1" t="s">
        <v>2081</v>
      </c>
      <c r="B204" s="1">
        <v>46093</v>
      </c>
      <c r="C204" s="1" t="s">
        <v>21</v>
      </c>
      <c r="D204" s="1" t="s">
        <v>35</v>
      </c>
      <c r="E204" s="1" t="s">
        <v>16</v>
      </c>
      <c r="F204" s="1" t="s">
        <v>82</v>
      </c>
      <c r="G204" s="1" t="s">
        <v>114</v>
      </c>
      <c r="H204" s="1" t="s">
        <v>86</v>
      </c>
      <c r="I204" s="1">
        <v>2</v>
      </c>
      <c r="J204" s="1">
        <v>2250</v>
      </c>
      <c r="K204" s="1">
        <v>0.03</v>
      </c>
      <c r="L204" s="1">
        <v>4365</v>
      </c>
      <c r="M204" s="1" t="str">
        <f t="shared" si="6"/>
        <v>Online</v>
      </c>
      <c r="N204" s="1">
        <f t="shared" si="7"/>
        <v>405</v>
      </c>
    </row>
    <row r="205" spans="1:14" x14ac:dyDescent="0.3">
      <c r="A205" s="1" t="s">
        <v>2082</v>
      </c>
      <c r="B205" s="1">
        <v>46093</v>
      </c>
      <c r="C205" s="1" t="s">
        <v>61</v>
      </c>
      <c r="D205" s="1" t="s">
        <v>15</v>
      </c>
      <c r="E205" s="1" t="s">
        <v>16</v>
      </c>
      <c r="F205" s="1" t="s">
        <v>23</v>
      </c>
      <c r="G205" s="1" t="s">
        <v>116</v>
      </c>
      <c r="H205" s="1" t="s">
        <v>73</v>
      </c>
      <c r="I205" s="1">
        <v>7</v>
      </c>
      <c r="J205" s="1">
        <v>7.2</v>
      </c>
      <c r="K205" s="1">
        <v>0.1</v>
      </c>
      <c r="L205" s="1">
        <v>45.36</v>
      </c>
      <c r="M205" s="1" t="str">
        <f t="shared" si="6"/>
        <v>Online</v>
      </c>
      <c r="N205" s="1">
        <f t="shared" si="7"/>
        <v>62.01</v>
      </c>
    </row>
    <row r="206" spans="1:14" x14ac:dyDescent="0.3">
      <c r="A206" s="1" t="s">
        <v>2083</v>
      </c>
      <c r="B206" s="1">
        <v>46093</v>
      </c>
      <c r="C206" s="1" t="s">
        <v>54</v>
      </c>
      <c r="D206" s="1" t="s">
        <v>27</v>
      </c>
      <c r="E206" s="1" t="s">
        <v>16</v>
      </c>
      <c r="F206" s="1" t="s">
        <v>29</v>
      </c>
      <c r="G206" s="1" t="s">
        <v>55</v>
      </c>
      <c r="H206" s="1" t="s">
        <v>80</v>
      </c>
      <c r="I206" s="1">
        <v>5</v>
      </c>
      <c r="J206" s="1">
        <v>32.49</v>
      </c>
      <c r="K206" s="1">
        <v>0.03</v>
      </c>
      <c r="L206" s="1">
        <v>157.58000000000001</v>
      </c>
      <c r="M206" s="1" t="str">
        <f t="shared" si="6"/>
        <v>Marketplace</v>
      </c>
      <c r="N206" s="1">
        <f t="shared" si="7"/>
        <v>267.12</v>
      </c>
    </row>
    <row r="207" spans="1:14" x14ac:dyDescent="0.3">
      <c r="A207" s="1" t="s">
        <v>2084</v>
      </c>
      <c r="B207" s="1">
        <v>46093</v>
      </c>
      <c r="C207" s="1" t="s">
        <v>61</v>
      </c>
      <c r="D207" s="1" t="s">
        <v>27</v>
      </c>
      <c r="E207" s="1" t="s">
        <v>16</v>
      </c>
      <c r="F207" s="1" t="s">
        <v>17</v>
      </c>
      <c r="G207" s="1" t="s">
        <v>62</v>
      </c>
      <c r="H207" s="1" t="s">
        <v>112</v>
      </c>
      <c r="I207" s="1">
        <v>2</v>
      </c>
      <c r="J207" s="1">
        <v>54</v>
      </c>
      <c r="K207" s="1">
        <v>0.08</v>
      </c>
      <c r="L207" s="1">
        <v>99.36</v>
      </c>
      <c r="M207" s="1" t="str">
        <f t="shared" si="6"/>
        <v>Online</v>
      </c>
      <c r="N207" s="1">
        <f t="shared" si="7"/>
        <v>62.01</v>
      </c>
    </row>
    <row r="208" spans="1:14" x14ac:dyDescent="0.3">
      <c r="A208" s="1" t="s">
        <v>2085</v>
      </c>
      <c r="B208" s="1">
        <v>46093</v>
      </c>
      <c r="C208" s="1" t="s">
        <v>21</v>
      </c>
      <c r="D208" s="1" t="s">
        <v>15</v>
      </c>
      <c r="E208" s="1" t="s">
        <v>16</v>
      </c>
      <c r="F208" s="1" t="s">
        <v>42</v>
      </c>
      <c r="G208" s="1" t="s">
        <v>48</v>
      </c>
      <c r="H208" s="1" t="s">
        <v>86</v>
      </c>
      <c r="I208" s="1">
        <v>3</v>
      </c>
      <c r="J208" s="1">
        <v>18</v>
      </c>
      <c r="K208" s="1">
        <v>0.15</v>
      </c>
      <c r="L208" s="1">
        <v>45.9</v>
      </c>
      <c r="M208" s="1" t="str">
        <f t="shared" si="6"/>
        <v>Online</v>
      </c>
      <c r="N208" s="1">
        <f t="shared" si="7"/>
        <v>405</v>
      </c>
    </row>
    <row r="209" spans="1:14" x14ac:dyDescent="0.3">
      <c r="A209" s="1" t="s">
        <v>2086</v>
      </c>
      <c r="B209" s="1">
        <v>46093</v>
      </c>
      <c r="C209" s="1" t="s">
        <v>14</v>
      </c>
      <c r="D209" s="1" t="s">
        <v>15</v>
      </c>
      <c r="E209" s="1" t="s">
        <v>16</v>
      </c>
      <c r="F209" s="1" t="s">
        <v>36</v>
      </c>
      <c r="G209" s="1" t="s">
        <v>119</v>
      </c>
      <c r="H209" s="1" t="s">
        <v>40</v>
      </c>
      <c r="I209" s="1">
        <v>2</v>
      </c>
      <c r="J209" s="1">
        <v>667.8</v>
      </c>
      <c r="K209" s="1">
        <v>0.05</v>
      </c>
      <c r="L209" s="1">
        <v>1268.82</v>
      </c>
      <c r="M209" s="1" t="str">
        <f t="shared" si="6"/>
        <v>Online</v>
      </c>
      <c r="N209" s="1">
        <f t="shared" si="7"/>
        <v>16.2</v>
      </c>
    </row>
    <row r="210" spans="1:14" x14ac:dyDescent="0.3">
      <c r="A210" s="1" t="s">
        <v>2087</v>
      </c>
      <c r="B210" s="1">
        <v>46093</v>
      </c>
      <c r="C210" s="1" t="s">
        <v>47</v>
      </c>
      <c r="D210" s="1" t="s">
        <v>22</v>
      </c>
      <c r="E210" s="1" t="s">
        <v>16</v>
      </c>
      <c r="F210" s="1" t="s">
        <v>36</v>
      </c>
      <c r="G210" s="1" t="s">
        <v>37</v>
      </c>
      <c r="H210" s="1" t="s">
        <v>58</v>
      </c>
      <c r="I210" s="1">
        <v>3</v>
      </c>
      <c r="J210" s="1">
        <v>765</v>
      </c>
      <c r="K210" s="1">
        <v>0.2</v>
      </c>
      <c r="L210" s="1">
        <v>1836</v>
      </c>
      <c r="M210" s="1" t="str">
        <f t="shared" si="6"/>
        <v>Corporate Sales</v>
      </c>
      <c r="N210" s="1">
        <f t="shared" si="7"/>
        <v>421.2</v>
      </c>
    </row>
    <row r="211" spans="1:14" x14ac:dyDescent="0.3">
      <c r="A211" s="1" t="s">
        <v>2088</v>
      </c>
      <c r="B211" s="1">
        <v>46093</v>
      </c>
      <c r="C211" s="1" t="s">
        <v>54</v>
      </c>
      <c r="D211" s="1" t="s">
        <v>27</v>
      </c>
      <c r="E211" s="1" t="s">
        <v>16</v>
      </c>
      <c r="F211" s="1" t="s">
        <v>42</v>
      </c>
      <c r="G211" s="1" t="s">
        <v>48</v>
      </c>
      <c r="H211" s="1" t="s">
        <v>56</v>
      </c>
      <c r="I211" s="1">
        <v>3</v>
      </c>
      <c r="J211" s="1">
        <v>18.72</v>
      </c>
      <c r="K211" s="1">
        <v>0.08</v>
      </c>
      <c r="L211" s="1">
        <v>51.67</v>
      </c>
      <c r="M211" s="1" t="str">
        <f t="shared" si="6"/>
        <v>Online</v>
      </c>
      <c r="N211" s="1">
        <f t="shared" si="7"/>
        <v>267.12</v>
      </c>
    </row>
    <row r="212" spans="1:14" x14ac:dyDescent="0.3">
      <c r="A212" s="1" t="s">
        <v>2089</v>
      </c>
      <c r="B212" s="1">
        <v>46093</v>
      </c>
      <c r="C212" s="1" t="s">
        <v>61</v>
      </c>
      <c r="D212" s="1" t="s">
        <v>27</v>
      </c>
      <c r="E212" s="1" t="s">
        <v>28</v>
      </c>
      <c r="F212" s="1" t="s">
        <v>29</v>
      </c>
      <c r="G212" s="1" t="s">
        <v>88</v>
      </c>
      <c r="H212" s="1" t="s">
        <v>73</v>
      </c>
      <c r="I212" s="1">
        <v>3</v>
      </c>
      <c r="J212" s="1">
        <v>60.84</v>
      </c>
      <c r="K212" s="1">
        <v>0.15</v>
      </c>
      <c r="L212" s="1">
        <v>155.13999999999999</v>
      </c>
      <c r="M212" s="1" t="str">
        <f t="shared" si="6"/>
        <v>Online</v>
      </c>
      <c r="N212" s="1">
        <f t="shared" si="7"/>
        <v>62.01</v>
      </c>
    </row>
    <row r="213" spans="1:14" x14ac:dyDescent="0.3">
      <c r="A213" s="1" t="s">
        <v>2079</v>
      </c>
      <c r="B213" s="1">
        <v>46113</v>
      </c>
      <c r="C213" s="1" t="s">
        <v>54</v>
      </c>
      <c r="D213" s="1" t="s">
        <v>22</v>
      </c>
      <c r="E213" s="1" t="s">
        <v>16</v>
      </c>
      <c r="F213" s="1" t="s">
        <v>29</v>
      </c>
      <c r="G213" s="1" t="s">
        <v>30</v>
      </c>
      <c r="H213" s="1" t="s">
        <v>80</v>
      </c>
      <c r="I213" s="1">
        <v>3</v>
      </c>
      <c r="J213" s="1">
        <v>48.02</v>
      </c>
      <c r="K213" s="1">
        <v>0.05</v>
      </c>
      <c r="L213" s="1">
        <v>136.84</v>
      </c>
      <c r="M213" s="1" t="str">
        <f t="shared" si="6"/>
        <v>Marketplace</v>
      </c>
      <c r="N213" s="1">
        <f t="shared" si="7"/>
        <v>267.12</v>
      </c>
    </row>
    <row r="214" spans="1:14" x14ac:dyDescent="0.3">
      <c r="A214" s="1" t="s">
        <v>2080</v>
      </c>
      <c r="B214" s="1">
        <v>46113</v>
      </c>
      <c r="C214" s="1" t="s">
        <v>54</v>
      </c>
      <c r="D214" s="1" t="s">
        <v>27</v>
      </c>
      <c r="E214" s="1" t="s">
        <v>16</v>
      </c>
      <c r="F214" s="1" t="s">
        <v>82</v>
      </c>
      <c r="G214" s="1" t="s">
        <v>114</v>
      </c>
      <c r="H214" s="1" t="s">
        <v>71</v>
      </c>
      <c r="I214" s="1">
        <v>2</v>
      </c>
      <c r="J214" s="1">
        <v>2182.5</v>
      </c>
      <c r="K214" s="1">
        <v>0</v>
      </c>
      <c r="L214" s="1">
        <v>4365</v>
      </c>
      <c r="M214" s="1" t="str">
        <f t="shared" si="6"/>
        <v>Online</v>
      </c>
      <c r="N214" s="1">
        <f t="shared" si="7"/>
        <v>267.12</v>
      </c>
    </row>
    <row r="215" spans="1:14" x14ac:dyDescent="0.3">
      <c r="A215" s="1" t="s">
        <v>2076</v>
      </c>
      <c r="B215" s="1">
        <v>46114</v>
      </c>
      <c r="C215" s="1" t="s">
        <v>14</v>
      </c>
      <c r="D215" s="1" t="s">
        <v>15</v>
      </c>
      <c r="E215" s="1" t="s">
        <v>16</v>
      </c>
      <c r="F215" s="1" t="s">
        <v>36</v>
      </c>
      <c r="G215" s="1" t="s">
        <v>70</v>
      </c>
      <c r="H215" s="1" t="s">
        <v>40</v>
      </c>
      <c r="I215" s="1">
        <v>3</v>
      </c>
      <c r="J215" s="1">
        <v>532.44000000000005</v>
      </c>
      <c r="K215" s="1">
        <v>0.05</v>
      </c>
      <c r="L215" s="1">
        <v>1517.45</v>
      </c>
      <c r="M215" s="1" t="str">
        <f t="shared" si="6"/>
        <v>Online</v>
      </c>
      <c r="N215" s="1">
        <f t="shared" si="7"/>
        <v>16.2</v>
      </c>
    </row>
    <row r="216" spans="1:14" x14ac:dyDescent="0.3">
      <c r="A216" s="1" t="s">
        <v>2077</v>
      </c>
      <c r="B216" s="1">
        <v>46114</v>
      </c>
      <c r="C216" s="1" t="s">
        <v>14</v>
      </c>
      <c r="D216" s="1" t="s">
        <v>27</v>
      </c>
      <c r="E216" s="1" t="s">
        <v>16</v>
      </c>
      <c r="F216" s="1" t="s">
        <v>36</v>
      </c>
      <c r="G216" s="1" t="s">
        <v>70</v>
      </c>
      <c r="H216" s="1" t="s">
        <v>40</v>
      </c>
      <c r="I216" s="1">
        <v>3</v>
      </c>
      <c r="J216" s="1">
        <v>542.88</v>
      </c>
      <c r="K216" s="1">
        <v>0</v>
      </c>
      <c r="L216" s="1">
        <v>1628.64</v>
      </c>
      <c r="M216" s="1" t="str">
        <f t="shared" si="6"/>
        <v>Online</v>
      </c>
      <c r="N216" s="1">
        <f t="shared" si="7"/>
        <v>16.2</v>
      </c>
    </row>
    <row r="217" spans="1:14" x14ac:dyDescent="0.3">
      <c r="A217" s="1" t="s">
        <v>2078</v>
      </c>
      <c r="B217" s="1">
        <v>46114</v>
      </c>
      <c r="C217" s="1" t="s">
        <v>14</v>
      </c>
      <c r="D217" s="1" t="s">
        <v>35</v>
      </c>
      <c r="E217" s="1" t="s">
        <v>16</v>
      </c>
      <c r="F217" s="1" t="s">
        <v>82</v>
      </c>
      <c r="G217" s="1" t="s">
        <v>114</v>
      </c>
      <c r="H217" s="1" t="s">
        <v>19</v>
      </c>
      <c r="I217" s="1">
        <v>2</v>
      </c>
      <c r="J217" s="1">
        <v>2137.5</v>
      </c>
      <c r="K217" s="1">
        <v>0</v>
      </c>
      <c r="L217" s="1">
        <v>4275</v>
      </c>
      <c r="M217" s="1" t="str">
        <f t="shared" si="6"/>
        <v>Retail Store</v>
      </c>
      <c r="N217" s="1">
        <f t="shared" si="7"/>
        <v>16.2</v>
      </c>
    </row>
    <row r="218" spans="1:14" x14ac:dyDescent="0.3">
      <c r="A218" s="1" t="s">
        <v>2069</v>
      </c>
      <c r="B218" s="1">
        <v>46115</v>
      </c>
      <c r="C218" s="1" t="s">
        <v>14</v>
      </c>
      <c r="D218" s="1" t="s">
        <v>27</v>
      </c>
      <c r="E218" s="1" t="s">
        <v>16</v>
      </c>
      <c r="F218" s="1" t="s">
        <v>42</v>
      </c>
      <c r="G218" s="1" t="s">
        <v>43</v>
      </c>
      <c r="H218" s="1" t="s">
        <v>31</v>
      </c>
      <c r="I218" s="1">
        <v>2</v>
      </c>
      <c r="J218" s="1">
        <v>153.9</v>
      </c>
      <c r="K218" s="1">
        <v>0.05</v>
      </c>
      <c r="L218" s="1">
        <v>292.41000000000003</v>
      </c>
      <c r="M218" s="1" t="str">
        <f t="shared" si="6"/>
        <v>Online</v>
      </c>
      <c r="N218" s="1">
        <f t="shared" si="7"/>
        <v>16.2</v>
      </c>
    </row>
    <row r="219" spans="1:14" x14ac:dyDescent="0.3">
      <c r="A219" s="1" t="s">
        <v>2070</v>
      </c>
      <c r="B219" s="1">
        <v>46115</v>
      </c>
      <c r="C219" s="1" t="s">
        <v>54</v>
      </c>
      <c r="D219" s="1" t="s">
        <v>22</v>
      </c>
      <c r="E219" s="1" t="s">
        <v>28</v>
      </c>
      <c r="F219" s="1" t="s">
        <v>42</v>
      </c>
      <c r="G219" s="1" t="s">
        <v>48</v>
      </c>
      <c r="H219" s="1" t="s">
        <v>71</v>
      </c>
      <c r="I219" s="1">
        <v>6</v>
      </c>
      <c r="J219" s="1">
        <v>18.72</v>
      </c>
      <c r="K219" s="1">
        <v>0.2</v>
      </c>
      <c r="L219" s="1">
        <v>89.86</v>
      </c>
      <c r="M219" s="1" t="str">
        <f t="shared" si="6"/>
        <v>Online</v>
      </c>
      <c r="N219" s="1">
        <f t="shared" si="7"/>
        <v>267.12</v>
      </c>
    </row>
    <row r="220" spans="1:14" x14ac:dyDescent="0.3">
      <c r="A220" s="1" t="s">
        <v>2071</v>
      </c>
      <c r="B220" s="1">
        <v>46115</v>
      </c>
      <c r="C220" s="1" t="s">
        <v>54</v>
      </c>
      <c r="D220" s="1" t="s">
        <v>27</v>
      </c>
      <c r="E220" s="1" t="s">
        <v>28</v>
      </c>
      <c r="F220" s="1" t="s">
        <v>23</v>
      </c>
      <c r="G220" s="1" t="s">
        <v>116</v>
      </c>
      <c r="H220" s="1" t="s">
        <v>71</v>
      </c>
      <c r="I220" s="1">
        <v>3</v>
      </c>
      <c r="J220" s="1">
        <v>6.98</v>
      </c>
      <c r="K220" s="1">
        <v>0</v>
      </c>
      <c r="L220" s="1">
        <v>20.95</v>
      </c>
      <c r="M220" s="1" t="str">
        <f t="shared" si="6"/>
        <v>Online</v>
      </c>
      <c r="N220" s="1">
        <f t="shared" si="7"/>
        <v>267.12</v>
      </c>
    </row>
    <row r="221" spans="1:14" x14ac:dyDescent="0.3">
      <c r="A221" s="1" t="s">
        <v>2072</v>
      </c>
      <c r="B221" s="1">
        <v>46115</v>
      </c>
      <c r="C221" s="1" t="s">
        <v>54</v>
      </c>
      <c r="D221" s="1" t="s">
        <v>35</v>
      </c>
      <c r="E221" s="1" t="s">
        <v>28</v>
      </c>
      <c r="F221" s="1" t="s">
        <v>29</v>
      </c>
      <c r="G221" s="1" t="s">
        <v>88</v>
      </c>
      <c r="H221" s="1" t="s">
        <v>56</v>
      </c>
      <c r="I221" s="1">
        <v>3</v>
      </c>
      <c r="J221" s="1">
        <v>59.67</v>
      </c>
      <c r="K221" s="1">
        <v>0.05</v>
      </c>
      <c r="L221" s="1">
        <v>170.06</v>
      </c>
      <c r="M221" s="1" t="str">
        <f t="shared" si="6"/>
        <v>Online</v>
      </c>
      <c r="N221" s="1">
        <f t="shared" si="7"/>
        <v>267.12</v>
      </c>
    </row>
    <row r="222" spans="1:14" x14ac:dyDescent="0.3">
      <c r="A222" s="1" t="s">
        <v>2073</v>
      </c>
      <c r="B222" s="1">
        <v>46115</v>
      </c>
      <c r="C222" s="1" t="s">
        <v>21</v>
      </c>
      <c r="D222" s="1" t="s">
        <v>22</v>
      </c>
      <c r="E222" s="1" t="s">
        <v>28</v>
      </c>
      <c r="F222" s="1" t="s">
        <v>23</v>
      </c>
      <c r="G222" s="1" t="s">
        <v>178</v>
      </c>
      <c r="H222" s="1" t="s">
        <v>44</v>
      </c>
      <c r="I222" s="1">
        <v>4</v>
      </c>
      <c r="J222" s="1">
        <v>30.56</v>
      </c>
      <c r="K222" s="1">
        <v>0.05</v>
      </c>
      <c r="L222" s="1">
        <v>116.11</v>
      </c>
      <c r="M222" s="1" t="str">
        <f t="shared" si="6"/>
        <v>Retail Store</v>
      </c>
      <c r="N222" s="1">
        <f t="shared" si="7"/>
        <v>405</v>
      </c>
    </row>
    <row r="223" spans="1:14" x14ac:dyDescent="0.3">
      <c r="A223" s="1" t="s">
        <v>2074</v>
      </c>
      <c r="B223" s="1">
        <v>46115</v>
      </c>
      <c r="C223" s="1" t="s">
        <v>54</v>
      </c>
      <c r="D223" s="1" t="s">
        <v>15</v>
      </c>
      <c r="E223" s="1" t="s">
        <v>28</v>
      </c>
      <c r="F223" s="1" t="s">
        <v>29</v>
      </c>
      <c r="G223" s="1" t="s">
        <v>51</v>
      </c>
      <c r="H223" s="1" t="s">
        <v>80</v>
      </c>
      <c r="I223" s="1">
        <v>2</v>
      </c>
      <c r="J223" s="1">
        <v>38.479999999999997</v>
      </c>
      <c r="K223" s="1">
        <v>0.05</v>
      </c>
      <c r="L223" s="1">
        <v>73.099999999999994</v>
      </c>
      <c r="M223" s="1" t="str">
        <f t="shared" si="6"/>
        <v>Marketplace</v>
      </c>
      <c r="N223" s="1">
        <f t="shared" si="7"/>
        <v>267.12</v>
      </c>
    </row>
    <row r="224" spans="1:14" x14ac:dyDescent="0.3">
      <c r="A224" s="1" t="s">
        <v>2075</v>
      </c>
      <c r="B224" s="1">
        <v>46115</v>
      </c>
      <c r="C224" s="1" t="s">
        <v>14</v>
      </c>
      <c r="D224" s="1" t="s">
        <v>35</v>
      </c>
      <c r="E224" s="1" t="s">
        <v>28</v>
      </c>
      <c r="F224" s="1" t="s">
        <v>17</v>
      </c>
      <c r="G224" s="1" t="s">
        <v>62</v>
      </c>
      <c r="H224" s="1" t="s">
        <v>19</v>
      </c>
      <c r="I224" s="1">
        <v>5</v>
      </c>
      <c r="J224" s="1">
        <v>57.24</v>
      </c>
      <c r="K224" s="1">
        <v>0.2</v>
      </c>
      <c r="L224" s="1">
        <v>228.96</v>
      </c>
      <c r="M224" s="1" t="str">
        <f t="shared" si="6"/>
        <v>Retail Store</v>
      </c>
      <c r="N224" s="1">
        <f t="shared" si="7"/>
        <v>16.2</v>
      </c>
    </row>
    <row r="225" spans="1:14" x14ac:dyDescent="0.3">
      <c r="A225" s="1" t="s">
        <v>2067</v>
      </c>
      <c r="B225" s="1">
        <v>46116</v>
      </c>
      <c r="C225" s="1" t="s">
        <v>21</v>
      </c>
      <c r="D225" s="1" t="s">
        <v>15</v>
      </c>
      <c r="E225" s="1" t="s">
        <v>28</v>
      </c>
      <c r="F225" s="1" t="s">
        <v>29</v>
      </c>
      <c r="G225" s="1" t="s">
        <v>39</v>
      </c>
      <c r="H225" s="1" t="s">
        <v>44</v>
      </c>
      <c r="I225" s="1">
        <v>6</v>
      </c>
      <c r="J225" s="1">
        <v>68.400000000000006</v>
      </c>
      <c r="K225" s="1">
        <v>0.15</v>
      </c>
      <c r="L225" s="1">
        <v>348.84</v>
      </c>
      <c r="M225" s="1" t="str">
        <f t="shared" si="6"/>
        <v>Retail Store</v>
      </c>
      <c r="N225" s="1">
        <f t="shared" si="7"/>
        <v>405</v>
      </c>
    </row>
    <row r="226" spans="1:14" x14ac:dyDescent="0.3">
      <c r="A226" s="1" t="s">
        <v>2068</v>
      </c>
      <c r="B226" s="1">
        <v>46116</v>
      </c>
      <c r="C226" s="1" t="s">
        <v>14</v>
      </c>
      <c r="D226" s="1" t="s">
        <v>27</v>
      </c>
      <c r="E226" s="1" t="s">
        <v>16</v>
      </c>
      <c r="F226" s="1" t="s">
        <v>82</v>
      </c>
      <c r="G226" s="1" t="s">
        <v>85</v>
      </c>
      <c r="H226" s="1" t="s">
        <v>19</v>
      </c>
      <c r="I226" s="1">
        <v>2</v>
      </c>
      <c r="J226" s="1">
        <v>1620</v>
      </c>
      <c r="K226" s="1">
        <v>0.03</v>
      </c>
      <c r="L226" s="1">
        <v>3142.8</v>
      </c>
      <c r="M226" s="1" t="str">
        <f t="shared" si="6"/>
        <v>Retail Store</v>
      </c>
      <c r="N226" s="1">
        <f t="shared" si="7"/>
        <v>16.2</v>
      </c>
    </row>
    <row r="227" spans="1:14" x14ac:dyDescent="0.3">
      <c r="A227" s="1" t="s">
        <v>2062</v>
      </c>
      <c r="B227" s="1">
        <v>46117</v>
      </c>
      <c r="C227" s="1" t="s">
        <v>61</v>
      </c>
      <c r="D227" s="1" t="s">
        <v>27</v>
      </c>
      <c r="E227" s="1" t="s">
        <v>16</v>
      </c>
      <c r="F227" s="1" t="s">
        <v>36</v>
      </c>
      <c r="G227" s="1" t="s">
        <v>37</v>
      </c>
      <c r="H227" s="1" t="s">
        <v>112</v>
      </c>
      <c r="I227" s="1">
        <v>4</v>
      </c>
      <c r="J227" s="1">
        <v>795.6</v>
      </c>
      <c r="K227" s="1">
        <v>0.2</v>
      </c>
      <c r="L227" s="1">
        <v>2545.92</v>
      </c>
      <c r="M227" s="1" t="str">
        <f t="shared" si="6"/>
        <v>Online</v>
      </c>
      <c r="N227" s="1">
        <f t="shared" si="7"/>
        <v>62.01</v>
      </c>
    </row>
    <row r="228" spans="1:14" x14ac:dyDescent="0.3">
      <c r="A228" s="1" t="s">
        <v>2063</v>
      </c>
      <c r="B228" s="1">
        <v>46117</v>
      </c>
      <c r="C228" s="1" t="s">
        <v>21</v>
      </c>
      <c r="D228" s="1" t="s">
        <v>27</v>
      </c>
      <c r="E228" s="1" t="s">
        <v>28</v>
      </c>
      <c r="F228" s="1" t="s">
        <v>36</v>
      </c>
      <c r="G228" s="1" t="s">
        <v>37</v>
      </c>
      <c r="H228" s="1" t="s">
        <v>86</v>
      </c>
      <c r="I228" s="1">
        <v>2</v>
      </c>
      <c r="J228" s="1">
        <v>765</v>
      </c>
      <c r="K228" s="1">
        <v>0.05</v>
      </c>
      <c r="L228" s="1">
        <v>1453.5</v>
      </c>
      <c r="M228" s="1" t="str">
        <f t="shared" si="6"/>
        <v>Online</v>
      </c>
      <c r="N228" s="1">
        <f t="shared" si="7"/>
        <v>405</v>
      </c>
    </row>
    <row r="229" spans="1:14" x14ac:dyDescent="0.3">
      <c r="A229" s="1" t="s">
        <v>2064</v>
      </c>
      <c r="B229" s="1">
        <v>46117</v>
      </c>
      <c r="C229" s="1" t="s">
        <v>14</v>
      </c>
      <c r="D229" s="1" t="s">
        <v>22</v>
      </c>
      <c r="E229" s="1" t="s">
        <v>16</v>
      </c>
      <c r="F229" s="1" t="s">
        <v>29</v>
      </c>
      <c r="G229" s="1" t="s">
        <v>55</v>
      </c>
      <c r="H229" s="1" t="s">
        <v>19</v>
      </c>
      <c r="I229" s="1">
        <v>4</v>
      </c>
      <c r="J229" s="1">
        <v>34.200000000000003</v>
      </c>
      <c r="K229" s="1">
        <v>0.15</v>
      </c>
      <c r="L229" s="1">
        <v>116.28</v>
      </c>
      <c r="M229" s="1" t="str">
        <f t="shared" si="6"/>
        <v>Retail Store</v>
      </c>
      <c r="N229" s="1">
        <f t="shared" si="7"/>
        <v>16.2</v>
      </c>
    </row>
    <row r="230" spans="1:14" x14ac:dyDescent="0.3">
      <c r="A230" s="1" t="s">
        <v>2065</v>
      </c>
      <c r="B230" s="1">
        <v>46117</v>
      </c>
      <c r="C230" s="1" t="s">
        <v>61</v>
      </c>
      <c r="D230" s="1" t="s">
        <v>27</v>
      </c>
      <c r="E230" s="1" t="s">
        <v>16</v>
      </c>
      <c r="F230" s="1" t="s">
        <v>82</v>
      </c>
      <c r="G230" s="1" t="s">
        <v>83</v>
      </c>
      <c r="H230" s="1" t="s">
        <v>73</v>
      </c>
      <c r="I230" s="1">
        <v>2</v>
      </c>
      <c r="J230" s="1">
        <v>3931.2</v>
      </c>
      <c r="K230" s="1">
        <v>0</v>
      </c>
      <c r="L230" s="1">
        <v>7862.4</v>
      </c>
      <c r="M230" s="1" t="str">
        <f t="shared" si="6"/>
        <v>Online</v>
      </c>
      <c r="N230" s="1">
        <f t="shared" si="7"/>
        <v>62.01</v>
      </c>
    </row>
    <row r="231" spans="1:14" x14ac:dyDescent="0.3">
      <c r="A231" s="1" t="s">
        <v>2066</v>
      </c>
      <c r="B231" s="1">
        <v>46117</v>
      </c>
      <c r="C231" s="1" t="s">
        <v>54</v>
      </c>
      <c r="D231" s="1" t="s">
        <v>15</v>
      </c>
      <c r="E231" s="1" t="s">
        <v>16</v>
      </c>
      <c r="F231" s="1" t="s">
        <v>29</v>
      </c>
      <c r="G231" s="1" t="s">
        <v>55</v>
      </c>
      <c r="H231" s="1" t="s">
        <v>56</v>
      </c>
      <c r="I231" s="1">
        <v>6</v>
      </c>
      <c r="J231" s="1">
        <v>34.200000000000003</v>
      </c>
      <c r="K231" s="1">
        <v>0.05</v>
      </c>
      <c r="L231" s="1">
        <v>194.94</v>
      </c>
      <c r="M231" s="1" t="str">
        <f t="shared" si="6"/>
        <v>Online</v>
      </c>
      <c r="N231" s="1">
        <f t="shared" si="7"/>
        <v>267.12</v>
      </c>
    </row>
    <row r="232" spans="1:14" x14ac:dyDescent="0.3">
      <c r="A232" s="1" t="s">
        <v>2054</v>
      </c>
      <c r="B232" s="1">
        <v>46118</v>
      </c>
      <c r="C232" s="1" t="s">
        <v>54</v>
      </c>
      <c r="D232" s="1" t="s">
        <v>15</v>
      </c>
      <c r="E232" s="1" t="s">
        <v>16</v>
      </c>
      <c r="F232" s="1" t="s">
        <v>36</v>
      </c>
      <c r="G232" s="1" t="s">
        <v>119</v>
      </c>
      <c r="H232" s="1" t="s">
        <v>80</v>
      </c>
      <c r="I232" s="1">
        <v>2</v>
      </c>
      <c r="J232" s="1">
        <v>655.20000000000005</v>
      </c>
      <c r="K232" s="1">
        <v>0.08</v>
      </c>
      <c r="L232" s="1">
        <v>1205.57</v>
      </c>
      <c r="M232" s="1" t="str">
        <f t="shared" si="6"/>
        <v>Marketplace</v>
      </c>
      <c r="N232" s="1">
        <f t="shared" si="7"/>
        <v>267.12</v>
      </c>
    </row>
    <row r="233" spans="1:14" x14ac:dyDescent="0.3">
      <c r="A233" s="1" t="s">
        <v>2055</v>
      </c>
      <c r="B233" s="1">
        <v>46118</v>
      </c>
      <c r="C233" s="1" t="s">
        <v>21</v>
      </c>
      <c r="D233" s="1" t="s">
        <v>15</v>
      </c>
      <c r="E233" s="1" t="s">
        <v>28</v>
      </c>
      <c r="F233" s="1" t="s">
        <v>42</v>
      </c>
      <c r="G233" s="1" t="s">
        <v>43</v>
      </c>
      <c r="H233" s="1" t="s">
        <v>86</v>
      </c>
      <c r="I233" s="1">
        <v>2</v>
      </c>
      <c r="J233" s="1">
        <v>157.13999999999999</v>
      </c>
      <c r="K233" s="1">
        <v>0.03</v>
      </c>
      <c r="L233" s="1">
        <v>304.85000000000002</v>
      </c>
      <c r="M233" s="1" t="str">
        <f t="shared" si="6"/>
        <v>Online</v>
      </c>
      <c r="N233" s="1">
        <f t="shared" si="7"/>
        <v>405</v>
      </c>
    </row>
    <row r="234" spans="1:14" x14ac:dyDescent="0.3">
      <c r="A234" s="1" t="s">
        <v>2056</v>
      </c>
      <c r="B234" s="1">
        <v>46118</v>
      </c>
      <c r="C234" s="1" t="s">
        <v>54</v>
      </c>
      <c r="D234" s="1" t="s">
        <v>15</v>
      </c>
      <c r="E234" s="1" t="s">
        <v>28</v>
      </c>
      <c r="F234" s="1" t="s">
        <v>17</v>
      </c>
      <c r="G234" s="1" t="s">
        <v>98</v>
      </c>
      <c r="H234" s="1" t="s">
        <v>56</v>
      </c>
      <c r="I234" s="1">
        <v>2</v>
      </c>
      <c r="J234" s="1">
        <v>384.75</v>
      </c>
      <c r="K234" s="1">
        <v>0.15</v>
      </c>
      <c r="L234" s="1">
        <v>654.08000000000004</v>
      </c>
      <c r="M234" s="1" t="str">
        <f t="shared" si="6"/>
        <v>Online</v>
      </c>
      <c r="N234" s="1">
        <f t="shared" si="7"/>
        <v>267.12</v>
      </c>
    </row>
    <row r="235" spans="1:14" x14ac:dyDescent="0.3">
      <c r="A235" s="1" t="s">
        <v>2057</v>
      </c>
      <c r="B235" s="1">
        <v>46118</v>
      </c>
      <c r="C235" s="1" t="s">
        <v>61</v>
      </c>
      <c r="D235" s="1" t="s">
        <v>27</v>
      </c>
      <c r="E235" s="1" t="s">
        <v>28</v>
      </c>
      <c r="F235" s="1" t="s">
        <v>42</v>
      </c>
      <c r="G235" s="1" t="s">
        <v>67</v>
      </c>
      <c r="H235" s="1" t="s">
        <v>112</v>
      </c>
      <c r="I235" s="1">
        <v>3</v>
      </c>
      <c r="J235" s="1">
        <v>239.4</v>
      </c>
      <c r="K235" s="1">
        <v>0.08</v>
      </c>
      <c r="L235" s="1">
        <v>660.74</v>
      </c>
      <c r="M235" s="1" t="str">
        <f t="shared" si="6"/>
        <v>Online</v>
      </c>
      <c r="N235" s="1">
        <f t="shared" si="7"/>
        <v>62.01</v>
      </c>
    </row>
    <row r="236" spans="1:14" x14ac:dyDescent="0.3">
      <c r="A236" s="1" t="s">
        <v>2058</v>
      </c>
      <c r="B236" s="1">
        <v>46118</v>
      </c>
      <c r="C236" s="1" t="s">
        <v>54</v>
      </c>
      <c r="D236" s="1" t="s">
        <v>22</v>
      </c>
      <c r="E236" s="1" t="s">
        <v>28</v>
      </c>
      <c r="F236" s="1" t="s">
        <v>17</v>
      </c>
      <c r="G236" s="1" t="s">
        <v>98</v>
      </c>
      <c r="H236" s="1" t="s">
        <v>56</v>
      </c>
      <c r="I236" s="1">
        <v>3</v>
      </c>
      <c r="J236" s="1">
        <v>405</v>
      </c>
      <c r="K236" s="1">
        <v>0.08</v>
      </c>
      <c r="L236" s="1">
        <v>1117.8</v>
      </c>
      <c r="M236" s="1" t="str">
        <f t="shared" si="6"/>
        <v>Online</v>
      </c>
      <c r="N236" s="1">
        <f t="shared" si="7"/>
        <v>267.12</v>
      </c>
    </row>
    <row r="237" spans="1:14" x14ac:dyDescent="0.3">
      <c r="A237" s="1" t="s">
        <v>2059</v>
      </c>
      <c r="B237" s="1">
        <v>46118</v>
      </c>
      <c r="C237" s="1" t="s">
        <v>21</v>
      </c>
      <c r="D237" s="1" t="s">
        <v>15</v>
      </c>
      <c r="E237" s="1" t="s">
        <v>16</v>
      </c>
      <c r="F237" s="1" t="s">
        <v>17</v>
      </c>
      <c r="G237" s="1" t="s">
        <v>98</v>
      </c>
      <c r="H237" s="1" t="s">
        <v>86</v>
      </c>
      <c r="I237" s="1">
        <v>3</v>
      </c>
      <c r="J237" s="1">
        <v>384.75</v>
      </c>
      <c r="K237" s="1">
        <v>0.08</v>
      </c>
      <c r="L237" s="1">
        <v>1061.9100000000001</v>
      </c>
      <c r="M237" s="1" t="str">
        <f t="shared" si="6"/>
        <v>Online</v>
      </c>
      <c r="N237" s="1">
        <f t="shared" si="7"/>
        <v>405</v>
      </c>
    </row>
    <row r="238" spans="1:14" x14ac:dyDescent="0.3">
      <c r="A238" s="1" t="s">
        <v>2060</v>
      </c>
      <c r="B238" s="1">
        <v>46118</v>
      </c>
      <c r="C238" s="1" t="s">
        <v>47</v>
      </c>
      <c r="D238" s="1" t="s">
        <v>15</v>
      </c>
      <c r="E238" s="1" t="s">
        <v>16</v>
      </c>
      <c r="F238" s="1" t="s">
        <v>29</v>
      </c>
      <c r="G238" s="1" t="s">
        <v>33</v>
      </c>
      <c r="H238" s="1" t="s">
        <v>78</v>
      </c>
      <c r="I238" s="1">
        <v>7</v>
      </c>
      <c r="J238" s="1">
        <v>13.77</v>
      </c>
      <c r="K238" s="1">
        <v>0.15</v>
      </c>
      <c r="L238" s="1">
        <v>81.93</v>
      </c>
      <c r="M238" s="1" t="str">
        <f t="shared" si="6"/>
        <v>Retail Store</v>
      </c>
      <c r="N238" s="1">
        <f t="shared" si="7"/>
        <v>421.2</v>
      </c>
    </row>
    <row r="239" spans="1:14" x14ac:dyDescent="0.3">
      <c r="A239" s="1" t="s">
        <v>2061</v>
      </c>
      <c r="B239" s="1">
        <v>46118</v>
      </c>
      <c r="C239" s="1" t="s">
        <v>47</v>
      </c>
      <c r="D239" s="1" t="s">
        <v>15</v>
      </c>
      <c r="E239" s="1" t="s">
        <v>16</v>
      </c>
      <c r="F239" s="1" t="s">
        <v>29</v>
      </c>
      <c r="G239" s="1" t="s">
        <v>33</v>
      </c>
      <c r="H239" s="1" t="s">
        <v>78</v>
      </c>
      <c r="I239" s="1">
        <v>3</v>
      </c>
      <c r="J239" s="1">
        <v>13.5</v>
      </c>
      <c r="K239" s="1">
        <v>0.08</v>
      </c>
      <c r="L239" s="1">
        <v>37.26</v>
      </c>
      <c r="M239" s="1" t="str">
        <f t="shared" si="6"/>
        <v>Retail Store</v>
      </c>
      <c r="N239" s="1">
        <f t="shared" si="7"/>
        <v>421.2</v>
      </c>
    </row>
    <row r="240" spans="1:14" x14ac:dyDescent="0.3">
      <c r="A240" s="1" t="s">
        <v>2049</v>
      </c>
      <c r="B240" s="1">
        <v>46119</v>
      </c>
      <c r="C240" s="1" t="s">
        <v>47</v>
      </c>
      <c r="D240" s="1" t="s">
        <v>35</v>
      </c>
      <c r="E240" s="1" t="s">
        <v>16</v>
      </c>
      <c r="F240" s="1" t="s">
        <v>82</v>
      </c>
      <c r="G240" s="1" t="s">
        <v>150</v>
      </c>
      <c r="H240" s="1" t="s">
        <v>49</v>
      </c>
      <c r="I240" s="1">
        <v>2</v>
      </c>
      <c r="J240" s="1">
        <v>2736</v>
      </c>
      <c r="K240" s="1">
        <v>0.03</v>
      </c>
      <c r="L240" s="1">
        <v>5307.84</v>
      </c>
      <c r="M240" s="1" t="str">
        <f t="shared" si="6"/>
        <v>Retail Store</v>
      </c>
      <c r="N240" s="1">
        <f t="shared" si="7"/>
        <v>421.2</v>
      </c>
    </row>
    <row r="241" spans="1:14" x14ac:dyDescent="0.3">
      <c r="A241" s="1" t="s">
        <v>2050</v>
      </c>
      <c r="B241" s="1">
        <v>46119</v>
      </c>
      <c r="C241" s="1" t="s">
        <v>14</v>
      </c>
      <c r="D241" s="1" t="s">
        <v>15</v>
      </c>
      <c r="E241" s="1" t="s">
        <v>28</v>
      </c>
      <c r="F241" s="1" t="s">
        <v>82</v>
      </c>
      <c r="G241" s="1" t="s">
        <v>83</v>
      </c>
      <c r="H241" s="1" t="s">
        <v>31</v>
      </c>
      <c r="I241" s="1">
        <v>2</v>
      </c>
      <c r="J241" s="1">
        <v>3666.6</v>
      </c>
      <c r="K241" s="1">
        <v>0.1</v>
      </c>
      <c r="L241" s="1">
        <v>6599.88</v>
      </c>
      <c r="M241" s="1" t="str">
        <f t="shared" si="6"/>
        <v>Online</v>
      </c>
      <c r="N241" s="1">
        <f t="shared" si="7"/>
        <v>16.2</v>
      </c>
    </row>
    <row r="242" spans="1:14" x14ac:dyDescent="0.3">
      <c r="A242" s="1" t="s">
        <v>2051</v>
      </c>
      <c r="B242" s="1">
        <v>46119</v>
      </c>
      <c r="C242" s="1" t="s">
        <v>14</v>
      </c>
      <c r="D242" s="1" t="s">
        <v>15</v>
      </c>
      <c r="E242" s="1" t="s">
        <v>16</v>
      </c>
      <c r="F242" s="1" t="s">
        <v>42</v>
      </c>
      <c r="G242" s="1" t="s">
        <v>67</v>
      </c>
      <c r="H242" s="1" t="s">
        <v>31</v>
      </c>
      <c r="I242" s="1">
        <v>4</v>
      </c>
      <c r="J242" s="1">
        <v>267.12</v>
      </c>
      <c r="K242" s="1">
        <v>0.2</v>
      </c>
      <c r="L242" s="1">
        <v>854.78</v>
      </c>
      <c r="M242" s="1" t="str">
        <f t="shared" si="6"/>
        <v>Online</v>
      </c>
      <c r="N242" s="1">
        <f t="shared" si="7"/>
        <v>16.2</v>
      </c>
    </row>
    <row r="243" spans="1:14" x14ac:dyDescent="0.3">
      <c r="A243" s="1" t="s">
        <v>2052</v>
      </c>
      <c r="B243" s="1">
        <v>46119</v>
      </c>
      <c r="C243" s="1" t="s">
        <v>61</v>
      </c>
      <c r="D243" s="1" t="s">
        <v>27</v>
      </c>
      <c r="E243" s="1" t="s">
        <v>16</v>
      </c>
      <c r="F243" s="1" t="s">
        <v>29</v>
      </c>
      <c r="G243" s="1" t="s">
        <v>30</v>
      </c>
      <c r="H243" s="1" t="s">
        <v>63</v>
      </c>
      <c r="I243" s="1">
        <v>2</v>
      </c>
      <c r="J243" s="1">
        <v>50.49</v>
      </c>
      <c r="K243" s="1">
        <v>0.2</v>
      </c>
      <c r="L243" s="1">
        <v>80.78</v>
      </c>
      <c r="M243" s="1" t="str">
        <f t="shared" si="6"/>
        <v>Retail Store</v>
      </c>
      <c r="N243" s="1">
        <f t="shared" si="7"/>
        <v>62.01</v>
      </c>
    </row>
    <row r="244" spans="1:14" x14ac:dyDescent="0.3">
      <c r="A244" s="1" t="s">
        <v>2053</v>
      </c>
      <c r="B244" s="1">
        <v>46119</v>
      </c>
      <c r="C244" s="1" t="s">
        <v>14</v>
      </c>
      <c r="D244" s="1" t="s">
        <v>27</v>
      </c>
      <c r="E244" s="1" t="s">
        <v>16</v>
      </c>
      <c r="F244" s="1" t="s">
        <v>36</v>
      </c>
      <c r="G244" s="1" t="s">
        <v>119</v>
      </c>
      <c r="H244" s="1" t="s">
        <v>31</v>
      </c>
      <c r="I244" s="1">
        <v>3</v>
      </c>
      <c r="J244" s="1">
        <v>667.8</v>
      </c>
      <c r="K244" s="1">
        <v>0</v>
      </c>
      <c r="L244" s="1">
        <v>2003.4</v>
      </c>
      <c r="M244" s="1" t="str">
        <f t="shared" si="6"/>
        <v>Online</v>
      </c>
      <c r="N244" s="1">
        <f t="shared" si="7"/>
        <v>16.2</v>
      </c>
    </row>
    <row r="245" spans="1:14" x14ac:dyDescent="0.3">
      <c r="A245" s="1" t="s">
        <v>2045</v>
      </c>
      <c r="B245" s="1">
        <v>46120</v>
      </c>
      <c r="C245" s="1" t="s">
        <v>54</v>
      </c>
      <c r="D245" s="1" t="s">
        <v>15</v>
      </c>
      <c r="E245" s="1" t="s">
        <v>16</v>
      </c>
      <c r="F245" s="1" t="s">
        <v>17</v>
      </c>
      <c r="G245" s="1" t="s">
        <v>98</v>
      </c>
      <c r="H245" s="1" t="s">
        <v>80</v>
      </c>
      <c r="I245" s="1">
        <v>5</v>
      </c>
      <c r="J245" s="1">
        <v>405</v>
      </c>
      <c r="K245" s="1">
        <v>0</v>
      </c>
      <c r="L245" s="1">
        <v>2025</v>
      </c>
      <c r="M245" s="1" t="str">
        <f t="shared" si="6"/>
        <v>Marketplace</v>
      </c>
      <c r="N245" s="1">
        <f t="shared" si="7"/>
        <v>267.12</v>
      </c>
    </row>
    <row r="246" spans="1:14" x14ac:dyDescent="0.3">
      <c r="A246" s="1" t="s">
        <v>2046</v>
      </c>
      <c r="B246" s="1">
        <v>46120</v>
      </c>
      <c r="C246" s="1" t="s">
        <v>14</v>
      </c>
      <c r="D246" s="1" t="s">
        <v>27</v>
      </c>
      <c r="E246" s="1" t="s">
        <v>16</v>
      </c>
      <c r="F246" s="1" t="s">
        <v>36</v>
      </c>
      <c r="G246" s="1" t="s">
        <v>77</v>
      </c>
      <c r="H246" s="1" t="s">
        <v>19</v>
      </c>
      <c r="I246" s="1">
        <v>3</v>
      </c>
      <c r="J246" s="1">
        <v>1309.5</v>
      </c>
      <c r="K246" s="1">
        <v>0</v>
      </c>
      <c r="L246" s="1">
        <v>3928.5</v>
      </c>
      <c r="M246" s="1" t="str">
        <f t="shared" si="6"/>
        <v>Retail Store</v>
      </c>
      <c r="N246" s="1">
        <f t="shared" si="7"/>
        <v>16.2</v>
      </c>
    </row>
    <row r="247" spans="1:14" x14ac:dyDescent="0.3">
      <c r="A247" s="1" t="s">
        <v>2047</v>
      </c>
      <c r="B247" s="1">
        <v>46120</v>
      </c>
      <c r="C247" s="1" t="s">
        <v>61</v>
      </c>
      <c r="D247" s="1" t="s">
        <v>27</v>
      </c>
      <c r="E247" s="1" t="s">
        <v>28</v>
      </c>
      <c r="F247" s="1" t="s">
        <v>36</v>
      </c>
      <c r="G247" s="1" t="s">
        <v>77</v>
      </c>
      <c r="H247" s="1" t="s">
        <v>73</v>
      </c>
      <c r="I247" s="1">
        <v>3</v>
      </c>
      <c r="J247" s="1">
        <v>1309.5</v>
      </c>
      <c r="K247" s="1">
        <v>0.03</v>
      </c>
      <c r="L247" s="1">
        <v>3810.65</v>
      </c>
      <c r="M247" s="1" t="str">
        <f t="shared" si="6"/>
        <v>Online</v>
      </c>
      <c r="N247" s="1">
        <f t="shared" si="7"/>
        <v>62.01</v>
      </c>
    </row>
    <row r="248" spans="1:14" x14ac:dyDescent="0.3">
      <c r="A248" s="1" t="s">
        <v>2048</v>
      </c>
      <c r="B248" s="1">
        <v>46120</v>
      </c>
      <c r="C248" s="1" t="s">
        <v>21</v>
      </c>
      <c r="D248" s="1" t="s">
        <v>22</v>
      </c>
      <c r="E248" s="1" t="s">
        <v>28</v>
      </c>
      <c r="F248" s="1" t="s">
        <v>29</v>
      </c>
      <c r="G248" s="1" t="s">
        <v>88</v>
      </c>
      <c r="H248" s="1" t="s">
        <v>44</v>
      </c>
      <c r="I248" s="1">
        <v>3</v>
      </c>
      <c r="J248" s="1">
        <v>58.5</v>
      </c>
      <c r="K248" s="1">
        <v>0.05</v>
      </c>
      <c r="L248" s="1">
        <v>166.73</v>
      </c>
      <c r="M248" s="1" t="str">
        <f t="shared" si="6"/>
        <v>Retail Store</v>
      </c>
      <c r="N248" s="1">
        <f t="shared" si="7"/>
        <v>405</v>
      </c>
    </row>
    <row r="249" spans="1:14" x14ac:dyDescent="0.3">
      <c r="A249" s="1" t="s">
        <v>2039</v>
      </c>
      <c r="B249" s="1">
        <v>46121</v>
      </c>
      <c r="C249" s="1" t="s">
        <v>47</v>
      </c>
      <c r="D249" s="1" t="s">
        <v>27</v>
      </c>
      <c r="E249" s="1" t="s">
        <v>28</v>
      </c>
      <c r="F249" s="1" t="s">
        <v>17</v>
      </c>
      <c r="G249" s="1" t="s">
        <v>98</v>
      </c>
      <c r="H249" s="1" t="s">
        <v>49</v>
      </c>
      <c r="I249" s="1">
        <v>3</v>
      </c>
      <c r="J249" s="1">
        <v>405</v>
      </c>
      <c r="K249" s="1">
        <v>0.05</v>
      </c>
      <c r="L249" s="1">
        <v>1154.25</v>
      </c>
      <c r="M249" s="1" t="str">
        <f t="shared" si="6"/>
        <v>Retail Store</v>
      </c>
      <c r="N249" s="1">
        <f t="shared" si="7"/>
        <v>421.2</v>
      </c>
    </row>
    <row r="250" spans="1:14" x14ac:dyDescent="0.3">
      <c r="A250" s="1" t="s">
        <v>2040</v>
      </c>
      <c r="B250" s="1">
        <v>46121</v>
      </c>
      <c r="C250" s="1" t="s">
        <v>14</v>
      </c>
      <c r="D250" s="1" t="s">
        <v>15</v>
      </c>
      <c r="E250" s="1" t="s">
        <v>16</v>
      </c>
      <c r="F250" s="1" t="s">
        <v>29</v>
      </c>
      <c r="G250" s="1" t="s">
        <v>30</v>
      </c>
      <c r="H250" s="1" t="s">
        <v>19</v>
      </c>
      <c r="I250" s="1">
        <v>2</v>
      </c>
      <c r="J250" s="1">
        <v>47.03</v>
      </c>
      <c r="K250" s="1">
        <v>0.08</v>
      </c>
      <c r="L250" s="1">
        <v>86.53</v>
      </c>
      <c r="M250" s="1" t="str">
        <f t="shared" si="6"/>
        <v>Retail Store</v>
      </c>
      <c r="N250" s="1">
        <f t="shared" si="7"/>
        <v>16.2</v>
      </c>
    </row>
    <row r="251" spans="1:14" x14ac:dyDescent="0.3">
      <c r="A251" s="1" t="s">
        <v>2041</v>
      </c>
      <c r="B251" s="1">
        <v>46121</v>
      </c>
      <c r="C251" s="1" t="s">
        <v>21</v>
      </c>
      <c r="D251" s="1" t="s">
        <v>15</v>
      </c>
      <c r="E251" s="1" t="s">
        <v>16</v>
      </c>
      <c r="F251" s="1" t="s">
        <v>23</v>
      </c>
      <c r="G251" s="1" t="s">
        <v>116</v>
      </c>
      <c r="H251" s="1" t="s">
        <v>25</v>
      </c>
      <c r="I251" s="1">
        <v>7</v>
      </c>
      <c r="J251" s="1">
        <v>7.2</v>
      </c>
      <c r="K251" s="1">
        <v>0.05</v>
      </c>
      <c r="L251" s="1">
        <v>47.88</v>
      </c>
      <c r="M251" s="1" t="str">
        <f t="shared" si="6"/>
        <v>Marketplace</v>
      </c>
      <c r="N251" s="1">
        <f t="shared" si="7"/>
        <v>405</v>
      </c>
    </row>
    <row r="252" spans="1:14" x14ac:dyDescent="0.3">
      <c r="A252" s="1" t="s">
        <v>2042</v>
      </c>
      <c r="B252" s="1">
        <v>46121</v>
      </c>
      <c r="C252" s="1" t="s">
        <v>14</v>
      </c>
      <c r="D252" s="1" t="s">
        <v>15</v>
      </c>
      <c r="E252" s="1" t="s">
        <v>16</v>
      </c>
      <c r="F252" s="1" t="s">
        <v>29</v>
      </c>
      <c r="G252" s="1" t="s">
        <v>30</v>
      </c>
      <c r="H252" s="1" t="s">
        <v>31</v>
      </c>
      <c r="I252" s="1">
        <v>4</v>
      </c>
      <c r="J252" s="1">
        <v>51.48</v>
      </c>
      <c r="K252" s="1">
        <v>0.1</v>
      </c>
      <c r="L252" s="1">
        <v>185.33</v>
      </c>
      <c r="M252" s="1" t="str">
        <f t="shared" si="6"/>
        <v>Online</v>
      </c>
      <c r="N252" s="1">
        <f t="shared" si="7"/>
        <v>16.2</v>
      </c>
    </row>
    <row r="253" spans="1:14" x14ac:dyDescent="0.3">
      <c r="A253" s="1" t="s">
        <v>2043</v>
      </c>
      <c r="B253" s="1">
        <v>46121</v>
      </c>
      <c r="C253" s="1" t="s">
        <v>21</v>
      </c>
      <c r="D253" s="1" t="s">
        <v>22</v>
      </c>
      <c r="E253" s="1" t="s">
        <v>28</v>
      </c>
      <c r="F253" s="1" t="s">
        <v>17</v>
      </c>
      <c r="G253" s="1" t="s">
        <v>98</v>
      </c>
      <c r="H253" s="1" t="s">
        <v>86</v>
      </c>
      <c r="I253" s="1">
        <v>2</v>
      </c>
      <c r="J253" s="1">
        <v>384.75</v>
      </c>
      <c r="K253" s="1">
        <v>0.15</v>
      </c>
      <c r="L253" s="1">
        <v>654.08000000000004</v>
      </c>
      <c r="M253" s="1" t="str">
        <f t="shared" si="6"/>
        <v>Online</v>
      </c>
      <c r="N253" s="1">
        <f t="shared" si="7"/>
        <v>405</v>
      </c>
    </row>
    <row r="254" spans="1:14" x14ac:dyDescent="0.3">
      <c r="A254" s="1" t="s">
        <v>2044</v>
      </c>
      <c r="B254" s="1">
        <v>46121</v>
      </c>
      <c r="C254" s="1" t="s">
        <v>14</v>
      </c>
      <c r="D254" s="1" t="s">
        <v>35</v>
      </c>
      <c r="E254" s="1" t="s">
        <v>16</v>
      </c>
      <c r="F254" s="1" t="s">
        <v>29</v>
      </c>
      <c r="G254" s="1" t="s">
        <v>51</v>
      </c>
      <c r="H254" s="1" t="s">
        <v>31</v>
      </c>
      <c r="I254" s="1">
        <v>6</v>
      </c>
      <c r="J254" s="1">
        <v>40.5</v>
      </c>
      <c r="K254" s="1">
        <v>0.05</v>
      </c>
      <c r="L254" s="1">
        <v>230.85</v>
      </c>
      <c r="M254" s="1" t="str">
        <f t="shared" si="6"/>
        <v>Online</v>
      </c>
      <c r="N254" s="1">
        <f t="shared" si="7"/>
        <v>16.2</v>
      </c>
    </row>
    <row r="255" spans="1:14" x14ac:dyDescent="0.3">
      <c r="A255" s="1" t="s">
        <v>2030</v>
      </c>
      <c r="B255" s="1">
        <v>46122</v>
      </c>
      <c r="C255" s="1" t="s">
        <v>61</v>
      </c>
      <c r="D255" s="1" t="s">
        <v>27</v>
      </c>
      <c r="E255" s="1" t="s">
        <v>16</v>
      </c>
      <c r="F255" s="1" t="s">
        <v>36</v>
      </c>
      <c r="G255" s="1" t="s">
        <v>77</v>
      </c>
      <c r="H255" s="1" t="s">
        <v>63</v>
      </c>
      <c r="I255" s="1">
        <v>2</v>
      </c>
      <c r="J255" s="1">
        <v>1404</v>
      </c>
      <c r="K255" s="1">
        <v>0.1</v>
      </c>
      <c r="L255" s="1">
        <v>2527.1999999999998</v>
      </c>
      <c r="M255" s="1" t="str">
        <f t="shared" si="6"/>
        <v>Retail Store</v>
      </c>
      <c r="N255" s="1">
        <f t="shared" si="7"/>
        <v>62.01</v>
      </c>
    </row>
    <row r="256" spans="1:14" x14ac:dyDescent="0.3">
      <c r="A256" s="1" t="s">
        <v>2031</v>
      </c>
      <c r="B256" s="1">
        <v>46122</v>
      </c>
      <c r="C256" s="1" t="s">
        <v>47</v>
      </c>
      <c r="D256" s="1" t="s">
        <v>22</v>
      </c>
      <c r="E256" s="1" t="s">
        <v>16</v>
      </c>
      <c r="F256" s="1" t="s">
        <v>29</v>
      </c>
      <c r="G256" s="1" t="s">
        <v>51</v>
      </c>
      <c r="H256" s="1" t="s">
        <v>78</v>
      </c>
      <c r="I256" s="1">
        <v>2</v>
      </c>
      <c r="J256" s="1">
        <v>39.29</v>
      </c>
      <c r="K256" s="1">
        <v>0.03</v>
      </c>
      <c r="L256" s="1">
        <v>76.209999999999994</v>
      </c>
      <c r="M256" s="1" t="str">
        <f t="shared" si="6"/>
        <v>Retail Store</v>
      </c>
      <c r="N256" s="1">
        <f t="shared" si="7"/>
        <v>421.2</v>
      </c>
    </row>
    <row r="257" spans="1:14" x14ac:dyDescent="0.3">
      <c r="A257" s="1" t="s">
        <v>2032</v>
      </c>
      <c r="B257" s="1">
        <v>46122</v>
      </c>
      <c r="C257" s="1" t="s">
        <v>54</v>
      </c>
      <c r="D257" s="1" t="s">
        <v>35</v>
      </c>
      <c r="E257" s="1" t="s">
        <v>28</v>
      </c>
      <c r="F257" s="1" t="s">
        <v>17</v>
      </c>
      <c r="G257" s="1" t="s">
        <v>189</v>
      </c>
      <c r="H257" s="1" t="s">
        <v>71</v>
      </c>
      <c r="I257" s="1">
        <v>13</v>
      </c>
      <c r="J257" s="1">
        <v>273.60000000000002</v>
      </c>
      <c r="K257" s="1">
        <v>0.2</v>
      </c>
      <c r="L257" s="1">
        <v>2845.44</v>
      </c>
      <c r="M257" s="1" t="str">
        <f t="shared" si="6"/>
        <v>Online</v>
      </c>
      <c r="N257" s="1">
        <f t="shared" si="7"/>
        <v>267.12</v>
      </c>
    </row>
    <row r="258" spans="1:14" x14ac:dyDescent="0.3">
      <c r="A258" s="1" t="s">
        <v>2033</v>
      </c>
      <c r="B258" s="1">
        <v>46122</v>
      </c>
      <c r="C258" s="1" t="s">
        <v>61</v>
      </c>
      <c r="D258" s="1" t="s">
        <v>35</v>
      </c>
      <c r="E258" s="1" t="s">
        <v>16</v>
      </c>
      <c r="F258" s="1" t="s">
        <v>82</v>
      </c>
      <c r="G258" s="1" t="s">
        <v>85</v>
      </c>
      <c r="H258" s="1" t="s">
        <v>63</v>
      </c>
      <c r="I258" s="1">
        <v>3</v>
      </c>
      <c r="J258" s="1">
        <v>1539</v>
      </c>
      <c r="K258" s="1">
        <v>0.05</v>
      </c>
      <c r="L258" s="1">
        <v>4386.1499999999996</v>
      </c>
      <c r="M258" s="1" t="str">
        <f t="shared" ref="M258:M321" si="8">INDEX(D:D,MATCH(H258,H:H,0))</f>
        <v>Retail Store</v>
      </c>
      <c r="N258" s="1">
        <f t="shared" ref="N258:N321" si="9">VLOOKUP(C:C,C:J,8,FALSE)</f>
        <v>62.01</v>
      </c>
    </row>
    <row r="259" spans="1:14" x14ac:dyDescent="0.3">
      <c r="A259" s="1" t="s">
        <v>2034</v>
      </c>
      <c r="B259" s="1">
        <v>46122</v>
      </c>
      <c r="C259" s="1" t="s">
        <v>54</v>
      </c>
      <c r="D259" s="1" t="s">
        <v>35</v>
      </c>
      <c r="E259" s="1" t="s">
        <v>16</v>
      </c>
      <c r="F259" s="1" t="s">
        <v>23</v>
      </c>
      <c r="G259" s="1" t="s">
        <v>178</v>
      </c>
      <c r="H259" s="1" t="s">
        <v>56</v>
      </c>
      <c r="I259" s="1">
        <v>9</v>
      </c>
      <c r="J259" s="1">
        <v>31.5</v>
      </c>
      <c r="K259" s="1">
        <v>0.03</v>
      </c>
      <c r="L259" s="1">
        <v>275</v>
      </c>
      <c r="M259" s="1" t="str">
        <f t="shared" si="8"/>
        <v>Online</v>
      </c>
      <c r="N259" s="1">
        <f t="shared" si="9"/>
        <v>267.12</v>
      </c>
    </row>
    <row r="260" spans="1:14" x14ac:dyDescent="0.3">
      <c r="A260" s="1" t="s">
        <v>2035</v>
      </c>
      <c r="B260" s="1">
        <v>46122</v>
      </c>
      <c r="C260" s="1" t="s">
        <v>54</v>
      </c>
      <c r="D260" s="1" t="s">
        <v>27</v>
      </c>
      <c r="E260" s="1" t="s">
        <v>16</v>
      </c>
      <c r="F260" s="1" t="s">
        <v>36</v>
      </c>
      <c r="G260" s="1" t="s">
        <v>119</v>
      </c>
      <c r="H260" s="1" t="s">
        <v>80</v>
      </c>
      <c r="I260" s="1">
        <v>2</v>
      </c>
      <c r="J260" s="1">
        <v>655.20000000000005</v>
      </c>
      <c r="K260" s="1">
        <v>0</v>
      </c>
      <c r="L260" s="1">
        <v>1310.4000000000001</v>
      </c>
      <c r="M260" s="1" t="str">
        <f t="shared" si="8"/>
        <v>Marketplace</v>
      </c>
      <c r="N260" s="1">
        <f t="shared" si="9"/>
        <v>267.12</v>
      </c>
    </row>
    <row r="261" spans="1:14" x14ac:dyDescent="0.3">
      <c r="A261" s="1" t="s">
        <v>2036</v>
      </c>
      <c r="B261" s="1">
        <v>46122</v>
      </c>
      <c r="C261" s="1" t="s">
        <v>61</v>
      </c>
      <c r="D261" s="1" t="s">
        <v>35</v>
      </c>
      <c r="E261" s="1" t="s">
        <v>16</v>
      </c>
      <c r="F261" s="1" t="s">
        <v>42</v>
      </c>
      <c r="G261" s="1" t="s">
        <v>48</v>
      </c>
      <c r="H261" s="1" t="s">
        <v>112</v>
      </c>
      <c r="I261" s="1">
        <v>3</v>
      </c>
      <c r="J261" s="1">
        <v>19.079999999999998</v>
      </c>
      <c r="K261" s="1">
        <v>0.15</v>
      </c>
      <c r="L261" s="1">
        <v>48.65</v>
      </c>
      <c r="M261" s="1" t="str">
        <f t="shared" si="8"/>
        <v>Online</v>
      </c>
      <c r="N261" s="1">
        <f t="shared" si="9"/>
        <v>62.01</v>
      </c>
    </row>
    <row r="262" spans="1:14" x14ac:dyDescent="0.3">
      <c r="A262" s="1" t="s">
        <v>2037</v>
      </c>
      <c r="B262" s="1">
        <v>46122</v>
      </c>
      <c r="C262" s="1" t="s">
        <v>54</v>
      </c>
      <c r="D262" s="1" t="s">
        <v>15</v>
      </c>
      <c r="E262" s="1" t="s">
        <v>16</v>
      </c>
      <c r="F262" s="1" t="s">
        <v>29</v>
      </c>
      <c r="G262" s="1" t="s">
        <v>39</v>
      </c>
      <c r="H262" s="1" t="s">
        <v>80</v>
      </c>
      <c r="I262" s="1">
        <v>6</v>
      </c>
      <c r="J262" s="1">
        <v>72</v>
      </c>
      <c r="K262" s="1">
        <v>0.2</v>
      </c>
      <c r="L262" s="1">
        <v>345.6</v>
      </c>
      <c r="M262" s="1" t="str">
        <f t="shared" si="8"/>
        <v>Marketplace</v>
      </c>
      <c r="N262" s="1">
        <f t="shared" si="9"/>
        <v>267.12</v>
      </c>
    </row>
    <row r="263" spans="1:14" x14ac:dyDescent="0.3">
      <c r="A263" s="1" t="s">
        <v>2038</v>
      </c>
      <c r="B263" s="1">
        <v>46122</v>
      </c>
      <c r="C263" s="1" t="s">
        <v>47</v>
      </c>
      <c r="D263" s="1" t="s">
        <v>15</v>
      </c>
      <c r="E263" s="1" t="s">
        <v>16</v>
      </c>
      <c r="F263" s="1" t="s">
        <v>29</v>
      </c>
      <c r="G263" s="1" t="s">
        <v>88</v>
      </c>
      <c r="H263" s="1" t="s">
        <v>49</v>
      </c>
      <c r="I263" s="1">
        <v>2</v>
      </c>
      <c r="J263" s="1">
        <v>62.01</v>
      </c>
      <c r="K263" s="1">
        <v>0</v>
      </c>
      <c r="L263" s="1">
        <v>124.02</v>
      </c>
      <c r="M263" s="1" t="str">
        <f t="shared" si="8"/>
        <v>Retail Store</v>
      </c>
      <c r="N263" s="1">
        <f t="shared" si="9"/>
        <v>421.2</v>
      </c>
    </row>
    <row r="264" spans="1:14" x14ac:dyDescent="0.3">
      <c r="A264" s="1" t="s">
        <v>2021</v>
      </c>
      <c r="B264" s="1">
        <v>46123</v>
      </c>
      <c r="C264" s="1" t="s">
        <v>61</v>
      </c>
      <c r="D264" s="1" t="s">
        <v>22</v>
      </c>
      <c r="E264" s="1" t="s">
        <v>16</v>
      </c>
      <c r="F264" s="1" t="s">
        <v>29</v>
      </c>
      <c r="G264" s="1" t="s">
        <v>33</v>
      </c>
      <c r="H264" s="1" t="s">
        <v>63</v>
      </c>
      <c r="I264" s="1">
        <v>8</v>
      </c>
      <c r="J264" s="1">
        <v>13.5</v>
      </c>
      <c r="K264" s="1">
        <v>0.1</v>
      </c>
      <c r="L264" s="1">
        <v>97.2</v>
      </c>
      <c r="M264" s="1" t="str">
        <f t="shared" si="8"/>
        <v>Retail Store</v>
      </c>
      <c r="N264" s="1">
        <f t="shared" si="9"/>
        <v>62.01</v>
      </c>
    </row>
    <row r="265" spans="1:14" x14ac:dyDescent="0.3">
      <c r="A265" s="1" t="s">
        <v>2022</v>
      </c>
      <c r="B265" s="1">
        <v>46123</v>
      </c>
      <c r="C265" s="1" t="s">
        <v>47</v>
      </c>
      <c r="D265" s="1" t="s">
        <v>27</v>
      </c>
      <c r="E265" s="1" t="s">
        <v>16</v>
      </c>
      <c r="F265" s="1" t="s">
        <v>42</v>
      </c>
      <c r="G265" s="1" t="s">
        <v>67</v>
      </c>
      <c r="H265" s="1" t="s">
        <v>58</v>
      </c>
      <c r="I265" s="1">
        <v>8</v>
      </c>
      <c r="J265" s="1">
        <v>252</v>
      </c>
      <c r="K265" s="1">
        <v>0.05</v>
      </c>
      <c r="L265" s="1">
        <v>1915.2</v>
      </c>
      <c r="M265" s="1" t="str">
        <f t="shared" si="8"/>
        <v>Corporate Sales</v>
      </c>
      <c r="N265" s="1">
        <f t="shared" si="9"/>
        <v>421.2</v>
      </c>
    </row>
    <row r="266" spans="1:14" x14ac:dyDescent="0.3">
      <c r="A266" s="1" t="s">
        <v>2023</v>
      </c>
      <c r="B266" s="1">
        <v>46123</v>
      </c>
      <c r="C266" s="1" t="s">
        <v>14</v>
      </c>
      <c r="D266" s="1" t="s">
        <v>15</v>
      </c>
      <c r="E266" s="1" t="s">
        <v>16</v>
      </c>
      <c r="F266" s="1" t="s">
        <v>36</v>
      </c>
      <c r="G266" s="1" t="s">
        <v>37</v>
      </c>
      <c r="H266" s="1" t="s">
        <v>19</v>
      </c>
      <c r="I266" s="1">
        <v>2</v>
      </c>
      <c r="J266" s="1">
        <v>795.6</v>
      </c>
      <c r="K266" s="1">
        <v>0.08</v>
      </c>
      <c r="L266" s="1">
        <v>1463.9</v>
      </c>
      <c r="M266" s="1" t="str">
        <f t="shared" si="8"/>
        <v>Retail Store</v>
      </c>
      <c r="N266" s="1">
        <f t="shared" si="9"/>
        <v>16.2</v>
      </c>
    </row>
    <row r="267" spans="1:14" x14ac:dyDescent="0.3">
      <c r="A267" s="1" t="s">
        <v>2024</v>
      </c>
      <c r="B267" s="1">
        <v>46123</v>
      </c>
      <c r="C267" s="1" t="s">
        <v>54</v>
      </c>
      <c r="D267" s="1" t="s">
        <v>27</v>
      </c>
      <c r="E267" s="1" t="s">
        <v>16</v>
      </c>
      <c r="F267" s="1" t="s">
        <v>29</v>
      </c>
      <c r="G267" s="1" t="s">
        <v>88</v>
      </c>
      <c r="H267" s="1" t="s">
        <v>56</v>
      </c>
      <c r="I267" s="1">
        <v>3</v>
      </c>
      <c r="J267" s="1">
        <v>60.84</v>
      </c>
      <c r="K267" s="1">
        <v>0.15</v>
      </c>
      <c r="L267" s="1">
        <v>155.13999999999999</v>
      </c>
      <c r="M267" s="1" t="str">
        <f t="shared" si="8"/>
        <v>Online</v>
      </c>
      <c r="N267" s="1">
        <f t="shared" si="9"/>
        <v>267.12</v>
      </c>
    </row>
    <row r="268" spans="1:14" x14ac:dyDescent="0.3">
      <c r="A268" s="1" t="s">
        <v>2025</v>
      </c>
      <c r="B268" s="1">
        <v>46123</v>
      </c>
      <c r="C268" s="1" t="s">
        <v>14</v>
      </c>
      <c r="D268" s="1" t="s">
        <v>22</v>
      </c>
      <c r="E268" s="1" t="s">
        <v>28</v>
      </c>
      <c r="F268" s="1" t="s">
        <v>29</v>
      </c>
      <c r="G268" s="1" t="s">
        <v>88</v>
      </c>
      <c r="H268" s="1" t="s">
        <v>40</v>
      </c>
      <c r="I268" s="1">
        <v>5</v>
      </c>
      <c r="J268" s="1">
        <v>58.5</v>
      </c>
      <c r="K268" s="1">
        <v>0.05</v>
      </c>
      <c r="L268" s="1">
        <v>277.88</v>
      </c>
      <c r="M268" s="1" t="str">
        <f t="shared" si="8"/>
        <v>Online</v>
      </c>
      <c r="N268" s="1">
        <f t="shared" si="9"/>
        <v>16.2</v>
      </c>
    </row>
    <row r="269" spans="1:14" x14ac:dyDescent="0.3">
      <c r="A269" s="1" t="s">
        <v>2026</v>
      </c>
      <c r="B269" s="1">
        <v>46123</v>
      </c>
      <c r="C269" s="1" t="s">
        <v>54</v>
      </c>
      <c r="D269" s="1" t="s">
        <v>15</v>
      </c>
      <c r="E269" s="1" t="s">
        <v>16</v>
      </c>
      <c r="F269" s="1" t="s">
        <v>36</v>
      </c>
      <c r="G269" s="1" t="s">
        <v>119</v>
      </c>
      <c r="H269" s="1" t="s">
        <v>71</v>
      </c>
      <c r="I269" s="1">
        <v>3</v>
      </c>
      <c r="J269" s="1">
        <v>642.6</v>
      </c>
      <c r="K269" s="1">
        <v>0.1</v>
      </c>
      <c r="L269" s="1">
        <v>1735.02</v>
      </c>
      <c r="M269" s="1" t="str">
        <f t="shared" si="8"/>
        <v>Online</v>
      </c>
      <c r="N269" s="1">
        <f t="shared" si="9"/>
        <v>267.12</v>
      </c>
    </row>
    <row r="270" spans="1:14" x14ac:dyDescent="0.3">
      <c r="A270" s="1" t="s">
        <v>2027</v>
      </c>
      <c r="B270" s="1">
        <v>46123</v>
      </c>
      <c r="C270" s="1" t="s">
        <v>47</v>
      </c>
      <c r="D270" s="1" t="s">
        <v>35</v>
      </c>
      <c r="E270" s="1" t="s">
        <v>28</v>
      </c>
      <c r="F270" s="1" t="s">
        <v>82</v>
      </c>
      <c r="G270" s="1" t="s">
        <v>114</v>
      </c>
      <c r="H270" s="1" t="s">
        <v>58</v>
      </c>
      <c r="I270" s="1">
        <v>2</v>
      </c>
      <c r="J270" s="1">
        <v>2340</v>
      </c>
      <c r="K270" s="1">
        <v>0</v>
      </c>
      <c r="L270" s="1">
        <v>4680</v>
      </c>
      <c r="M270" s="1" t="str">
        <f t="shared" si="8"/>
        <v>Corporate Sales</v>
      </c>
      <c r="N270" s="1">
        <f t="shared" si="9"/>
        <v>421.2</v>
      </c>
    </row>
    <row r="271" spans="1:14" x14ac:dyDescent="0.3">
      <c r="A271" s="1" t="s">
        <v>2028</v>
      </c>
      <c r="B271" s="1">
        <v>46123</v>
      </c>
      <c r="C271" s="1" t="s">
        <v>21</v>
      </c>
      <c r="D271" s="1" t="s">
        <v>15</v>
      </c>
      <c r="E271" s="1" t="s">
        <v>28</v>
      </c>
      <c r="F271" s="1" t="s">
        <v>29</v>
      </c>
      <c r="G271" s="1" t="s">
        <v>51</v>
      </c>
      <c r="H271" s="1" t="s">
        <v>44</v>
      </c>
      <c r="I271" s="1">
        <v>4</v>
      </c>
      <c r="J271" s="1">
        <v>42.93</v>
      </c>
      <c r="K271" s="1">
        <v>0.1</v>
      </c>
      <c r="L271" s="1">
        <v>154.55000000000001</v>
      </c>
      <c r="M271" s="1" t="str">
        <f t="shared" si="8"/>
        <v>Retail Store</v>
      </c>
      <c r="N271" s="1">
        <f t="shared" si="9"/>
        <v>405</v>
      </c>
    </row>
    <row r="272" spans="1:14" x14ac:dyDescent="0.3">
      <c r="A272" s="1" t="s">
        <v>2029</v>
      </c>
      <c r="B272" s="1">
        <v>46123</v>
      </c>
      <c r="C272" s="1" t="s">
        <v>54</v>
      </c>
      <c r="D272" s="1" t="s">
        <v>22</v>
      </c>
      <c r="E272" s="1" t="s">
        <v>28</v>
      </c>
      <c r="F272" s="1" t="s">
        <v>36</v>
      </c>
      <c r="G272" s="1" t="s">
        <v>37</v>
      </c>
      <c r="H272" s="1" t="s">
        <v>71</v>
      </c>
      <c r="I272" s="1">
        <v>5</v>
      </c>
      <c r="J272" s="1">
        <v>765</v>
      </c>
      <c r="K272" s="1">
        <v>0.05</v>
      </c>
      <c r="L272" s="1">
        <v>3633.75</v>
      </c>
      <c r="M272" s="1" t="str">
        <f t="shared" si="8"/>
        <v>Online</v>
      </c>
      <c r="N272" s="1">
        <f t="shared" si="9"/>
        <v>267.12</v>
      </c>
    </row>
    <row r="273" spans="1:14" x14ac:dyDescent="0.3">
      <c r="A273" s="1" t="s">
        <v>2018</v>
      </c>
      <c r="B273" s="1">
        <v>46124</v>
      </c>
      <c r="C273" s="1" t="s">
        <v>54</v>
      </c>
      <c r="D273" s="1" t="s">
        <v>15</v>
      </c>
      <c r="E273" s="1" t="s">
        <v>16</v>
      </c>
      <c r="F273" s="1" t="s">
        <v>42</v>
      </c>
      <c r="G273" s="1" t="s">
        <v>67</v>
      </c>
      <c r="H273" s="1" t="s">
        <v>80</v>
      </c>
      <c r="I273" s="1">
        <v>4</v>
      </c>
      <c r="J273" s="1">
        <v>267.12</v>
      </c>
      <c r="K273" s="1">
        <v>0.15</v>
      </c>
      <c r="L273" s="1">
        <v>908.21</v>
      </c>
      <c r="M273" s="1" t="str">
        <f t="shared" si="8"/>
        <v>Marketplace</v>
      </c>
      <c r="N273" s="1">
        <f t="shared" si="9"/>
        <v>267.12</v>
      </c>
    </row>
    <row r="274" spans="1:14" x14ac:dyDescent="0.3">
      <c r="A274" s="1" t="s">
        <v>2019</v>
      </c>
      <c r="B274" s="1">
        <v>46124</v>
      </c>
      <c r="C274" s="1" t="s">
        <v>47</v>
      </c>
      <c r="D274" s="1" t="s">
        <v>15</v>
      </c>
      <c r="E274" s="1" t="s">
        <v>16</v>
      </c>
      <c r="F274" s="1" t="s">
        <v>82</v>
      </c>
      <c r="G274" s="1" t="s">
        <v>114</v>
      </c>
      <c r="H274" s="1" t="s">
        <v>78</v>
      </c>
      <c r="I274" s="1">
        <v>2</v>
      </c>
      <c r="J274" s="1">
        <v>2137.5</v>
      </c>
      <c r="K274" s="1">
        <v>0.2</v>
      </c>
      <c r="L274" s="1">
        <v>3420</v>
      </c>
      <c r="M274" s="1" t="str">
        <f t="shared" si="8"/>
        <v>Retail Store</v>
      </c>
      <c r="N274" s="1">
        <f t="shared" si="9"/>
        <v>421.2</v>
      </c>
    </row>
    <row r="275" spans="1:14" x14ac:dyDescent="0.3">
      <c r="A275" s="1" t="s">
        <v>2020</v>
      </c>
      <c r="B275" s="1">
        <v>46124</v>
      </c>
      <c r="C275" s="1" t="s">
        <v>21</v>
      </c>
      <c r="D275" s="1" t="s">
        <v>27</v>
      </c>
      <c r="E275" s="1" t="s">
        <v>28</v>
      </c>
      <c r="F275" s="1" t="s">
        <v>36</v>
      </c>
      <c r="G275" s="1" t="s">
        <v>77</v>
      </c>
      <c r="H275" s="1" t="s">
        <v>44</v>
      </c>
      <c r="I275" s="1">
        <v>4</v>
      </c>
      <c r="J275" s="1">
        <v>1377</v>
      </c>
      <c r="K275" s="1">
        <v>0.05</v>
      </c>
      <c r="L275" s="1">
        <v>5232.6000000000004</v>
      </c>
      <c r="M275" s="1" t="str">
        <f t="shared" si="8"/>
        <v>Retail Store</v>
      </c>
      <c r="N275" s="1">
        <f t="shared" si="9"/>
        <v>405</v>
      </c>
    </row>
    <row r="276" spans="1:14" x14ac:dyDescent="0.3">
      <c r="A276" s="1" t="s">
        <v>2011</v>
      </c>
      <c r="B276" s="1">
        <v>46143</v>
      </c>
      <c r="C276" s="1" t="s">
        <v>61</v>
      </c>
      <c r="D276" s="1" t="s">
        <v>22</v>
      </c>
      <c r="E276" s="1" t="s">
        <v>28</v>
      </c>
      <c r="F276" s="1" t="s">
        <v>29</v>
      </c>
      <c r="G276" s="1" t="s">
        <v>55</v>
      </c>
      <c r="H276" s="1" t="s">
        <v>112</v>
      </c>
      <c r="I276" s="1">
        <v>2</v>
      </c>
      <c r="J276" s="1">
        <v>34.200000000000003</v>
      </c>
      <c r="K276" s="1">
        <v>0.05</v>
      </c>
      <c r="L276" s="1">
        <v>64.98</v>
      </c>
      <c r="M276" s="1" t="str">
        <f t="shared" si="8"/>
        <v>Online</v>
      </c>
      <c r="N276" s="1">
        <f t="shared" si="9"/>
        <v>62.01</v>
      </c>
    </row>
    <row r="277" spans="1:14" x14ac:dyDescent="0.3">
      <c r="A277" s="1" t="s">
        <v>2012</v>
      </c>
      <c r="B277" s="1">
        <v>46143</v>
      </c>
      <c r="C277" s="1" t="s">
        <v>14</v>
      </c>
      <c r="D277" s="1" t="s">
        <v>22</v>
      </c>
      <c r="E277" s="1" t="s">
        <v>16</v>
      </c>
      <c r="F277" s="1" t="s">
        <v>23</v>
      </c>
      <c r="G277" s="1" t="s">
        <v>178</v>
      </c>
      <c r="H277" s="1" t="s">
        <v>40</v>
      </c>
      <c r="I277" s="1">
        <v>3</v>
      </c>
      <c r="J277" s="1">
        <v>30.56</v>
      </c>
      <c r="K277" s="1">
        <v>0.2</v>
      </c>
      <c r="L277" s="1">
        <v>73.33</v>
      </c>
      <c r="M277" s="1" t="str">
        <f t="shared" si="8"/>
        <v>Online</v>
      </c>
      <c r="N277" s="1">
        <f t="shared" si="9"/>
        <v>16.2</v>
      </c>
    </row>
    <row r="278" spans="1:14" x14ac:dyDescent="0.3">
      <c r="A278" s="1" t="s">
        <v>2013</v>
      </c>
      <c r="B278" s="1">
        <v>46143</v>
      </c>
      <c r="C278" s="1" t="s">
        <v>61</v>
      </c>
      <c r="D278" s="1" t="s">
        <v>15</v>
      </c>
      <c r="E278" s="1" t="s">
        <v>16</v>
      </c>
      <c r="F278" s="1" t="s">
        <v>17</v>
      </c>
      <c r="G278" s="1" t="s">
        <v>62</v>
      </c>
      <c r="H278" s="1" t="s">
        <v>112</v>
      </c>
      <c r="I278" s="1">
        <v>3</v>
      </c>
      <c r="J278" s="1">
        <v>54</v>
      </c>
      <c r="K278" s="1">
        <v>0</v>
      </c>
      <c r="L278" s="1">
        <v>162</v>
      </c>
      <c r="M278" s="1" t="str">
        <f t="shared" si="8"/>
        <v>Online</v>
      </c>
      <c r="N278" s="1">
        <f t="shared" si="9"/>
        <v>62.01</v>
      </c>
    </row>
    <row r="279" spans="1:14" x14ac:dyDescent="0.3">
      <c r="A279" s="1" t="s">
        <v>2014</v>
      </c>
      <c r="B279" s="1">
        <v>46143</v>
      </c>
      <c r="C279" s="1" t="s">
        <v>21</v>
      </c>
      <c r="D279" s="1" t="s">
        <v>35</v>
      </c>
      <c r="E279" s="1" t="s">
        <v>28</v>
      </c>
      <c r="F279" s="1" t="s">
        <v>82</v>
      </c>
      <c r="G279" s="1" t="s">
        <v>96</v>
      </c>
      <c r="H279" s="1" t="s">
        <v>44</v>
      </c>
      <c r="I279" s="1">
        <v>2</v>
      </c>
      <c r="J279" s="1">
        <v>2619</v>
      </c>
      <c r="K279" s="1">
        <v>0.03</v>
      </c>
      <c r="L279" s="1">
        <v>5080.8599999999997</v>
      </c>
      <c r="M279" s="1" t="str">
        <f t="shared" si="8"/>
        <v>Retail Store</v>
      </c>
      <c r="N279" s="1">
        <f t="shared" si="9"/>
        <v>405</v>
      </c>
    </row>
    <row r="280" spans="1:14" x14ac:dyDescent="0.3">
      <c r="A280" s="1" t="s">
        <v>2015</v>
      </c>
      <c r="B280" s="1">
        <v>46143</v>
      </c>
      <c r="C280" s="1" t="s">
        <v>61</v>
      </c>
      <c r="D280" s="1" t="s">
        <v>22</v>
      </c>
      <c r="E280" s="1" t="s">
        <v>28</v>
      </c>
      <c r="F280" s="1" t="s">
        <v>29</v>
      </c>
      <c r="G280" s="1" t="s">
        <v>39</v>
      </c>
      <c r="H280" s="1" t="s">
        <v>112</v>
      </c>
      <c r="I280" s="1">
        <v>4</v>
      </c>
      <c r="J280" s="1">
        <v>74.88</v>
      </c>
      <c r="K280" s="1">
        <v>0.1</v>
      </c>
      <c r="L280" s="1">
        <v>269.57</v>
      </c>
      <c r="M280" s="1" t="str">
        <f t="shared" si="8"/>
        <v>Online</v>
      </c>
      <c r="N280" s="1">
        <f t="shared" si="9"/>
        <v>62.01</v>
      </c>
    </row>
    <row r="281" spans="1:14" x14ac:dyDescent="0.3">
      <c r="A281" s="1" t="s">
        <v>2016</v>
      </c>
      <c r="B281" s="1">
        <v>46143</v>
      </c>
      <c r="C281" s="1" t="s">
        <v>14</v>
      </c>
      <c r="D281" s="1" t="s">
        <v>27</v>
      </c>
      <c r="E281" s="1" t="s">
        <v>28</v>
      </c>
      <c r="F281" s="1" t="s">
        <v>42</v>
      </c>
      <c r="G281" s="1" t="s">
        <v>48</v>
      </c>
      <c r="H281" s="1" t="s">
        <v>40</v>
      </c>
      <c r="I281" s="1">
        <v>8</v>
      </c>
      <c r="J281" s="1">
        <v>18</v>
      </c>
      <c r="K281" s="1">
        <v>0.05</v>
      </c>
      <c r="L281" s="1">
        <v>136.80000000000001</v>
      </c>
      <c r="M281" s="1" t="str">
        <f t="shared" si="8"/>
        <v>Online</v>
      </c>
      <c r="N281" s="1">
        <f t="shared" si="9"/>
        <v>16.2</v>
      </c>
    </row>
    <row r="282" spans="1:14" x14ac:dyDescent="0.3">
      <c r="A282" s="1" t="s">
        <v>2017</v>
      </c>
      <c r="B282" s="1">
        <v>46143</v>
      </c>
      <c r="C282" s="1" t="s">
        <v>21</v>
      </c>
      <c r="D282" s="1" t="s">
        <v>15</v>
      </c>
      <c r="E282" s="1" t="s">
        <v>16</v>
      </c>
      <c r="F282" s="1" t="s">
        <v>17</v>
      </c>
      <c r="G282" s="1" t="s">
        <v>189</v>
      </c>
      <c r="H282" s="1" t="s">
        <v>86</v>
      </c>
      <c r="I282" s="1">
        <v>2</v>
      </c>
      <c r="J282" s="1">
        <v>299.52</v>
      </c>
      <c r="K282" s="1">
        <v>0</v>
      </c>
      <c r="L282" s="1">
        <v>599.04</v>
      </c>
      <c r="M282" s="1" t="str">
        <f t="shared" si="8"/>
        <v>Online</v>
      </c>
      <c r="N282" s="1">
        <f t="shared" si="9"/>
        <v>405</v>
      </c>
    </row>
    <row r="283" spans="1:14" x14ac:dyDescent="0.3">
      <c r="A283" s="1" t="s">
        <v>2004</v>
      </c>
      <c r="B283" s="1">
        <v>46144</v>
      </c>
      <c r="C283" s="1" t="s">
        <v>21</v>
      </c>
      <c r="D283" s="1" t="s">
        <v>22</v>
      </c>
      <c r="E283" s="1" t="s">
        <v>16</v>
      </c>
      <c r="F283" s="1" t="s">
        <v>29</v>
      </c>
      <c r="G283" s="1" t="s">
        <v>55</v>
      </c>
      <c r="H283" s="1" t="s">
        <v>25</v>
      </c>
      <c r="I283" s="1">
        <v>5</v>
      </c>
      <c r="J283" s="1">
        <v>34.200000000000003</v>
      </c>
      <c r="K283" s="1">
        <v>0.03</v>
      </c>
      <c r="L283" s="1">
        <v>165.87</v>
      </c>
      <c r="M283" s="1" t="str">
        <f t="shared" si="8"/>
        <v>Marketplace</v>
      </c>
      <c r="N283" s="1">
        <f t="shared" si="9"/>
        <v>405</v>
      </c>
    </row>
    <row r="284" spans="1:14" x14ac:dyDescent="0.3">
      <c r="A284" s="1" t="s">
        <v>2005</v>
      </c>
      <c r="B284" s="1">
        <v>46144</v>
      </c>
      <c r="C284" s="1" t="s">
        <v>21</v>
      </c>
      <c r="D284" s="1" t="s">
        <v>35</v>
      </c>
      <c r="E284" s="1" t="s">
        <v>16</v>
      </c>
      <c r="F284" s="1" t="s">
        <v>23</v>
      </c>
      <c r="G284" s="1" t="s">
        <v>103</v>
      </c>
      <c r="H284" s="1" t="s">
        <v>44</v>
      </c>
      <c r="I284" s="1">
        <v>7</v>
      </c>
      <c r="J284" s="1">
        <v>10.48</v>
      </c>
      <c r="K284" s="1">
        <v>0.03</v>
      </c>
      <c r="L284" s="1">
        <v>71.13</v>
      </c>
      <c r="M284" s="1" t="str">
        <f t="shared" si="8"/>
        <v>Retail Store</v>
      </c>
      <c r="N284" s="1">
        <f t="shared" si="9"/>
        <v>405</v>
      </c>
    </row>
    <row r="285" spans="1:14" x14ac:dyDescent="0.3">
      <c r="A285" s="1" t="s">
        <v>2006</v>
      </c>
      <c r="B285" s="1">
        <v>46144</v>
      </c>
      <c r="C285" s="1" t="s">
        <v>61</v>
      </c>
      <c r="D285" s="1" t="s">
        <v>27</v>
      </c>
      <c r="E285" s="1" t="s">
        <v>16</v>
      </c>
      <c r="F285" s="1" t="s">
        <v>29</v>
      </c>
      <c r="G285" s="1" t="s">
        <v>88</v>
      </c>
      <c r="H285" s="1" t="s">
        <v>63</v>
      </c>
      <c r="I285" s="1">
        <v>4</v>
      </c>
      <c r="J285" s="1">
        <v>60.84</v>
      </c>
      <c r="K285" s="1">
        <v>0.05</v>
      </c>
      <c r="L285" s="1">
        <v>231.19</v>
      </c>
      <c r="M285" s="1" t="str">
        <f t="shared" si="8"/>
        <v>Retail Store</v>
      </c>
      <c r="N285" s="1">
        <f t="shared" si="9"/>
        <v>62.01</v>
      </c>
    </row>
    <row r="286" spans="1:14" x14ac:dyDescent="0.3">
      <c r="A286" s="1" t="s">
        <v>2007</v>
      </c>
      <c r="B286" s="1">
        <v>46144</v>
      </c>
      <c r="C286" s="1" t="s">
        <v>21</v>
      </c>
      <c r="D286" s="1" t="s">
        <v>15</v>
      </c>
      <c r="E286" s="1" t="s">
        <v>16</v>
      </c>
      <c r="F286" s="1" t="s">
        <v>23</v>
      </c>
      <c r="G286" s="1" t="s">
        <v>24</v>
      </c>
      <c r="H286" s="1" t="s">
        <v>25</v>
      </c>
      <c r="I286" s="1">
        <v>2</v>
      </c>
      <c r="J286" s="1">
        <v>21.38</v>
      </c>
      <c r="K286" s="1">
        <v>0.1</v>
      </c>
      <c r="L286" s="1">
        <v>38.479999999999997</v>
      </c>
      <c r="M286" s="1" t="str">
        <f t="shared" si="8"/>
        <v>Marketplace</v>
      </c>
      <c r="N286" s="1">
        <f t="shared" si="9"/>
        <v>405</v>
      </c>
    </row>
    <row r="287" spans="1:14" x14ac:dyDescent="0.3">
      <c r="A287" s="1" t="s">
        <v>2008</v>
      </c>
      <c r="B287" s="1">
        <v>46144</v>
      </c>
      <c r="C287" s="1" t="s">
        <v>47</v>
      </c>
      <c r="D287" s="1" t="s">
        <v>15</v>
      </c>
      <c r="E287" s="1" t="s">
        <v>16</v>
      </c>
      <c r="F287" s="1" t="s">
        <v>36</v>
      </c>
      <c r="G287" s="1" t="s">
        <v>77</v>
      </c>
      <c r="H287" s="1" t="s">
        <v>78</v>
      </c>
      <c r="I287" s="1">
        <v>2</v>
      </c>
      <c r="J287" s="1">
        <v>1431</v>
      </c>
      <c r="K287" s="1">
        <v>0.03</v>
      </c>
      <c r="L287" s="1">
        <v>2776.14</v>
      </c>
      <c r="M287" s="1" t="str">
        <f t="shared" si="8"/>
        <v>Retail Store</v>
      </c>
      <c r="N287" s="1">
        <f t="shared" si="9"/>
        <v>421.2</v>
      </c>
    </row>
    <row r="288" spans="1:14" x14ac:dyDescent="0.3">
      <c r="A288" s="1" t="s">
        <v>2009</v>
      </c>
      <c r="B288" s="1">
        <v>46144</v>
      </c>
      <c r="C288" s="1" t="s">
        <v>54</v>
      </c>
      <c r="D288" s="1" t="s">
        <v>15</v>
      </c>
      <c r="E288" s="1" t="s">
        <v>28</v>
      </c>
      <c r="F288" s="1" t="s">
        <v>36</v>
      </c>
      <c r="G288" s="1" t="s">
        <v>37</v>
      </c>
      <c r="H288" s="1" t="s">
        <v>56</v>
      </c>
      <c r="I288" s="1">
        <v>2</v>
      </c>
      <c r="J288" s="1">
        <v>795.6</v>
      </c>
      <c r="K288" s="1">
        <v>0.08</v>
      </c>
      <c r="L288" s="1">
        <v>1463.9</v>
      </c>
      <c r="M288" s="1" t="str">
        <f t="shared" si="8"/>
        <v>Online</v>
      </c>
      <c r="N288" s="1">
        <f t="shared" si="9"/>
        <v>267.12</v>
      </c>
    </row>
    <row r="289" spans="1:14" x14ac:dyDescent="0.3">
      <c r="A289" s="1" t="s">
        <v>2010</v>
      </c>
      <c r="B289" s="1">
        <v>46144</v>
      </c>
      <c r="C289" s="1" t="s">
        <v>61</v>
      </c>
      <c r="D289" s="1" t="s">
        <v>35</v>
      </c>
      <c r="E289" s="1" t="s">
        <v>16</v>
      </c>
      <c r="F289" s="1" t="s">
        <v>36</v>
      </c>
      <c r="G289" s="1" t="s">
        <v>37</v>
      </c>
      <c r="H289" s="1" t="s">
        <v>112</v>
      </c>
      <c r="I289" s="1">
        <v>2</v>
      </c>
      <c r="J289" s="1">
        <v>742.05</v>
      </c>
      <c r="K289" s="1">
        <v>0.03</v>
      </c>
      <c r="L289" s="1">
        <v>1439.58</v>
      </c>
      <c r="M289" s="1" t="str">
        <f t="shared" si="8"/>
        <v>Online</v>
      </c>
      <c r="N289" s="1">
        <f t="shared" si="9"/>
        <v>62.01</v>
      </c>
    </row>
    <row r="290" spans="1:14" x14ac:dyDescent="0.3">
      <c r="A290" s="1" t="s">
        <v>2001</v>
      </c>
      <c r="B290" s="1">
        <v>46145</v>
      </c>
      <c r="C290" s="1" t="s">
        <v>14</v>
      </c>
      <c r="D290" s="1" t="s">
        <v>15</v>
      </c>
      <c r="E290" s="1" t="s">
        <v>16</v>
      </c>
      <c r="F290" s="1" t="s">
        <v>17</v>
      </c>
      <c r="G290" s="1" t="s">
        <v>98</v>
      </c>
      <c r="H290" s="1" t="s">
        <v>31</v>
      </c>
      <c r="I290" s="1">
        <v>5</v>
      </c>
      <c r="J290" s="1">
        <v>413.1</v>
      </c>
      <c r="K290" s="1">
        <v>0.08</v>
      </c>
      <c r="L290" s="1">
        <v>1900.26</v>
      </c>
      <c r="M290" s="1" t="str">
        <f t="shared" si="8"/>
        <v>Online</v>
      </c>
      <c r="N290" s="1">
        <f t="shared" si="9"/>
        <v>16.2</v>
      </c>
    </row>
    <row r="291" spans="1:14" x14ac:dyDescent="0.3">
      <c r="A291" s="1" t="s">
        <v>2002</v>
      </c>
      <c r="B291" s="1">
        <v>46145</v>
      </c>
      <c r="C291" s="1" t="s">
        <v>61</v>
      </c>
      <c r="D291" s="1" t="s">
        <v>15</v>
      </c>
      <c r="E291" s="1" t="s">
        <v>16</v>
      </c>
      <c r="F291" s="1" t="s">
        <v>36</v>
      </c>
      <c r="G291" s="1" t="s">
        <v>70</v>
      </c>
      <c r="H291" s="1" t="s">
        <v>63</v>
      </c>
      <c r="I291" s="1">
        <v>4</v>
      </c>
      <c r="J291" s="1">
        <v>495.9</v>
      </c>
      <c r="K291" s="1">
        <v>0</v>
      </c>
      <c r="L291" s="1">
        <v>1983.6</v>
      </c>
      <c r="M291" s="1" t="str">
        <f t="shared" si="8"/>
        <v>Retail Store</v>
      </c>
      <c r="N291" s="1">
        <f t="shared" si="9"/>
        <v>62.01</v>
      </c>
    </row>
    <row r="292" spans="1:14" x14ac:dyDescent="0.3">
      <c r="A292" s="1" t="s">
        <v>2003</v>
      </c>
      <c r="B292" s="1">
        <v>46145</v>
      </c>
      <c r="C292" s="1" t="s">
        <v>14</v>
      </c>
      <c r="D292" s="1" t="s">
        <v>27</v>
      </c>
      <c r="E292" s="1" t="s">
        <v>16</v>
      </c>
      <c r="F292" s="1" t="s">
        <v>82</v>
      </c>
      <c r="G292" s="1" t="s">
        <v>114</v>
      </c>
      <c r="H292" s="1" t="s">
        <v>40</v>
      </c>
      <c r="I292" s="1">
        <v>5</v>
      </c>
      <c r="J292" s="1">
        <v>2250</v>
      </c>
      <c r="K292" s="1">
        <v>0.03</v>
      </c>
      <c r="L292" s="1">
        <v>10912.5</v>
      </c>
      <c r="M292" s="1" t="str">
        <f t="shared" si="8"/>
        <v>Online</v>
      </c>
      <c r="N292" s="1">
        <f t="shared" si="9"/>
        <v>16.2</v>
      </c>
    </row>
    <row r="293" spans="1:14" x14ac:dyDescent="0.3">
      <c r="A293" s="1" t="s">
        <v>1995</v>
      </c>
      <c r="B293" s="1">
        <v>46146</v>
      </c>
      <c r="C293" s="1" t="s">
        <v>47</v>
      </c>
      <c r="D293" s="1" t="s">
        <v>15</v>
      </c>
      <c r="E293" s="1" t="s">
        <v>28</v>
      </c>
      <c r="F293" s="1" t="s">
        <v>29</v>
      </c>
      <c r="G293" s="1" t="s">
        <v>55</v>
      </c>
      <c r="H293" s="1" t="s">
        <v>78</v>
      </c>
      <c r="I293" s="1">
        <v>4</v>
      </c>
      <c r="J293" s="1">
        <v>34.200000000000003</v>
      </c>
      <c r="K293" s="1">
        <v>0.03</v>
      </c>
      <c r="L293" s="1">
        <v>132.69999999999999</v>
      </c>
      <c r="M293" s="1" t="str">
        <f t="shared" si="8"/>
        <v>Retail Store</v>
      </c>
      <c r="N293" s="1">
        <f t="shared" si="9"/>
        <v>421.2</v>
      </c>
    </row>
    <row r="294" spans="1:14" x14ac:dyDescent="0.3">
      <c r="A294" s="1" t="s">
        <v>1996</v>
      </c>
      <c r="B294" s="1">
        <v>46146</v>
      </c>
      <c r="C294" s="1" t="s">
        <v>61</v>
      </c>
      <c r="D294" s="1" t="s">
        <v>15</v>
      </c>
      <c r="E294" s="1" t="s">
        <v>16</v>
      </c>
      <c r="F294" s="1" t="s">
        <v>23</v>
      </c>
      <c r="G294" s="1" t="s">
        <v>116</v>
      </c>
      <c r="H294" s="1" t="s">
        <v>63</v>
      </c>
      <c r="I294" s="1">
        <v>7</v>
      </c>
      <c r="J294" s="1">
        <v>7.34</v>
      </c>
      <c r="K294" s="1">
        <v>0.05</v>
      </c>
      <c r="L294" s="1">
        <v>48.84</v>
      </c>
      <c r="M294" s="1" t="str">
        <f t="shared" si="8"/>
        <v>Retail Store</v>
      </c>
      <c r="N294" s="1">
        <f t="shared" si="9"/>
        <v>62.01</v>
      </c>
    </row>
    <row r="295" spans="1:14" x14ac:dyDescent="0.3">
      <c r="A295" s="1" t="s">
        <v>1997</v>
      </c>
      <c r="B295" s="1">
        <v>46146</v>
      </c>
      <c r="C295" s="1" t="s">
        <v>21</v>
      </c>
      <c r="D295" s="1" t="s">
        <v>35</v>
      </c>
      <c r="E295" s="1" t="s">
        <v>16</v>
      </c>
      <c r="F295" s="1" t="s">
        <v>82</v>
      </c>
      <c r="G295" s="1" t="s">
        <v>96</v>
      </c>
      <c r="H295" s="1" t="s">
        <v>25</v>
      </c>
      <c r="I295" s="1">
        <v>2</v>
      </c>
      <c r="J295" s="1">
        <v>2565</v>
      </c>
      <c r="K295" s="1">
        <v>0.1</v>
      </c>
      <c r="L295" s="1">
        <v>4617</v>
      </c>
      <c r="M295" s="1" t="str">
        <f t="shared" si="8"/>
        <v>Marketplace</v>
      </c>
      <c r="N295" s="1">
        <f t="shared" si="9"/>
        <v>405</v>
      </c>
    </row>
    <row r="296" spans="1:14" x14ac:dyDescent="0.3">
      <c r="A296" s="1" t="s">
        <v>1998</v>
      </c>
      <c r="B296" s="1">
        <v>46146</v>
      </c>
      <c r="C296" s="1" t="s">
        <v>21</v>
      </c>
      <c r="D296" s="1" t="s">
        <v>15</v>
      </c>
      <c r="E296" s="1" t="s">
        <v>16</v>
      </c>
      <c r="F296" s="1" t="s">
        <v>17</v>
      </c>
      <c r="G296" s="1" t="s">
        <v>189</v>
      </c>
      <c r="H296" s="1" t="s">
        <v>25</v>
      </c>
      <c r="I296" s="1">
        <v>3</v>
      </c>
      <c r="J296" s="1">
        <v>273.60000000000002</v>
      </c>
      <c r="K296" s="1">
        <v>0.15</v>
      </c>
      <c r="L296" s="1">
        <v>697.68</v>
      </c>
      <c r="M296" s="1" t="str">
        <f t="shared" si="8"/>
        <v>Marketplace</v>
      </c>
      <c r="N296" s="1">
        <f t="shared" si="9"/>
        <v>405</v>
      </c>
    </row>
    <row r="297" spans="1:14" x14ac:dyDescent="0.3">
      <c r="A297" s="1" t="s">
        <v>1999</v>
      </c>
      <c r="B297" s="1">
        <v>46146</v>
      </c>
      <c r="C297" s="1" t="s">
        <v>47</v>
      </c>
      <c r="D297" s="1" t="s">
        <v>15</v>
      </c>
      <c r="E297" s="1" t="s">
        <v>16</v>
      </c>
      <c r="F297" s="1" t="s">
        <v>42</v>
      </c>
      <c r="G297" s="1" t="s">
        <v>65</v>
      </c>
      <c r="H297" s="1" t="s">
        <v>49</v>
      </c>
      <c r="I297" s="1">
        <v>6</v>
      </c>
      <c r="J297" s="1">
        <v>675</v>
      </c>
      <c r="K297" s="1">
        <v>0.08</v>
      </c>
      <c r="L297" s="1">
        <v>3726</v>
      </c>
      <c r="M297" s="1" t="str">
        <f t="shared" si="8"/>
        <v>Retail Store</v>
      </c>
      <c r="N297" s="1">
        <f t="shared" si="9"/>
        <v>421.2</v>
      </c>
    </row>
    <row r="298" spans="1:14" x14ac:dyDescent="0.3">
      <c r="A298" s="1" t="s">
        <v>2000</v>
      </c>
      <c r="B298" s="1">
        <v>46146</v>
      </c>
      <c r="C298" s="1" t="s">
        <v>61</v>
      </c>
      <c r="D298" s="1" t="s">
        <v>15</v>
      </c>
      <c r="E298" s="1" t="s">
        <v>16</v>
      </c>
      <c r="F298" s="1" t="s">
        <v>36</v>
      </c>
      <c r="G298" s="1" t="s">
        <v>77</v>
      </c>
      <c r="H298" s="1" t="s">
        <v>73</v>
      </c>
      <c r="I298" s="1">
        <v>2</v>
      </c>
      <c r="J298" s="1">
        <v>1282.5</v>
      </c>
      <c r="K298" s="1">
        <v>0</v>
      </c>
      <c r="L298" s="1">
        <v>2565</v>
      </c>
      <c r="M298" s="1" t="str">
        <f t="shared" si="8"/>
        <v>Online</v>
      </c>
      <c r="N298" s="1">
        <f t="shared" si="9"/>
        <v>62.01</v>
      </c>
    </row>
    <row r="299" spans="1:14" x14ac:dyDescent="0.3">
      <c r="A299" s="1" t="s">
        <v>1993</v>
      </c>
      <c r="B299" s="1">
        <v>46147</v>
      </c>
      <c r="C299" s="1" t="s">
        <v>61</v>
      </c>
      <c r="D299" s="1" t="s">
        <v>35</v>
      </c>
      <c r="E299" s="1" t="s">
        <v>28</v>
      </c>
      <c r="F299" s="1" t="s">
        <v>29</v>
      </c>
      <c r="G299" s="1" t="s">
        <v>51</v>
      </c>
      <c r="H299" s="1" t="s">
        <v>112</v>
      </c>
      <c r="I299" s="1">
        <v>11</v>
      </c>
      <c r="J299" s="1">
        <v>42.12</v>
      </c>
      <c r="K299" s="1">
        <v>0</v>
      </c>
      <c r="L299" s="1">
        <v>463.32</v>
      </c>
      <c r="M299" s="1" t="str">
        <f t="shared" si="8"/>
        <v>Online</v>
      </c>
      <c r="N299" s="1">
        <f t="shared" si="9"/>
        <v>62.01</v>
      </c>
    </row>
    <row r="300" spans="1:14" x14ac:dyDescent="0.3">
      <c r="A300" s="1" t="s">
        <v>1994</v>
      </c>
      <c r="B300" s="1">
        <v>46147</v>
      </c>
      <c r="C300" s="1" t="s">
        <v>61</v>
      </c>
      <c r="D300" s="1" t="s">
        <v>15</v>
      </c>
      <c r="E300" s="1" t="s">
        <v>28</v>
      </c>
      <c r="F300" s="1" t="s">
        <v>36</v>
      </c>
      <c r="G300" s="1" t="s">
        <v>37</v>
      </c>
      <c r="H300" s="1" t="s">
        <v>63</v>
      </c>
      <c r="I300" s="1">
        <v>3</v>
      </c>
      <c r="J300" s="1">
        <v>726.75</v>
      </c>
      <c r="K300" s="1">
        <v>0.08</v>
      </c>
      <c r="L300" s="1">
        <v>2005.83</v>
      </c>
      <c r="M300" s="1" t="str">
        <f t="shared" si="8"/>
        <v>Retail Store</v>
      </c>
      <c r="N300" s="1">
        <f t="shared" si="9"/>
        <v>62.01</v>
      </c>
    </row>
    <row r="301" spans="1:14" x14ac:dyDescent="0.3">
      <c r="A301" s="1" t="s">
        <v>1988</v>
      </c>
      <c r="B301" s="1">
        <v>46148</v>
      </c>
      <c r="C301" s="1" t="s">
        <v>61</v>
      </c>
      <c r="D301" s="1" t="s">
        <v>27</v>
      </c>
      <c r="E301" s="1" t="s">
        <v>28</v>
      </c>
      <c r="F301" s="1" t="s">
        <v>82</v>
      </c>
      <c r="G301" s="1" t="s">
        <v>83</v>
      </c>
      <c r="H301" s="1" t="s">
        <v>73</v>
      </c>
      <c r="I301" s="1">
        <v>2</v>
      </c>
      <c r="J301" s="1">
        <v>3780</v>
      </c>
      <c r="K301" s="1">
        <v>0.15</v>
      </c>
      <c r="L301" s="1">
        <v>6426</v>
      </c>
      <c r="M301" s="1" t="str">
        <f t="shared" si="8"/>
        <v>Online</v>
      </c>
      <c r="N301" s="1">
        <f t="shared" si="9"/>
        <v>62.01</v>
      </c>
    </row>
    <row r="302" spans="1:14" x14ac:dyDescent="0.3">
      <c r="A302" s="1" t="s">
        <v>1989</v>
      </c>
      <c r="B302" s="1">
        <v>46148</v>
      </c>
      <c r="C302" s="1" t="s">
        <v>54</v>
      </c>
      <c r="D302" s="1" t="s">
        <v>27</v>
      </c>
      <c r="E302" s="1" t="s">
        <v>16</v>
      </c>
      <c r="F302" s="1" t="s">
        <v>36</v>
      </c>
      <c r="G302" s="1" t="s">
        <v>77</v>
      </c>
      <c r="H302" s="1" t="s">
        <v>80</v>
      </c>
      <c r="I302" s="1">
        <v>2</v>
      </c>
      <c r="J302" s="1">
        <v>1350</v>
      </c>
      <c r="K302" s="1">
        <v>0.1</v>
      </c>
      <c r="L302" s="1">
        <v>2430</v>
      </c>
      <c r="M302" s="1" t="str">
        <f t="shared" si="8"/>
        <v>Marketplace</v>
      </c>
      <c r="N302" s="1">
        <f t="shared" si="9"/>
        <v>267.12</v>
      </c>
    </row>
    <row r="303" spans="1:14" x14ac:dyDescent="0.3">
      <c r="A303" s="1" t="s">
        <v>1990</v>
      </c>
      <c r="B303" s="1">
        <v>46148</v>
      </c>
      <c r="C303" s="1" t="s">
        <v>21</v>
      </c>
      <c r="D303" s="1" t="s">
        <v>35</v>
      </c>
      <c r="E303" s="1" t="s">
        <v>16</v>
      </c>
      <c r="F303" s="1" t="s">
        <v>23</v>
      </c>
      <c r="G303" s="1" t="s">
        <v>178</v>
      </c>
      <c r="H303" s="1" t="s">
        <v>86</v>
      </c>
      <c r="I303" s="1">
        <v>7</v>
      </c>
      <c r="J303" s="1">
        <v>30.56</v>
      </c>
      <c r="K303" s="1">
        <v>0.15</v>
      </c>
      <c r="L303" s="1">
        <v>181.8</v>
      </c>
      <c r="M303" s="1" t="str">
        <f t="shared" si="8"/>
        <v>Online</v>
      </c>
      <c r="N303" s="1">
        <f t="shared" si="9"/>
        <v>405</v>
      </c>
    </row>
    <row r="304" spans="1:14" x14ac:dyDescent="0.3">
      <c r="A304" s="1" t="s">
        <v>1991</v>
      </c>
      <c r="B304" s="1">
        <v>46148</v>
      </c>
      <c r="C304" s="1" t="s">
        <v>21</v>
      </c>
      <c r="D304" s="1" t="s">
        <v>22</v>
      </c>
      <c r="E304" s="1" t="s">
        <v>16</v>
      </c>
      <c r="F304" s="1" t="s">
        <v>29</v>
      </c>
      <c r="G304" s="1" t="s">
        <v>33</v>
      </c>
      <c r="H304" s="1" t="s">
        <v>44</v>
      </c>
      <c r="I304" s="1">
        <v>4</v>
      </c>
      <c r="J304" s="1">
        <v>14.04</v>
      </c>
      <c r="K304" s="1">
        <v>0.2</v>
      </c>
      <c r="L304" s="1">
        <v>44.93</v>
      </c>
      <c r="M304" s="1" t="str">
        <f t="shared" si="8"/>
        <v>Retail Store</v>
      </c>
      <c r="N304" s="1">
        <f t="shared" si="9"/>
        <v>405</v>
      </c>
    </row>
    <row r="305" spans="1:14" x14ac:dyDescent="0.3">
      <c r="A305" s="1" t="s">
        <v>1992</v>
      </c>
      <c r="B305" s="1">
        <v>46148</v>
      </c>
      <c r="C305" s="1" t="s">
        <v>47</v>
      </c>
      <c r="D305" s="1" t="s">
        <v>15</v>
      </c>
      <c r="E305" s="1" t="s">
        <v>28</v>
      </c>
      <c r="F305" s="1" t="s">
        <v>82</v>
      </c>
      <c r="G305" s="1" t="s">
        <v>150</v>
      </c>
      <c r="H305" s="1" t="s">
        <v>58</v>
      </c>
      <c r="I305" s="1">
        <v>2</v>
      </c>
      <c r="J305" s="1">
        <v>2880</v>
      </c>
      <c r="K305" s="1">
        <v>0.08</v>
      </c>
      <c r="L305" s="1">
        <v>5299.2</v>
      </c>
      <c r="M305" s="1" t="str">
        <f t="shared" si="8"/>
        <v>Corporate Sales</v>
      </c>
      <c r="N305" s="1">
        <f t="shared" si="9"/>
        <v>421.2</v>
      </c>
    </row>
    <row r="306" spans="1:14" x14ac:dyDescent="0.3">
      <c r="A306" s="1" t="s">
        <v>1983</v>
      </c>
      <c r="B306" s="1">
        <v>46149</v>
      </c>
      <c r="C306" s="1" t="s">
        <v>54</v>
      </c>
      <c r="D306" s="1" t="s">
        <v>15</v>
      </c>
      <c r="E306" s="1" t="s">
        <v>16</v>
      </c>
      <c r="F306" s="1" t="s">
        <v>42</v>
      </c>
      <c r="G306" s="1" t="s">
        <v>48</v>
      </c>
      <c r="H306" s="1" t="s">
        <v>71</v>
      </c>
      <c r="I306" s="1">
        <v>2</v>
      </c>
      <c r="J306" s="1">
        <v>18.72</v>
      </c>
      <c r="K306" s="1">
        <v>0.08</v>
      </c>
      <c r="L306" s="1">
        <v>34.44</v>
      </c>
      <c r="M306" s="1" t="str">
        <f t="shared" si="8"/>
        <v>Online</v>
      </c>
      <c r="N306" s="1">
        <f t="shared" si="9"/>
        <v>267.12</v>
      </c>
    </row>
    <row r="307" spans="1:14" x14ac:dyDescent="0.3">
      <c r="A307" s="1" t="s">
        <v>1984</v>
      </c>
      <c r="B307" s="1">
        <v>46149</v>
      </c>
      <c r="C307" s="1" t="s">
        <v>21</v>
      </c>
      <c r="D307" s="1" t="s">
        <v>15</v>
      </c>
      <c r="E307" s="1" t="s">
        <v>16</v>
      </c>
      <c r="F307" s="1" t="s">
        <v>29</v>
      </c>
      <c r="G307" s="1" t="s">
        <v>88</v>
      </c>
      <c r="H307" s="1" t="s">
        <v>25</v>
      </c>
      <c r="I307" s="1">
        <v>3</v>
      </c>
      <c r="J307" s="1">
        <v>59.67</v>
      </c>
      <c r="K307" s="1">
        <v>0.08</v>
      </c>
      <c r="L307" s="1">
        <v>164.69</v>
      </c>
      <c r="M307" s="1" t="str">
        <f t="shared" si="8"/>
        <v>Marketplace</v>
      </c>
      <c r="N307" s="1">
        <f t="shared" si="9"/>
        <v>405</v>
      </c>
    </row>
    <row r="308" spans="1:14" x14ac:dyDescent="0.3">
      <c r="A308" s="1" t="s">
        <v>1985</v>
      </c>
      <c r="B308" s="1">
        <v>46149</v>
      </c>
      <c r="C308" s="1" t="s">
        <v>47</v>
      </c>
      <c r="D308" s="1" t="s">
        <v>35</v>
      </c>
      <c r="E308" s="1" t="s">
        <v>16</v>
      </c>
      <c r="F308" s="1" t="s">
        <v>82</v>
      </c>
      <c r="G308" s="1" t="s">
        <v>114</v>
      </c>
      <c r="H308" s="1" t="s">
        <v>49</v>
      </c>
      <c r="I308" s="1">
        <v>2</v>
      </c>
      <c r="J308" s="1">
        <v>2250</v>
      </c>
      <c r="K308" s="1">
        <v>0.15</v>
      </c>
      <c r="L308" s="1">
        <v>3825</v>
      </c>
      <c r="M308" s="1" t="str">
        <f t="shared" si="8"/>
        <v>Retail Store</v>
      </c>
      <c r="N308" s="1">
        <f t="shared" si="9"/>
        <v>421.2</v>
      </c>
    </row>
    <row r="309" spans="1:14" x14ac:dyDescent="0.3">
      <c r="A309" s="1" t="s">
        <v>1986</v>
      </c>
      <c r="B309" s="1">
        <v>46149</v>
      </c>
      <c r="C309" s="1" t="s">
        <v>14</v>
      </c>
      <c r="D309" s="1" t="s">
        <v>22</v>
      </c>
      <c r="E309" s="1" t="s">
        <v>28</v>
      </c>
      <c r="F309" s="1" t="s">
        <v>29</v>
      </c>
      <c r="G309" s="1" t="s">
        <v>55</v>
      </c>
      <c r="H309" s="1" t="s">
        <v>31</v>
      </c>
      <c r="I309" s="1">
        <v>6</v>
      </c>
      <c r="J309" s="1">
        <v>34.200000000000003</v>
      </c>
      <c r="K309" s="1">
        <v>0</v>
      </c>
      <c r="L309" s="1">
        <v>205.2</v>
      </c>
      <c r="M309" s="1" t="str">
        <f t="shared" si="8"/>
        <v>Online</v>
      </c>
      <c r="N309" s="1">
        <f t="shared" si="9"/>
        <v>16.2</v>
      </c>
    </row>
    <row r="310" spans="1:14" x14ac:dyDescent="0.3">
      <c r="A310" s="1" t="s">
        <v>1987</v>
      </c>
      <c r="B310" s="1">
        <v>46149</v>
      </c>
      <c r="C310" s="1" t="s">
        <v>47</v>
      </c>
      <c r="D310" s="1" t="s">
        <v>15</v>
      </c>
      <c r="E310" s="1" t="s">
        <v>16</v>
      </c>
      <c r="F310" s="1" t="s">
        <v>29</v>
      </c>
      <c r="G310" s="1" t="s">
        <v>33</v>
      </c>
      <c r="H310" s="1" t="s">
        <v>49</v>
      </c>
      <c r="I310" s="1">
        <v>5</v>
      </c>
      <c r="J310" s="1">
        <v>13.77</v>
      </c>
      <c r="K310" s="1">
        <v>0.03</v>
      </c>
      <c r="L310" s="1">
        <v>66.78</v>
      </c>
      <c r="M310" s="1" t="str">
        <f t="shared" si="8"/>
        <v>Retail Store</v>
      </c>
      <c r="N310" s="1">
        <f t="shared" si="9"/>
        <v>421.2</v>
      </c>
    </row>
    <row r="311" spans="1:14" x14ac:dyDescent="0.3">
      <c r="A311" s="1" t="s">
        <v>1979</v>
      </c>
      <c r="B311" s="1">
        <v>46150</v>
      </c>
      <c r="C311" s="1" t="s">
        <v>54</v>
      </c>
      <c r="D311" s="1" t="s">
        <v>35</v>
      </c>
      <c r="E311" s="1" t="s">
        <v>16</v>
      </c>
      <c r="F311" s="1" t="s">
        <v>36</v>
      </c>
      <c r="G311" s="1" t="s">
        <v>70</v>
      </c>
      <c r="H311" s="1" t="s">
        <v>71</v>
      </c>
      <c r="I311" s="1">
        <v>2</v>
      </c>
      <c r="J311" s="1">
        <v>522</v>
      </c>
      <c r="K311" s="1">
        <v>0.1</v>
      </c>
      <c r="L311" s="1">
        <v>939.6</v>
      </c>
      <c r="M311" s="1" t="str">
        <f t="shared" si="8"/>
        <v>Online</v>
      </c>
      <c r="N311" s="1">
        <f t="shared" si="9"/>
        <v>267.12</v>
      </c>
    </row>
    <row r="312" spans="1:14" x14ac:dyDescent="0.3">
      <c r="A312" s="1" t="s">
        <v>1980</v>
      </c>
      <c r="B312" s="1">
        <v>46150</v>
      </c>
      <c r="C312" s="1" t="s">
        <v>47</v>
      </c>
      <c r="D312" s="1" t="s">
        <v>27</v>
      </c>
      <c r="E312" s="1" t="s">
        <v>28</v>
      </c>
      <c r="F312" s="1" t="s">
        <v>82</v>
      </c>
      <c r="G312" s="1" t="s">
        <v>96</v>
      </c>
      <c r="H312" s="1" t="s">
        <v>58</v>
      </c>
      <c r="I312" s="1">
        <v>3</v>
      </c>
      <c r="J312" s="1">
        <v>2700</v>
      </c>
      <c r="K312" s="1">
        <v>0.03</v>
      </c>
      <c r="L312" s="1">
        <v>7857</v>
      </c>
      <c r="M312" s="1" t="str">
        <f t="shared" si="8"/>
        <v>Corporate Sales</v>
      </c>
      <c r="N312" s="1">
        <f t="shared" si="9"/>
        <v>421.2</v>
      </c>
    </row>
    <row r="313" spans="1:14" x14ac:dyDescent="0.3">
      <c r="A313" s="1" t="s">
        <v>1981</v>
      </c>
      <c r="B313" s="1">
        <v>46150</v>
      </c>
      <c r="C313" s="1" t="s">
        <v>14</v>
      </c>
      <c r="D313" s="1" t="s">
        <v>15</v>
      </c>
      <c r="E313" s="1" t="s">
        <v>16</v>
      </c>
      <c r="F313" s="1" t="s">
        <v>29</v>
      </c>
      <c r="G313" s="1" t="s">
        <v>39</v>
      </c>
      <c r="H313" s="1" t="s">
        <v>40</v>
      </c>
      <c r="I313" s="1">
        <v>6</v>
      </c>
      <c r="J313" s="1">
        <v>72</v>
      </c>
      <c r="K313" s="1">
        <v>0.08</v>
      </c>
      <c r="L313" s="1">
        <v>397.44</v>
      </c>
      <c r="M313" s="1" t="str">
        <f t="shared" si="8"/>
        <v>Online</v>
      </c>
      <c r="N313" s="1">
        <f t="shared" si="9"/>
        <v>16.2</v>
      </c>
    </row>
    <row r="314" spans="1:14" x14ac:dyDescent="0.3">
      <c r="A314" s="1" t="s">
        <v>1982</v>
      </c>
      <c r="B314" s="1">
        <v>46150</v>
      </c>
      <c r="C314" s="1" t="s">
        <v>14</v>
      </c>
      <c r="D314" s="1" t="s">
        <v>15</v>
      </c>
      <c r="E314" s="1" t="s">
        <v>28</v>
      </c>
      <c r="F314" s="1" t="s">
        <v>29</v>
      </c>
      <c r="G314" s="1" t="s">
        <v>39</v>
      </c>
      <c r="H314" s="1" t="s">
        <v>40</v>
      </c>
      <c r="I314" s="1">
        <v>4</v>
      </c>
      <c r="J314" s="1">
        <v>68.400000000000006</v>
      </c>
      <c r="K314" s="1">
        <v>0</v>
      </c>
      <c r="L314" s="1">
        <v>273.60000000000002</v>
      </c>
      <c r="M314" s="1" t="str">
        <f t="shared" si="8"/>
        <v>Online</v>
      </c>
      <c r="N314" s="1">
        <f t="shared" si="9"/>
        <v>16.2</v>
      </c>
    </row>
    <row r="315" spans="1:14" x14ac:dyDescent="0.3">
      <c r="A315" s="1" t="s">
        <v>1967</v>
      </c>
      <c r="B315" s="1">
        <v>46151</v>
      </c>
      <c r="C315" s="1" t="s">
        <v>54</v>
      </c>
      <c r="D315" s="1" t="s">
        <v>15</v>
      </c>
      <c r="E315" s="1" t="s">
        <v>28</v>
      </c>
      <c r="F315" s="1" t="s">
        <v>29</v>
      </c>
      <c r="G315" s="1" t="s">
        <v>39</v>
      </c>
      <c r="H315" s="1" t="s">
        <v>56</v>
      </c>
      <c r="I315" s="1">
        <v>3</v>
      </c>
      <c r="J315" s="1">
        <v>72</v>
      </c>
      <c r="K315" s="1">
        <v>0</v>
      </c>
      <c r="L315" s="1">
        <v>216</v>
      </c>
      <c r="M315" s="1" t="str">
        <f t="shared" si="8"/>
        <v>Online</v>
      </c>
      <c r="N315" s="1">
        <f t="shared" si="9"/>
        <v>267.12</v>
      </c>
    </row>
    <row r="316" spans="1:14" x14ac:dyDescent="0.3">
      <c r="A316" s="1" t="s">
        <v>1968</v>
      </c>
      <c r="B316" s="1">
        <v>46151</v>
      </c>
      <c r="C316" s="1" t="s">
        <v>61</v>
      </c>
      <c r="D316" s="1" t="s">
        <v>35</v>
      </c>
      <c r="E316" s="1" t="s">
        <v>16</v>
      </c>
      <c r="F316" s="1" t="s">
        <v>82</v>
      </c>
      <c r="G316" s="1" t="s">
        <v>150</v>
      </c>
      <c r="H316" s="1" t="s">
        <v>73</v>
      </c>
      <c r="I316" s="1">
        <v>4</v>
      </c>
      <c r="J316" s="1">
        <v>2880</v>
      </c>
      <c r="K316" s="1">
        <v>0.1</v>
      </c>
      <c r="L316" s="1">
        <v>10368</v>
      </c>
      <c r="M316" s="1" t="str">
        <f t="shared" si="8"/>
        <v>Online</v>
      </c>
      <c r="N316" s="1">
        <f t="shared" si="9"/>
        <v>62.01</v>
      </c>
    </row>
    <row r="317" spans="1:14" x14ac:dyDescent="0.3">
      <c r="A317" s="1" t="s">
        <v>1969</v>
      </c>
      <c r="B317" s="1">
        <v>46151</v>
      </c>
      <c r="C317" s="1" t="s">
        <v>54</v>
      </c>
      <c r="D317" s="1" t="s">
        <v>27</v>
      </c>
      <c r="E317" s="1" t="s">
        <v>16</v>
      </c>
      <c r="F317" s="1" t="s">
        <v>29</v>
      </c>
      <c r="G317" s="1" t="s">
        <v>39</v>
      </c>
      <c r="H317" s="1" t="s">
        <v>71</v>
      </c>
      <c r="I317" s="1">
        <v>8</v>
      </c>
      <c r="J317" s="1">
        <v>68.400000000000006</v>
      </c>
      <c r="K317" s="1">
        <v>0.05</v>
      </c>
      <c r="L317" s="1">
        <v>519.84</v>
      </c>
      <c r="M317" s="1" t="str">
        <f t="shared" si="8"/>
        <v>Online</v>
      </c>
      <c r="N317" s="1">
        <f t="shared" si="9"/>
        <v>267.12</v>
      </c>
    </row>
    <row r="318" spans="1:14" x14ac:dyDescent="0.3">
      <c r="A318" s="1" t="s">
        <v>1970</v>
      </c>
      <c r="B318" s="1">
        <v>46151</v>
      </c>
      <c r="C318" s="1" t="s">
        <v>54</v>
      </c>
      <c r="D318" s="1" t="s">
        <v>15</v>
      </c>
      <c r="E318" s="1" t="s">
        <v>28</v>
      </c>
      <c r="F318" s="1" t="s">
        <v>29</v>
      </c>
      <c r="G318" s="1" t="s">
        <v>51</v>
      </c>
      <c r="H318" s="1" t="s">
        <v>80</v>
      </c>
      <c r="I318" s="1">
        <v>4</v>
      </c>
      <c r="J318" s="1">
        <v>38.479999999999997</v>
      </c>
      <c r="K318" s="1">
        <v>0.05</v>
      </c>
      <c r="L318" s="1">
        <v>146.21</v>
      </c>
      <c r="M318" s="1" t="str">
        <f t="shared" si="8"/>
        <v>Marketplace</v>
      </c>
      <c r="N318" s="1">
        <f t="shared" si="9"/>
        <v>267.12</v>
      </c>
    </row>
    <row r="319" spans="1:14" x14ac:dyDescent="0.3">
      <c r="A319" s="1" t="s">
        <v>1971</v>
      </c>
      <c r="B319" s="1">
        <v>46151</v>
      </c>
      <c r="C319" s="1" t="s">
        <v>47</v>
      </c>
      <c r="D319" s="1" t="s">
        <v>15</v>
      </c>
      <c r="E319" s="1" t="s">
        <v>16</v>
      </c>
      <c r="F319" s="1" t="s">
        <v>29</v>
      </c>
      <c r="G319" s="1" t="s">
        <v>88</v>
      </c>
      <c r="H319" s="1" t="s">
        <v>49</v>
      </c>
      <c r="I319" s="1">
        <v>3</v>
      </c>
      <c r="J319" s="1">
        <v>55.58</v>
      </c>
      <c r="K319" s="1">
        <v>0</v>
      </c>
      <c r="L319" s="1">
        <v>166.73</v>
      </c>
      <c r="M319" s="1" t="str">
        <f t="shared" si="8"/>
        <v>Retail Store</v>
      </c>
      <c r="N319" s="1">
        <f t="shared" si="9"/>
        <v>421.2</v>
      </c>
    </row>
    <row r="320" spans="1:14" x14ac:dyDescent="0.3">
      <c r="A320" s="1" t="s">
        <v>1972</v>
      </c>
      <c r="B320" s="1">
        <v>46151</v>
      </c>
      <c r="C320" s="1" t="s">
        <v>14</v>
      </c>
      <c r="D320" s="1" t="s">
        <v>15</v>
      </c>
      <c r="E320" s="1" t="s">
        <v>28</v>
      </c>
      <c r="F320" s="1" t="s">
        <v>29</v>
      </c>
      <c r="G320" s="1" t="s">
        <v>30</v>
      </c>
      <c r="H320" s="1" t="s">
        <v>19</v>
      </c>
      <c r="I320" s="1">
        <v>3</v>
      </c>
      <c r="J320" s="1">
        <v>49.5</v>
      </c>
      <c r="K320" s="1">
        <v>0.05</v>
      </c>
      <c r="L320" s="1">
        <v>141.08000000000001</v>
      </c>
      <c r="M320" s="1" t="str">
        <f t="shared" si="8"/>
        <v>Retail Store</v>
      </c>
      <c r="N320" s="1">
        <f t="shared" si="9"/>
        <v>16.2</v>
      </c>
    </row>
    <row r="321" spans="1:14" x14ac:dyDescent="0.3">
      <c r="A321" s="1" t="s">
        <v>1973</v>
      </c>
      <c r="B321" s="1">
        <v>46151</v>
      </c>
      <c r="C321" s="1" t="s">
        <v>54</v>
      </c>
      <c r="D321" s="1" t="s">
        <v>22</v>
      </c>
      <c r="E321" s="1" t="s">
        <v>28</v>
      </c>
      <c r="F321" s="1" t="s">
        <v>82</v>
      </c>
      <c r="G321" s="1" t="s">
        <v>83</v>
      </c>
      <c r="H321" s="1" t="s">
        <v>71</v>
      </c>
      <c r="I321" s="1">
        <v>2</v>
      </c>
      <c r="J321" s="1">
        <v>3780</v>
      </c>
      <c r="K321" s="1">
        <v>0.05</v>
      </c>
      <c r="L321" s="1">
        <v>7182</v>
      </c>
      <c r="M321" s="1" t="str">
        <f t="shared" si="8"/>
        <v>Online</v>
      </c>
      <c r="N321" s="1">
        <f t="shared" si="9"/>
        <v>267.12</v>
      </c>
    </row>
    <row r="322" spans="1:14" x14ac:dyDescent="0.3">
      <c r="A322" s="1" t="s">
        <v>1974</v>
      </c>
      <c r="B322" s="1">
        <v>46151</v>
      </c>
      <c r="C322" s="1" t="s">
        <v>47</v>
      </c>
      <c r="D322" s="1" t="s">
        <v>27</v>
      </c>
      <c r="E322" s="1" t="s">
        <v>16</v>
      </c>
      <c r="F322" s="1" t="s">
        <v>23</v>
      </c>
      <c r="G322" s="1" t="s">
        <v>24</v>
      </c>
      <c r="H322" s="1" t="s">
        <v>49</v>
      </c>
      <c r="I322" s="1">
        <v>2</v>
      </c>
      <c r="J322" s="1">
        <v>22.5</v>
      </c>
      <c r="K322" s="1">
        <v>0</v>
      </c>
      <c r="L322" s="1">
        <v>45</v>
      </c>
      <c r="M322" s="1" t="str">
        <f t="shared" ref="M322:M385" si="10">INDEX(D:D,MATCH(H322,H:H,0))</f>
        <v>Retail Store</v>
      </c>
      <c r="N322" s="1">
        <f t="shared" ref="N322:N385" si="11">VLOOKUP(C:C,C:J,8,FALSE)</f>
        <v>421.2</v>
      </c>
    </row>
    <row r="323" spans="1:14" x14ac:dyDescent="0.3">
      <c r="A323" s="1" t="s">
        <v>1975</v>
      </c>
      <c r="B323" s="1">
        <v>46151</v>
      </c>
      <c r="C323" s="1" t="s">
        <v>14</v>
      </c>
      <c r="D323" s="1" t="s">
        <v>27</v>
      </c>
      <c r="E323" s="1" t="s">
        <v>16</v>
      </c>
      <c r="F323" s="1" t="s">
        <v>23</v>
      </c>
      <c r="G323" s="1" t="s">
        <v>178</v>
      </c>
      <c r="H323" s="1" t="s">
        <v>31</v>
      </c>
      <c r="I323" s="1">
        <v>8</v>
      </c>
      <c r="J323" s="1">
        <v>31.5</v>
      </c>
      <c r="K323" s="1">
        <v>0.03</v>
      </c>
      <c r="L323" s="1">
        <v>244.44</v>
      </c>
      <c r="M323" s="1" t="str">
        <f t="shared" si="10"/>
        <v>Online</v>
      </c>
      <c r="N323" s="1">
        <f t="shared" si="11"/>
        <v>16.2</v>
      </c>
    </row>
    <row r="324" spans="1:14" x14ac:dyDescent="0.3">
      <c r="A324" s="1" t="s">
        <v>1976</v>
      </c>
      <c r="B324" s="1">
        <v>46151</v>
      </c>
      <c r="C324" s="1" t="s">
        <v>61</v>
      </c>
      <c r="D324" s="1" t="s">
        <v>22</v>
      </c>
      <c r="E324" s="1" t="s">
        <v>16</v>
      </c>
      <c r="F324" s="1" t="s">
        <v>82</v>
      </c>
      <c r="G324" s="1" t="s">
        <v>85</v>
      </c>
      <c r="H324" s="1" t="s">
        <v>63</v>
      </c>
      <c r="I324" s="1">
        <v>2</v>
      </c>
      <c r="J324" s="1">
        <v>1684.8</v>
      </c>
      <c r="K324" s="1">
        <v>0.08</v>
      </c>
      <c r="L324" s="1">
        <v>3100.03</v>
      </c>
      <c r="M324" s="1" t="str">
        <f t="shared" si="10"/>
        <v>Retail Store</v>
      </c>
      <c r="N324" s="1">
        <f t="shared" si="11"/>
        <v>62.01</v>
      </c>
    </row>
    <row r="325" spans="1:14" x14ac:dyDescent="0.3">
      <c r="A325" s="1" t="s">
        <v>1977</v>
      </c>
      <c r="B325" s="1">
        <v>46151</v>
      </c>
      <c r="C325" s="1" t="s">
        <v>21</v>
      </c>
      <c r="D325" s="1" t="s">
        <v>22</v>
      </c>
      <c r="E325" s="1" t="s">
        <v>28</v>
      </c>
      <c r="F325" s="1" t="s">
        <v>23</v>
      </c>
      <c r="G325" s="1" t="s">
        <v>142</v>
      </c>
      <c r="H325" s="1" t="s">
        <v>25</v>
      </c>
      <c r="I325" s="1">
        <v>4</v>
      </c>
      <c r="J325" s="1">
        <v>16.2</v>
      </c>
      <c r="K325" s="1">
        <v>0.08</v>
      </c>
      <c r="L325" s="1">
        <v>59.62</v>
      </c>
      <c r="M325" s="1" t="str">
        <f t="shared" si="10"/>
        <v>Marketplace</v>
      </c>
      <c r="N325" s="1">
        <f t="shared" si="11"/>
        <v>405</v>
      </c>
    </row>
    <row r="326" spans="1:14" x14ac:dyDescent="0.3">
      <c r="A326" s="1" t="s">
        <v>1978</v>
      </c>
      <c r="B326" s="1">
        <v>46151</v>
      </c>
      <c r="C326" s="1" t="s">
        <v>21</v>
      </c>
      <c r="D326" s="1" t="s">
        <v>15</v>
      </c>
      <c r="E326" s="1" t="s">
        <v>16</v>
      </c>
      <c r="F326" s="1" t="s">
        <v>17</v>
      </c>
      <c r="G326" s="1" t="s">
        <v>18</v>
      </c>
      <c r="H326" s="1" t="s">
        <v>86</v>
      </c>
      <c r="I326" s="1">
        <v>2</v>
      </c>
      <c r="J326" s="1">
        <v>82.62</v>
      </c>
      <c r="K326" s="1">
        <v>0</v>
      </c>
      <c r="L326" s="1">
        <v>165.24</v>
      </c>
      <c r="M326" s="1" t="str">
        <f t="shared" si="10"/>
        <v>Online</v>
      </c>
      <c r="N326" s="1">
        <f t="shared" si="11"/>
        <v>405</v>
      </c>
    </row>
    <row r="327" spans="1:14" x14ac:dyDescent="0.3">
      <c r="A327" s="1" t="s">
        <v>1964</v>
      </c>
      <c r="B327" s="1">
        <v>46152</v>
      </c>
      <c r="C327" s="1" t="s">
        <v>54</v>
      </c>
      <c r="D327" s="1" t="s">
        <v>22</v>
      </c>
      <c r="E327" s="1" t="s">
        <v>16</v>
      </c>
      <c r="F327" s="1" t="s">
        <v>82</v>
      </c>
      <c r="G327" s="1" t="s">
        <v>83</v>
      </c>
      <c r="H327" s="1" t="s">
        <v>71</v>
      </c>
      <c r="I327" s="1">
        <v>2</v>
      </c>
      <c r="J327" s="1">
        <v>3780</v>
      </c>
      <c r="K327" s="1">
        <v>0.05</v>
      </c>
      <c r="L327" s="1">
        <v>7182</v>
      </c>
      <c r="M327" s="1" t="str">
        <f t="shared" si="10"/>
        <v>Online</v>
      </c>
      <c r="N327" s="1">
        <f t="shared" si="11"/>
        <v>267.12</v>
      </c>
    </row>
    <row r="328" spans="1:14" x14ac:dyDescent="0.3">
      <c r="A328" s="1" t="s">
        <v>1965</v>
      </c>
      <c r="B328" s="1">
        <v>46152</v>
      </c>
      <c r="C328" s="1" t="s">
        <v>47</v>
      </c>
      <c r="D328" s="1" t="s">
        <v>15</v>
      </c>
      <c r="E328" s="1" t="s">
        <v>28</v>
      </c>
      <c r="F328" s="1" t="s">
        <v>29</v>
      </c>
      <c r="G328" s="1" t="s">
        <v>55</v>
      </c>
      <c r="H328" s="1" t="s">
        <v>58</v>
      </c>
      <c r="I328" s="1">
        <v>3</v>
      </c>
      <c r="J328" s="1">
        <v>36.25</v>
      </c>
      <c r="K328" s="1">
        <v>0</v>
      </c>
      <c r="L328" s="1">
        <v>108.76</v>
      </c>
      <c r="M328" s="1" t="str">
        <f t="shared" si="10"/>
        <v>Corporate Sales</v>
      </c>
      <c r="N328" s="1">
        <f t="shared" si="11"/>
        <v>421.2</v>
      </c>
    </row>
    <row r="329" spans="1:14" x14ac:dyDescent="0.3">
      <c r="A329" s="1" t="s">
        <v>1966</v>
      </c>
      <c r="B329" s="1">
        <v>46152</v>
      </c>
      <c r="C329" s="1" t="s">
        <v>21</v>
      </c>
      <c r="D329" s="1" t="s">
        <v>35</v>
      </c>
      <c r="E329" s="1" t="s">
        <v>16</v>
      </c>
      <c r="F329" s="1" t="s">
        <v>82</v>
      </c>
      <c r="G329" s="1" t="s">
        <v>85</v>
      </c>
      <c r="H329" s="1" t="s">
        <v>86</v>
      </c>
      <c r="I329" s="1">
        <v>2</v>
      </c>
      <c r="J329" s="1">
        <v>1620</v>
      </c>
      <c r="K329" s="1">
        <v>0.15</v>
      </c>
      <c r="L329" s="1">
        <v>2754</v>
      </c>
      <c r="M329" s="1" t="str">
        <f t="shared" si="10"/>
        <v>Online</v>
      </c>
      <c r="N329" s="1">
        <f t="shared" si="11"/>
        <v>405</v>
      </c>
    </row>
    <row r="330" spans="1:14" x14ac:dyDescent="0.3">
      <c r="A330" s="1" t="s">
        <v>1960</v>
      </c>
      <c r="B330" s="1">
        <v>46153</v>
      </c>
      <c r="C330" s="1" t="s">
        <v>61</v>
      </c>
      <c r="D330" s="1" t="s">
        <v>35</v>
      </c>
      <c r="E330" s="1" t="s">
        <v>16</v>
      </c>
      <c r="F330" s="1" t="s">
        <v>42</v>
      </c>
      <c r="G330" s="1" t="s">
        <v>65</v>
      </c>
      <c r="H330" s="1" t="s">
        <v>112</v>
      </c>
      <c r="I330" s="1">
        <v>6</v>
      </c>
      <c r="J330" s="1">
        <v>675</v>
      </c>
      <c r="K330" s="1">
        <v>0.1</v>
      </c>
      <c r="L330" s="1">
        <v>3645</v>
      </c>
      <c r="M330" s="1" t="str">
        <f t="shared" si="10"/>
        <v>Online</v>
      </c>
      <c r="N330" s="1">
        <f t="shared" si="11"/>
        <v>62.01</v>
      </c>
    </row>
    <row r="331" spans="1:14" x14ac:dyDescent="0.3">
      <c r="A331" s="1" t="s">
        <v>1961</v>
      </c>
      <c r="B331" s="1">
        <v>46153</v>
      </c>
      <c r="C331" s="1" t="s">
        <v>21</v>
      </c>
      <c r="D331" s="1" t="s">
        <v>27</v>
      </c>
      <c r="E331" s="1" t="s">
        <v>16</v>
      </c>
      <c r="F331" s="1" t="s">
        <v>23</v>
      </c>
      <c r="G331" s="1" t="s">
        <v>116</v>
      </c>
      <c r="H331" s="1" t="s">
        <v>25</v>
      </c>
      <c r="I331" s="1">
        <v>5</v>
      </c>
      <c r="J331" s="1">
        <v>7.34</v>
      </c>
      <c r="K331" s="1">
        <v>0</v>
      </c>
      <c r="L331" s="1">
        <v>36.72</v>
      </c>
      <c r="M331" s="1" t="str">
        <f t="shared" si="10"/>
        <v>Marketplace</v>
      </c>
      <c r="N331" s="1">
        <f t="shared" si="11"/>
        <v>405</v>
      </c>
    </row>
    <row r="332" spans="1:14" x14ac:dyDescent="0.3">
      <c r="A332" s="1" t="s">
        <v>1962</v>
      </c>
      <c r="B332" s="1">
        <v>46153</v>
      </c>
      <c r="C332" s="1" t="s">
        <v>47</v>
      </c>
      <c r="D332" s="1" t="s">
        <v>15</v>
      </c>
      <c r="E332" s="1" t="s">
        <v>28</v>
      </c>
      <c r="F332" s="1" t="s">
        <v>17</v>
      </c>
      <c r="G332" s="1" t="s">
        <v>189</v>
      </c>
      <c r="H332" s="1" t="s">
        <v>49</v>
      </c>
      <c r="I332" s="1">
        <v>3</v>
      </c>
      <c r="J332" s="1">
        <v>305.27999999999997</v>
      </c>
      <c r="K332" s="1">
        <v>0.05</v>
      </c>
      <c r="L332" s="1">
        <v>870.05</v>
      </c>
      <c r="M332" s="1" t="str">
        <f t="shared" si="10"/>
        <v>Retail Store</v>
      </c>
      <c r="N332" s="1">
        <f t="shared" si="11"/>
        <v>421.2</v>
      </c>
    </row>
    <row r="333" spans="1:14" x14ac:dyDescent="0.3">
      <c r="A333" s="1" t="s">
        <v>1963</v>
      </c>
      <c r="B333" s="1">
        <v>46153</v>
      </c>
      <c r="C333" s="1" t="s">
        <v>47</v>
      </c>
      <c r="D333" s="1" t="s">
        <v>27</v>
      </c>
      <c r="E333" s="1" t="s">
        <v>28</v>
      </c>
      <c r="F333" s="1" t="s">
        <v>23</v>
      </c>
      <c r="G333" s="1" t="s">
        <v>103</v>
      </c>
      <c r="H333" s="1" t="s">
        <v>58</v>
      </c>
      <c r="I333" s="1">
        <v>2</v>
      </c>
      <c r="J333" s="1">
        <v>10.26</v>
      </c>
      <c r="K333" s="1">
        <v>0.1</v>
      </c>
      <c r="L333" s="1">
        <v>18.47</v>
      </c>
      <c r="M333" s="1" t="str">
        <f t="shared" si="10"/>
        <v>Corporate Sales</v>
      </c>
      <c r="N333" s="1">
        <f t="shared" si="11"/>
        <v>421.2</v>
      </c>
    </row>
    <row r="334" spans="1:14" x14ac:dyDescent="0.3">
      <c r="A334" s="1" t="s">
        <v>1955</v>
      </c>
      <c r="B334" s="1">
        <v>46154</v>
      </c>
      <c r="C334" s="1" t="s">
        <v>14</v>
      </c>
      <c r="D334" s="1" t="s">
        <v>15</v>
      </c>
      <c r="E334" s="1" t="s">
        <v>28</v>
      </c>
      <c r="F334" s="1" t="s">
        <v>36</v>
      </c>
      <c r="G334" s="1" t="s">
        <v>77</v>
      </c>
      <c r="H334" s="1" t="s">
        <v>40</v>
      </c>
      <c r="I334" s="1">
        <v>2</v>
      </c>
      <c r="J334" s="1">
        <v>1431</v>
      </c>
      <c r="K334" s="1">
        <v>0.03</v>
      </c>
      <c r="L334" s="1">
        <v>2776.14</v>
      </c>
      <c r="M334" s="1" t="str">
        <f t="shared" si="10"/>
        <v>Online</v>
      </c>
      <c r="N334" s="1">
        <f t="shared" si="11"/>
        <v>16.2</v>
      </c>
    </row>
    <row r="335" spans="1:14" x14ac:dyDescent="0.3">
      <c r="A335" s="1" t="s">
        <v>1956</v>
      </c>
      <c r="B335" s="1">
        <v>46154</v>
      </c>
      <c r="C335" s="1" t="s">
        <v>14</v>
      </c>
      <c r="D335" s="1" t="s">
        <v>15</v>
      </c>
      <c r="E335" s="1" t="s">
        <v>16</v>
      </c>
      <c r="F335" s="1" t="s">
        <v>17</v>
      </c>
      <c r="G335" s="1" t="s">
        <v>98</v>
      </c>
      <c r="H335" s="1" t="s">
        <v>19</v>
      </c>
      <c r="I335" s="1">
        <v>4</v>
      </c>
      <c r="J335" s="1">
        <v>405</v>
      </c>
      <c r="K335" s="1">
        <v>0.1</v>
      </c>
      <c r="L335" s="1">
        <v>1458</v>
      </c>
      <c r="M335" s="1" t="str">
        <f t="shared" si="10"/>
        <v>Retail Store</v>
      </c>
      <c r="N335" s="1">
        <f t="shared" si="11"/>
        <v>16.2</v>
      </c>
    </row>
    <row r="336" spans="1:14" x14ac:dyDescent="0.3">
      <c r="A336" s="1" t="s">
        <v>1957</v>
      </c>
      <c r="B336" s="1">
        <v>46154</v>
      </c>
      <c r="C336" s="1" t="s">
        <v>61</v>
      </c>
      <c r="D336" s="1" t="s">
        <v>22</v>
      </c>
      <c r="E336" s="1" t="s">
        <v>16</v>
      </c>
      <c r="F336" s="1" t="s">
        <v>23</v>
      </c>
      <c r="G336" s="1" t="s">
        <v>116</v>
      </c>
      <c r="H336" s="1" t="s">
        <v>73</v>
      </c>
      <c r="I336" s="1">
        <v>9</v>
      </c>
      <c r="J336" s="1">
        <v>7.49</v>
      </c>
      <c r="K336" s="1">
        <v>0.05</v>
      </c>
      <c r="L336" s="1">
        <v>64.02</v>
      </c>
      <c r="M336" s="1" t="str">
        <f t="shared" si="10"/>
        <v>Online</v>
      </c>
      <c r="N336" s="1">
        <f t="shared" si="11"/>
        <v>62.01</v>
      </c>
    </row>
    <row r="337" spans="1:14" x14ac:dyDescent="0.3">
      <c r="A337" s="1" t="s">
        <v>1958</v>
      </c>
      <c r="B337" s="1">
        <v>46154</v>
      </c>
      <c r="C337" s="1" t="s">
        <v>14</v>
      </c>
      <c r="D337" s="1" t="s">
        <v>27</v>
      </c>
      <c r="E337" s="1" t="s">
        <v>16</v>
      </c>
      <c r="F337" s="1" t="s">
        <v>36</v>
      </c>
      <c r="G337" s="1" t="s">
        <v>70</v>
      </c>
      <c r="H337" s="1" t="s">
        <v>19</v>
      </c>
      <c r="I337" s="1">
        <v>3</v>
      </c>
      <c r="J337" s="1">
        <v>522</v>
      </c>
      <c r="K337" s="1">
        <v>0</v>
      </c>
      <c r="L337" s="1">
        <v>1566</v>
      </c>
      <c r="M337" s="1" t="str">
        <f t="shared" si="10"/>
        <v>Retail Store</v>
      </c>
      <c r="N337" s="1">
        <f t="shared" si="11"/>
        <v>16.2</v>
      </c>
    </row>
    <row r="338" spans="1:14" x14ac:dyDescent="0.3">
      <c r="A338" s="1" t="s">
        <v>1959</v>
      </c>
      <c r="B338" s="1">
        <v>46154</v>
      </c>
      <c r="C338" s="1" t="s">
        <v>61</v>
      </c>
      <c r="D338" s="1" t="s">
        <v>35</v>
      </c>
      <c r="E338" s="1" t="s">
        <v>16</v>
      </c>
      <c r="F338" s="1" t="s">
        <v>42</v>
      </c>
      <c r="G338" s="1" t="s">
        <v>43</v>
      </c>
      <c r="H338" s="1" t="s">
        <v>112</v>
      </c>
      <c r="I338" s="1">
        <v>4</v>
      </c>
      <c r="J338" s="1">
        <v>162</v>
      </c>
      <c r="K338" s="1">
        <v>0.05</v>
      </c>
      <c r="L338" s="1">
        <v>615.6</v>
      </c>
      <c r="M338" s="1" t="str">
        <f t="shared" si="10"/>
        <v>Online</v>
      </c>
      <c r="N338" s="1">
        <f t="shared" si="11"/>
        <v>62.01</v>
      </c>
    </row>
    <row r="339" spans="1:14" x14ac:dyDescent="0.3">
      <c r="A339" s="1" t="s">
        <v>1951</v>
      </c>
      <c r="B339" s="1">
        <v>46174</v>
      </c>
      <c r="C339" s="1" t="s">
        <v>61</v>
      </c>
      <c r="D339" s="1" t="s">
        <v>27</v>
      </c>
      <c r="E339" s="1" t="s">
        <v>16</v>
      </c>
      <c r="F339" s="1" t="s">
        <v>29</v>
      </c>
      <c r="G339" s="1" t="s">
        <v>33</v>
      </c>
      <c r="H339" s="1" t="s">
        <v>63</v>
      </c>
      <c r="I339" s="1">
        <v>7</v>
      </c>
      <c r="J339" s="1">
        <v>12.83</v>
      </c>
      <c r="K339" s="1">
        <v>0.03</v>
      </c>
      <c r="L339" s="1">
        <v>87.08</v>
      </c>
      <c r="M339" s="1" t="str">
        <f t="shared" si="10"/>
        <v>Retail Store</v>
      </c>
      <c r="N339" s="1">
        <f t="shared" si="11"/>
        <v>62.01</v>
      </c>
    </row>
    <row r="340" spans="1:14" x14ac:dyDescent="0.3">
      <c r="A340" s="1" t="s">
        <v>1952</v>
      </c>
      <c r="B340" s="1">
        <v>46174</v>
      </c>
      <c r="C340" s="1" t="s">
        <v>47</v>
      </c>
      <c r="D340" s="1" t="s">
        <v>15</v>
      </c>
      <c r="E340" s="1" t="s">
        <v>16</v>
      </c>
      <c r="F340" s="1" t="s">
        <v>29</v>
      </c>
      <c r="G340" s="1" t="s">
        <v>30</v>
      </c>
      <c r="H340" s="1" t="s">
        <v>78</v>
      </c>
      <c r="I340" s="1">
        <v>6</v>
      </c>
      <c r="J340" s="1">
        <v>48.02</v>
      </c>
      <c r="K340" s="1">
        <v>0.08</v>
      </c>
      <c r="L340" s="1">
        <v>265.04000000000002</v>
      </c>
      <c r="M340" s="1" t="str">
        <f t="shared" si="10"/>
        <v>Retail Store</v>
      </c>
      <c r="N340" s="1">
        <f t="shared" si="11"/>
        <v>421.2</v>
      </c>
    </row>
    <row r="341" spans="1:14" x14ac:dyDescent="0.3">
      <c r="A341" s="1" t="s">
        <v>1953</v>
      </c>
      <c r="B341" s="1">
        <v>46174</v>
      </c>
      <c r="C341" s="1" t="s">
        <v>47</v>
      </c>
      <c r="D341" s="1" t="s">
        <v>22</v>
      </c>
      <c r="E341" s="1" t="s">
        <v>16</v>
      </c>
      <c r="F341" s="1" t="s">
        <v>23</v>
      </c>
      <c r="G341" s="1" t="s">
        <v>24</v>
      </c>
      <c r="H341" s="1" t="s">
        <v>58</v>
      </c>
      <c r="I341" s="1">
        <v>9</v>
      </c>
      <c r="J341" s="1">
        <v>21.83</v>
      </c>
      <c r="K341" s="1">
        <v>0.15</v>
      </c>
      <c r="L341" s="1">
        <v>166.96</v>
      </c>
      <c r="M341" s="1" t="str">
        <f t="shared" si="10"/>
        <v>Corporate Sales</v>
      </c>
      <c r="N341" s="1">
        <f t="shared" si="11"/>
        <v>421.2</v>
      </c>
    </row>
    <row r="342" spans="1:14" x14ac:dyDescent="0.3">
      <c r="A342" s="1" t="s">
        <v>1954</v>
      </c>
      <c r="B342" s="1">
        <v>46174</v>
      </c>
      <c r="C342" s="1" t="s">
        <v>61</v>
      </c>
      <c r="D342" s="1" t="s">
        <v>15</v>
      </c>
      <c r="E342" s="1" t="s">
        <v>16</v>
      </c>
      <c r="F342" s="1" t="s">
        <v>42</v>
      </c>
      <c r="G342" s="1" t="s">
        <v>43</v>
      </c>
      <c r="H342" s="1" t="s">
        <v>112</v>
      </c>
      <c r="I342" s="1">
        <v>2</v>
      </c>
      <c r="J342" s="1">
        <v>165.24</v>
      </c>
      <c r="K342" s="1">
        <v>0.08</v>
      </c>
      <c r="L342" s="1">
        <v>304.04000000000002</v>
      </c>
      <c r="M342" s="1" t="str">
        <f t="shared" si="10"/>
        <v>Online</v>
      </c>
      <c r="N342" s="1">
        <f t="shared" si="11"/>
        <v>62.01</v>
      </c>
    </row>
    <row r="343" spans="1:14" x14ac:dyDescent="0.3">
      <c r="A343" s="1" t="s">
        <v>1946</v>
      </c>
      <c r="B343" s="1">
        <v>46175</v>
      </c>
      <c r="C343" s="1" t="s">
        <v>61</v>
      </c>
      <c r="D343" s="1" t="s">
        <v>35</v>
      </c>
      <c r="E343" s="1" t="s">
        <v>28</v>
      </c>
      <c r="F343" s="1" t="s">
        <v>82</v>
      </c>
      <c r="G343" s="1" t="s">
        <v>114</v>
      </c>
      <c r="H343" s="1" t="s">
        <v>63</v>
      </c>
      <c r="I343" s="1">
        <v>2</v>
      </c>
      <c r="J343" s="1">
        <v>2137.5</v>
      </c>
      <c r="K343" s="1">
        <v>0.05</v>
      </c>
      <c r="L343" s="1">
        <v>4061.25</v>
      </c>
      <c r="M343" s="1" t="str">
        <f t="shared" si="10"/>
        <v>Retail Store</v>
      </c>
      <c r="N343" s="1">
        <f t="shared" si="11"/>
        <v>62.01</v>
      </c>
    </row>
    <row r="344" spans="1:14" x14ac:dyDescent="0.3">
      <c r="A344" s="1" t="s">
        <v>1947</v>
      </c>
      <c r="B344" s="1">
        <v>46175</v>
      </c>
      <c r="C344" s="1" t="s">
        <v>54</v>
      </c>
      <c r="D344" s="1" t="s">
        <v>15</v>
      </c>
      <c r="E344" s="1" t="s">
        <v>16</v>
      </c>
      <c r="F344" s="1" t="s">
        <v>36</v>
      </c>
      <c r="G344" s="1" t="s">
        <v>70</v>
      </c>
      <c r="H344" s="1" t="s">
        <v>56</v>
      </c>
      <c r="I344" s="1">
        <v>2</v>
      </c>
      <c r="J344" s="1">
        <v>522</v>
      </c>
      <c r="K344" s="1">
        <v>0.05</v>
      </c>
      <c r="L344" s="1">
        <v>991.8</v>
      </c>
      <c r="M344" s="1" t="str">
        <f t="shared" si="10"/>
        <v>Online</v>
      </c>
      <c r="N344" s="1">
        <f t="shared" si="11"/>
        <v>267.12</v>
      </c>
    </row>
    <row r="345" spans="1:14" x14ac:dyDescent="0.3">
      <c r="A345" s="1" t="s">
        <v>1948</v>
      </c>
      <c r="B345" s="1">
        <v>46175</v>
      </c>
      <c r="C345" s="1" t="s">
        <v>21</v>
      </c>
      <c r="D345" s="1" t="s">
        <v>27</v>
      </c>
      <c r="E345" s="1" t="s">
        <v>28</v>
      </c>
      <c r="F345" s="1" t="s">
        <v>29</v>
      </c>
      <c r="G345" s="1" t="s">
        <v>33</v>
      </c>
      <c r="H345" s="1" t="s">
        <v>44</v>
      </c>
      <c r="I345" s="1">
        <v>5</v>
      </c>
      <c r="J345" s="1">
        <v>12.83</v>
      </c>
      <c r="K345" s="1">
        <v>0.08</v>
      </c>
      <c r="L345" s="1">
        <v>59</v>
      </c>
      <c r="M345" s="1" t="str">
        <f t="shared" si="10"/>
        <v>Retail Store</v>
      </c>
      <c r="N345" s="1">
        <f t="shared" si="11"/>
        <v>405</v>
      </c>
    </row>
    <row r="346" spans="1:14" x14ac:dyDescent="0.3">
      <c r="A346" s="1" t="s">
        <v>1949</v>
      </c>
      <c r="B346" s="1">
        <v>46175</v>
      </c>
      <c r="C346" s="1" t="s">
        <v>61</v>
      </c>
      <c r="D346" s="1" t="s">
        <v>27</v>
      </c>
      <c r="E346" s="1" t="s">
        <v>16</v>
      </c>
      <c r="F346" s="1" t="s">
        <v>82</v>
      </c>
      <c r="G346" s="1" t="s">
        <v>150</v>
      </c>
      <c r="H346" s="1" t="s">
        <v>63</v>
      </c>
      <c r="I346" s="1">
        <v>5</v>
      </c>
      <c r="J346" s="1">
        <v>2880</v>
      </c>
      <c r="K346" s="1">
        <v>0.1</v>
      </c>
      <c r="L346" s="1">
        <v>12960</v>
      </c>
      <c r="M346" s="1" t="str">
        <f t="shared" si="10"/>
        <v>Retail Store</v>
      </c>
      <c r="N346" s="1">
        <f t="shared" si="11"/>
        <v>62.01</v>
      </c>
    </row>
    <row r="347" spans="1:14" x14ac:dyDescent="0.3">
      <c r="A347" s="1" t="s">
        <v>1950</v>
      </c>
      <c r="B347" s="1">
        <v>46175</v>
      </c>
      <c r="C347" s="1" t="s">
        <v>21</v>
      </c>
      <c r="D347" s="1" t="s">
        <v>35</v>
      </c>
      <c r="E347" s="1" t="s">
        <v>28</v>
      </c>
      <c r="F347" s="1" t="s">
        <v>42</v>
      </c>
      <c r="G347" s="1" t="s">
        <v>67</v>
      </c>
      <c r="H347" s="1" t="s">
        <v>44</v>
      </c>
      <c r="I347" s="1">
        <v>4</v>
      </c>
      <c r="J347" s="1">
        <v>267.12</v>
      </c>
      <c r="K347" s="1">
        <v>0.05</v>
      </c>
      <c r="L347" s="1">
        <v>1015.06</v>
      </c>
      <c r="M347" s="1" t="str">
        <f t="shared" si="10"/>
        <v>Retail Store</v>
      </c>
      <c r="N347" s="1">
        <f t="shared" si="11"/>
        <v>405</v>
      </c>
    </row>
    <row r="348" spans="1:14" x14ac:dyDescent="0.3">
      <c r="A348" s="1" t="s">
        <v>1937</v>
      </c>
      <c r="B348" s="1">
        <v>46176</v>
      </c>
      <c r="C348" s="1" t="s">
        <v>54</v>
      </c>
      <c r="D348" s="1" t="s">
        <v>27</v>
      </c>
      <c r="E348" s="1" t="s">
        <v>16</v>
      </c>
      <c r="F348" s="1" t="s">
        <v>82</v>
      </c>
      <c r="G348" s="1" t="s">
        <v>114</v>
      </c>
      <c r="H348" s="1" t="s">
        <v>80</v>
      </c>
      <c r="I348" s="1">
        <v>4</v>
      </c>
      <c r="J348" s="1">
        <v>2250</v>
      </c>
      <c r="K348" s="1">
        <v>0.05</v>
      </c>
      <c r="L348" s="1">
        <v>8550</v>
      </c>
      <c r="M348" s="1" t="str">
        <f t="shared" si="10"/>
        <v>Marketplace</v>
      </c>
      <c r="N348" s="1">
        <f t="shared" si="11"/>
        <v>267.12</v>
      </c>
    </row>
    <row r="349" spans="1:14" x14ac:dyDescent="0.3">
      <c r="A349" s="1" t="s">
        <v>1938</v>
      </c>
      <c r="B349" s="1">
        <v>46176</v>
      </c>
      <c r="C349" s="1" t="s">
        <v>61</v>
      </c>
      <c r="D349" s="1" t="s">
        <v>15</v>
      </c>
      <c r="E349" s="1" t="s">
        <v>16</v>
      </c>
      <c r="F349" s="1" t="s">
        <v>82</v>
      </c>
      <c r="G349" s="1" t="s">
        <v>85</v>
      </c>
      <c r="H349" s="1" t="s">
        <v>112</v>
      </c>
      <c r="I349" s="1">
        <v>5</v>
      </c>
      <c r="J349" s="1">
        <v>1717.2</v>
      </c>
      <c r="K349" s="1">
        <v>0.08</v>
      </c>
      <c r="L349" s="1">
        <v>7899.12</v>
      </c>
      <c r="M349" s="1" t="str">
        <f t="shared" si="10"/>
        <v>Online</v>
      </c>
      <c r="N349" s="1">
        <f t="shared" si="11"/>
        <v>62.01</v>
      </c>
    </row>
    <row r="350" spans="1:14" x14ac:dyDescent="0.3">
      <c r="A350" s="1" t="s">
        <v>1939</v>
      </c>
      <c r="B350" s="1">
        <v>46176</v>
      </c>
      <c r="C350" s="1" t="s">
        <v>47</v>
      </c>
      <c r="D350" s="1" t="s">
        <v>15</v>
      </c>
      <c r="E350" s="1" t="s">
        <v>16</v>
      </c>
      <c r="F350" s="1" t="s">
        <v>36</v>
      </c>
      <c r="G350" s="1" t="s">
        <v>77</v>
      </c>
      <c r="H350" s="1" t="s">
        <v>58</v>
      </c>
      <c r="I350" s="1">
        <v>2</v>
      </c>
      <c r="J350" s="1">
        <v>1350</v>
      </c>
      <c r="K350" s="1">
        <v>0.05</v>
      </c>
      <c r="L350" s="1">
        <v>2565</v>
      </c>
      <c r="M350" s="1" t="str">
        <f t="shared" si="10"/>
        <v>Corporate Sales</v>
      </c>
      <c r="N350" s="1">
        <f t="shared" si="11"/>
        <v>421.2</v>
      </c>
    </row>
    <row r="351" spans="1:14" x14ac:dyDescent="0.3">
      <c r="A351" s="1" t="s">
        <v>1940</v>
      </c>
      <c r="B351" s="1">
        <v>46176</v>
      </c>
      <c r="C351" s="1" t="s">
        <v>47</v>
      </c>
      <c r="D351" s="1" t="s">
        <v>27</v>
      </c>
      <c r="E351" s="1" t="s">
        <v>28</v>
      </c>
      <c r="F351" s="1" t="s">
        <v>23</v>
      </c>
      <c r="G351" s="1" t="s">
        <v>116</v>
      </c>
      <c r="H351" s="1" t="s">
        <v>49</v>
      </c>
      <c r="I351" s="1">
        <v>4</v>
      </c>
      <c r="J351" s="1">
        <v>7.63</v>
      </c>
      <c r="K351" s="1">
        <v>0</v>
      </c>
      <c r="L351" s="1">
        <v>30.53</v>
      </c>
      <c r="M351" s="1" t="str">
        <f t="shared" si="10"/>
        <v>Retail Store</v>
      </c>
      <c r="N351" s="1">
        <f t="shared" si="11"/>
        <v>421.2</v>
      </c>
    </row>
    <row r="352" spans="1:14" x14ac:dyDescent="0.3">
      <c r="A352" s="1" t="s">
        <v>1941</v>
      </c>
      <c r="B352" s="1">
        <v>46176</v>
      </c>
      <c r="C352" s="1" t="s">
        <v>54</v>
      </c>
      <c r="D352" s="1" t="s">
        <v>15</v>
      </c>
      <c r="E352" s="1" t="s">
        <v>16</v>
      </c>
      <c r="F352" s="1" t="s">
        <v>17</v>
      </c>
      <c r="G352" s="1" t="s">
        <v>189</v>
      </c>
      <c r="H352" s="1" t="s">
        <v>80</v>
      </c>
      <c r="I352" s="1">
        <v>6</v>
      </c>
      <c r="J352" s="1">
        <v>299.52</v>
      </c>
      <c r="K352" s="1">
        <v>0.03</v>
      </c>
      <c r="L352" s="1">
        <v>1743.21</v>
      </c>
      <c r="M352" s="1" t="str">
        <f t="shared" si="10"/>
        <v>Marketplace</v>
      </c>
      <c r="N352" s="1">
        <f t="shared" si="11"/>
        <v>267.12</v>
      </c>
    </row>
    <row r="353" spans="1:14" x14ac:dyDescent="0.3">
      <c r="A353" s="1" t="s">
        <v>1942</v>
      </c>
      <c r="B353" s="1">
        <v>46176</v>
      </c>
      <c r="C353" s="1" t="s">
        <v>54</v>
      </c>
      <c r="D353" s="1" t="s">
        <v>35</v>
      </c>
      <c r="E353" s="1" t="s">
        <v>16</v>
      </c>
      <c r="F353" s="1" t="s">
        <v>17</v>
      </c>
      <c r="G353" s="1" t="s">
        <v>189</v>
      </c>
      <c r="H353" s="1" t="s">
        <v>71</v>
      </c>
      <c r="I353" s="1">
        <v>8</v>
      </c>
      <c r="J353" s="1">
        <v>293.76</v>
      </c>
      <c r="K353" s="1">
        <v>0.1</v>
      </c>
      <c r="L353" s="1">
        <v>2115.0700000000002</v>
      </c>
      <c r="M353" s="1" t="str">
        <f t="shared" si="10"/>
        <v>Online</v>
      </c>
      <c r="N353" s="1">
        <f t="shared" si="11"/>
        <v>267.12</v>
      </c>
    </row>
    <row r="354" spans="1:14" x14ac:dyDescent="0.3">
      <c r="A354" s="1" t="s">
        <v>1943</v>
      </c>
      <c r="B354" s="1">
        <v>46176</v>
      </c>
      <c r="C354" s="1" t="s">
        <v>61</v>
      </c>
      <c r="D354" s="1" t="s">
        <v>27</v>
      </c>
      <c r="E354" s="1" t="s">
        <v>28</v>
      </c>
      <c r="F354" s="1" t="s">
        <v>23</v>
      </c>
      <c r="G354" s="1" t="s">
        <v>178</v>
      </c>
      <c r="H354" s="1" t="s">
        <v>63</v>
      </c>
      <c r="I354" s="1">
        <v>3</v>
      </c>
      <c r="J354" s="1">
        <v>31.5</v>
      </c>
      <c r="K354" s="1">
        <v>0.03</v>
      </c>
      <c r="L354" s="1">
        <v>91.67</v>
      </c>
      <c r="M354" s="1" t="str">
        <f t="shared" si="10"/>
        <v>Retail Store</v>
      </c>
      <c r="N354" s="1">
        <f t="shared" si="11"/>
        <v>62.01</v>
      </c>
    </row>
    <row r="355" spans="1:14" x14ac:dyDescent="0.3">
      <c r="A355" s="1" t="s">
        <v>1944</v>
      </c>
      <c r="B355" s="1">
        <v>46176</v>
      </c>
      <c r="C355" s="1" t="s">
        <v>61</v>
      </c>
      <c r="D355" s="1" t="s">
        <v>27</v>
      </c>
      <c r="E355" s="1" t="s">
        <v>28</v>
      </c>
      <c r="F355" s="1" t="s">
        <v>82</v>
      </c>
      <c r="G355" s="1" t="s">
        <v>83</v>
      </c>
      <c r="H355" s="1" t="s">
        <v>112</v>
      </c>
      <c r="I355" s="1">
        <v>5</v>
      </c>
      <c r="J355" s="1">
        <v>3780</v>
      </c>
      <c r="K355" s="1">
        <v>0.1</v>
      </c>
      <c r="L355" s="1">
        <v>17010</v>
      </c>
      <c r="M355" s="1" t="str">
        <f t="shared" si="10"/>
        <v>Online</v>
      </c>
      <c r="N355" s="1">
        <f t="shared" si="11"/>
        <v>62.01</v>
      </c>
    </row>
    <row r="356" spans="1:14" x14ac:dyDescent="0.3">
      <c r="A356" s="1" t="s">
        <v>1945</v>
      </c>
      <c r="B356" s="1">
        <v>46176</v>
      </c>
      <c r="C356" s="1" t="s">
        <v>14</v>
      </c>
      <c r="D356" s="1" t="s">
        <v>22</v>
      </c>
      <c r="E356" s="1" t="s">
        <v>16</v>
      </c>
      <c r="F356" s="1" t="s">
        <v>29</v>
      </c>
      <c r="G356" s="1" t="s">
        <v>33</v>
      </c>
      <c r="H356" s="1" t="s">
        <v>31</v>
      </c>
      <c r="I356" s="1">
        <v>2</v>
      </c>
      <c r="J356" s="1">
        <v>13.5</v>
      </c>
      <c r="K356" s="1">
        <v>0.1</v>
      </c>
      <c r="L356" s="1">
        <v>24.3</v>
      </c>
      <c r="M356" s="1" t="str">
        <f t="shared" si="10"/>
        <v>Online</v>
      </c>
      <c r="N356" s="1">
        <f t="shared" si="11"/>
        <v>16.2</v>
      </c>
    </row>
    <row r="357" spans="1:14" x14ac:dyDescent="0.3">
      <c r="A357" s="1" t="s">
        <v>1929</v>
      </c>
      <c r="B357" s="1">
        <v>46177</v>
      </c>
      <c r="C357" s="1" t="s">
        <v>61</v>
      </c>
      <c r="D357" s="1" t="s">
        <v>27</v>
      </c>
      <c r="E357" s="1" t="s">
        <v>16</v>
      </c>
      <c r="F357" s="1" t="s">
        <v>42</v>
      </c>
      <c r="G357" s="1" t="s">
        <v>48</v>
      </c>
      <c r="H357" s="1" t="s">
        <v>63</v>
      </c>
      <c r="I357" s="1">
        <v>5</v>
      </c>
      <c r="J357" s="1">
        <v>17.46</v>
      </c>
      <c r="K357" s="1">
        <v>0.03</v>
      </c>
      <c r="L357" s="1">
        <v>84.68</v>
      </c>
      <c r="M357" s="1" t="str">
        <f t="shared" si="10"/>
        <v>Retail Store</v>
      </c>
      <c r="N357" s="1">
        <f t="shared" si="11"/>
        <v>62.01</v>
      </c>
    </row>
    <row r="358" spans="1:14" x14ac:dyDescent="0.3">
      <c r="A358" s="1" t="s">
        <v>1930</v>
      </c>
      <c r="B358" s="1">
        <v>46177</v>
      </c>
      <c r="C358" s="1" t="s">
        <v>54</v>
      </c>
      <c r="D358" s="1" t="s">
        <v>15</v>
      </c>
      <c r="E358" s="1" t="s">
        <v>28</v>
      </c>
      <c r="F358" s="1" t="s">
        <v>17</v>
      </c>
      <c r="G358" s="1" t="s">
        <v>62</v>
      </c>
      <c r="H358" s="1" t="s">
        <v>56</v>
      </c>
      <c r="I358" s="1">
        <v>3</v>
      </c>
      <c r="J358" s="1">
        <v>51.3</v>
      </c>
      <c r="K358" s="1">
        <v>0.1</v>
      </c>
      <c r="L358" s="1">
        <v>138.51</v>
      </c>
      <c r="M358" s="1" t="str">
        <f t="shared" si="10"/>
        <v>Online</v>
      </c>
      <c r="N358" s="1">
        <f t="shared" si="11"/>
        <v>267.12</v>
      </c>
    </row>
    <row r="359" spans="1:14" x14ac:dyDescent="0.3">
      <c r="A359" s="1" t="s">
        <v>1931</v>
      </c>
      <c r="B359" s="1">
        <v>46177</v>
      </c>
      <c r="C359" s="1" t="s">
        <v>14</v>
      </c>
      <c r="D359" s="1" t="s">
        <v>27</v>
      </c>
      <c r="E359" s="1" t="s">
        <v>16</v>
      </c>
      <c r="F359" s="1" t="s">
        <v>17</v>
      </c>
      <c r="G359" s="1" t="s">
        <v>62</v>
      </c>
      <c r="H359" s="1" t="s">
        <v>40</v>
      </c>
      <c r="I359" s="1">
        <v>2</v>
      </c>
      <c r="J359" s="1">
        <v>52.38</v>
      </c>
      <c r="K359" s="1">
        <v>0.08</v>
      </c>
      <c r="L359" s="1">
        <v>96.38</v>
      </c>
      <c r="M359" s="1" t="str">
        <f t="shared" si="10"/>
        <v>Online</v>
      </c>
      <c r="N359" s="1">
        <f t="shared" si="11"/>
        <v>16.2</v>
      </c>
    </row>
    <row r="360" spans="1:14" x14ac:dyDescent="0.3">
      <c r="A360" s="1" t="s">
        <v>1932</v>
      </c>
      <c r="B360" s="1">
        <v>46177</v>
      </c>
      <c r="C360" s="1" t="s">
        <v>47</v>
      </c>
      <c r="D360" s="1" t="s">
        <v>15</v>
      </c>
      <c r="E360" s="1" t="s">
        <v>16</v>
      </c>
      <c r="F360" s="1" t="s">
        <v>42</v>
      </c>
      <c r="G360" s="1" t="s">
        <v>67</v>
      </c>
      <c r="H360" s="1" t="s">
        <v>78</v>
      </c>
      <c r="I360" s="1">
        <v>5</v>
      </c>
      <c r="J360" s="1">
        <v>252</v>
      </c>
      <c r="K360" s="1">
        <v>0.05</v>
      </c>
      <c r="L360" s="1">
        <v>1197</v>
      </c>
      <c r="M360" s="1" t="str">
        <f t="shared" si="10"/>
        <v>Retail Store</v>
      </c>
      <c r="N360" s="1">
        <f t="shared" si="11"/>
        <v>421.2</v>
      </c>
    </row>
    <row r="361" spans="1:14" x14ac:dyDescent="0.3">
      <c r="A361" s="1" t="s">
        <v>1933</v>
      </c>
      <c r="B361" s="1">
        <v>46177</v>
      </c>
      <c r="C361" s="1" t="s">
        <v>21</v>
      </c>
      <c r="D361" s="1" t="s">
        <v>15</v>
      </c>
      <c r="E361" s="1" t="s">
        <v>16</v>
      </c>
      <c r="F361" s="1" t="s">
        <v>36</v>
      </c>
      <c r="G361" s="1" t="s">
        <v>119</v>
      </c>
      <c r="H361" s="1" t="s">
        <v>25</v>
      </c>
      <c r="I361" s="1">
        <v>2</v>
      </c>
      <c r="J361" s="1">
        <v>655.20000000000005</v>
      </c>
      <c r="K361" s="1">
        <v>0.08</v>
      </c>
      <c r="L361" s="1">
        <v>1205.57</v>
      </c>
      <c r="M361" s="1" t="str">
        <f t="shared" si="10"/>
        <v>Marketplace</v>
      </c>
      <c r="N361" s="1">
        <f t="shared" si="11"/>
        <v>405</v>
      </c>
    </row>
    <row r="362" spans="1:14" x14ac:dyDescent="0.3">
      <c r="A362" s="1" t="s">
        <v>1934</v>
      </c>
      <c r="B362" s="1">
        <v>46177</v>
      </c>
      <c r="C362" s="1" t="s">
        <v>61</v>
      </c>
      <c r="D362" s="1" t="s">
        <v>35</v>
      </c>
      <c r="E362" s="1" t="s">
        <v>16</v>
      </c>
      <c r="F362" s="1" t="s">
        <v>82</v>
      </c>
      <c r="G362" s="1" t="s">
        <v>114</v>
      </c>
      <c r="H362" s="1" t="s">
        <v>112</v>
      </c>
      <c r="I362" s="1">
        <v>2</v>
      </c>
      <c r="J362" s="1">
        <v>2182.5</v>
      </c>
      <c r="K362" s="1">
        <v>0.05</v>
      </c>
      <c r="L362" s="1">
        <v>4146.75</v>
      </c>
      <c r="M362" s="1" t="str">
        <f t="shared" si="10"/>
        <v>Online</v>
      </c>
      <c r="N362" s="1">
        <f t="shared" si="11"/>
        <v>62.01</v>
      </c>
    </row>
    <row r="363" spans="1:14" x14ac:dyDescent="0.3">
      <c r="A363" s="1" t="s">
        <v>1935</v>
      </c>
      <c r="B363" s="1">
        <v>46177</v>
      </c>
      <c r="C363" s="1" t="s">
        <v>21</v>
      </c>
      <c r="D363" s="1" t="s">
        <v>35</v>
      </c>
      <c r="E363" s="1" t="s">
        <v>16</v>
      </c>
      <c r="F363" s="1" t="s">
        <v>82</v>
      </c>
      <c r="G363" s="1" t="s">
        <v>114</v>
      </c>
      <c r="H363" s="1" t="s">
        <v>44</v>
      </c>
      <c r="I363" s="1">
        <v>2</v>
      </c>
      <c r="J363" s="1">
        <v>2250</v>
      </c>
      <c r="K363" s="1">
        <v>0.05</v>
      </c>
      <c r="L363" s="1">
        <v>4275</v>
      </c>
      <c r="M363" s="1" t="str">
        <f t="shared" si="10"/>
        <v>Retail Store</v>
      </c>
      <c r="N363" s="1">
        <f t="shared" si="11"/>
        <v>405</v>
      </c>
    </row>
    <row r="364" spans="1:14" x14ac:dyDescent="0.3">
      <c r="A364" s="1" t="s">
        <v>1936</v>
      </c>
      <c r="B364" s="1">
        <v>46177</v>
      </c>
      <c r="C364" s="1" t="s">
        <v>54</v>
      </c>
      <c r="D364" s="1" t="s">
        <v>27</v>
      </c>
      <c r="E364" s="1" t="s">
        <v>28</v>
      </c>
      <c r="F364" s="1" t="s">
        <v>36</v>
      </c>
      <c r="G364" s="1" t="s">
        <v>119</v>
      </c>
      <c r="H364" s="1" t="s">
        <v>80</v>
      </c>
      <c r="I364" s="1">
        <v>3</v>
      </c>
      <c r="J364" s="1">
        <v>655.20000000000005</v>
      </c>
      <c r="K364" s="1">
        <v>0</v>
      </c>
      <c r="L364" s="1">
        <v>1965.6</v>
      </c>
      <c r="M364" s="1" t="str">
        <f t="shared" si="10"/>
        <v>Marketplace</v>
      </c>
      <c r="N364" s="1">
        <f t="shared" si="11"/>
        <v>267.12</v>
      </c>
    </row>
    <row r="365" spans="1:14" x14ac:dyDescent="0.3">
      <c r="A365" s="1" t="s">
        <v>1924</v>
      </c>
      <c r="B365" s="1">
        <v>46178</v>
      </c>
      <c r="C365" s="1" t="s">
        <v>21</v>
      </c>
      <c r="D365" s="1" t="s">
        <v>22</v>
      </c>
      <c r="E365" s="1" t="s">
        <v>28</v>
      </c>
      <c r="F365" s="1" t="s">
        <v>29</v>
      </c>
      <c r="G365" s="1" t="s">
        <v>51</v>
      </c>
      <c r="H365" s="1" t="s">
        <v>44</v>
      </c>
      <c r="I365" s="1">
        <v>4</v>
      </c>
      <c r="J365" s="1">
        <v>39.29</v>
      </c>
      <c r="K365" s="1">
        <v>0.05</v>
      </c>
      <c r="L365" s="1">
        <v>149.28</v>
      </c>
      <c r="M365" s="1" t="str">
        <f t="shared" si="10"/>
        <v>Retail Store</v>
      </c>
      <c r="N365" s="1">
        <f t="shared" si="11"/>
        <v>405</v>
      </c>
    </row>
    <row r="366" spans="1:14" x14ac:dyDescent="0.3">
      <c r="A366" s="1" t="s">
        <v>1925</v>
      </c>
      <c r="B366" s="1">
        <v>46178</v>
      </c>
      <c r="C366" s="1" t="s">
        <v>54</v>
      </c>
      <c r="D366" s="1" t="s">
        <v>27</v>
      </c>
      <c r="E366" s="1" t="s">
        <v>16</v>
      </c>
      <c r="F366" s="1" t="s">
        <v>29</v>
      </c>
      <c r="G366" s="1" t="s">
        <v>39</v>
      </c>
      <c r="H366" s="1" t="s">
        <v>71</v>
      </c>
      <c r="I366" s="1">
        <v>2</v>
      </c>
      <c r="J366" s="1">
        <v>72</v>
      </c>
      <c r="K366" s="1">
        <v>0.05</v>
      </c>
      <c r="L366" s="1">
        <v>136.80000000000001</v>
      </c>
      <c r="M366" s="1" t="str">
        <f t="shared" si="10"/>
        <v>Online</v>
      </c>
      <c r="N366" s="1">
        <f t="shared" si="11"/>
        <v>267.12</v>
      </c>
    </row>
    <row r="367" spans="1:14" x14ac:dyDescent="0.3">
      <c r="A367" s="1" t="s">
        <v>1926</v>
      </c>
      <c r="B367" s="1">
        <v>46178</v>
      </c>
      <c r="C367" s="1" t="s">
        <v>54</v>
      </c>
      <c r="D367" s="1" t="s">
        <v>15</v>
      </c>
      <c r="E367" s="1" t="s">
        <v>16</v>
      </c>
      <c r="F367" s="1" t="s">
        <v>23</v>
      </c>
      <c r="G367" s="1" t="s">
        <v>178</v>
      </c>
      <c r="H367" s="1" t="s">
        <v>71</v>
      </c>
      <c r="I367" s="1">
        <v>9</v>
      </c>
      <c r="J367" s="1">
        <v>31.5</v>
      </c>
      <c r="K367" s="1">
        <v>0.1</v>
      </c>
      <c r="L367" s="1">
        <v>255.15</v>
      </c>
      <c r="M367" s="1" t="str">
        <f t="shared" si="10"/>
        <v>Online</v>
      </c>
      <c r="N367" s="1">
        <f t="shared" si="11"/>
        <v>267.12</v>
      </c>
    </row>
    <row r="368" spans="1:14" x14ac:dyDescent="0.3">
      <c r="A368" s="1" t="s">
        <v>1927</v>
      </c>
      <c r="B368" s="1">
        <v>46178</v>
      </c>
      <c r="C368" s="1" t="s">
        <v>54</v>
      </c>
      <c r="D368" s="1" t="s">
        <v>27</v>
      </c>
      <c r="E368" s="1" t="s">
        <v>28</v>
      </c>
      <c r="F368" s="1" t="s">
        <v>29</v>
      </c>
      <c r="G368" s="1" t="s">
        <v>51</v>
      </c>
      <c r="H368" s="1" t="s">
        <v>80</v>
      </c>
      <c r="I368" s="1">
        <v>3</v>
      </c>
      <c r="J368" s="1">
        <v>40.5</v>
      </c>
      <c r="K368" s="1">
        <v>0.1</v>
      </c>
      <c r="L368" s="1">
        <v>109.35</v>
      </c>
      <c r="M368" s="1" t="str">
        <f t="shared" si="10"/>
        <v>Marketplace</v>
      </c>
      <c r="N368" s="1">
        <f t="shared" si="11"/>
        <v>267.12</v>
      </c>
    </row>
    <row r="369" spans="1:14" x14ac:dyDescent="0.3">
      <c r="A369" s="1" t="s">
        <v>1928</v>
      </c>
      <c r="B369" s="1">
        <v>46178</v>
      </c>
      <c r="C369" s="1" t="s">
        <v>54</v>
      </c>
      <c r="D369" s="1" t="s">
        <v>15</v>
      </c>
      <c r="E369" s="1" t="s">
        <v>16</v>
      </c>
      <c r="F369" s="1" t="s">
        <v>82</v>
      </c>
      <c r="G369" s="1" t="s">
        <v>114</v>
      </c>
      <c r="H369" s="1" t="s">
        <v>80</v>
      </c>
      <c r="I369" s="1">
        <v>2</v>
      </c>
      <c r="J369" s="1">
        <v>2250</v>
      </c>
      <c r="K369" s="1">
        <v>0.05</v>
      </c>
      <c r="L369" s="1">
        <v>4275</v>
      </c>
      <c r="M369" s="1" t="str">
        <f t="shared" si="10"/>
        <v>Marketplace</v>
      </c>
      <c r="N369" s="1">
        <f t="shared" si="11"/>
        <v>267.12</v>
      </c>
    </row>
    <row r="370" spans="1:14" x14ac:dyDescent="0.3">
      <c r="A370" s="1" t="s">
        <v>1913</v>
      </c>
      <c r="B370" s="1">
        <v>46179</v>
      </c>
      <c r="C370" s="1" t="s">
        <v>61</v>
      </c>
      <c r="D370" s="1" t="s">
        <v>15</v>
      </c>
      <c r="E370" s="1" t="s">
        <v>16</v>
      </c>
      <c r="F370" s="1" t="s">
        <v>23</v>
      </c>
      <c r="G370" s="1" t="s">
        <v>142</v>
      </c>
      <c r="H370" s="1" t="s">
        <v>73</v>
      </c>
      <c r="I370" s="1">
        <v>6</v>
      </c>
      <c r="J370" s="1">
        <v>15.71</v>
      </c>
      <c r="K370" s="1">
        <v>0.1</v>
      </c>
      <c r="L370" s="1">
        <v>84.86</v>
      </c>
      <c r="M370" s="1" t="str">
        <f t="shared" si="10"/>
        <v>Online</v>
      </c>
      <c r="N370" s="1">
        <f t="shared" si="11"/>
        <v>62.01</v>
      </c>
    </row>
    <row r="371" spans="1:14" x14ac:dyDescent="0.3">
      <c r="A371" s="1" t="s">
        <v>1914</v>
      </c>
      <c r="B371" s="1">
        <v>46179</v>
      </c>
      <c r="C371" s="1" t="s">
        <v>21</v>
      </c>
      <c r="D371" s="1" t="s">
        <v>27</v>
      </c>
      <c r="E371" s="1" t="s">
        <v>16</v>
      </c>
      <c r="F371" s="1" t="s">
        <v>17</v>
      </c>
      <c r="G371" s="1" t="s">
        <v>62</v>
      </c>
      <c r="H371" s="1" t="s">
        <v>86</v>
      </c>
      <c r="I371" s="1">
        <v>4</v>
      </c>
      <c r="J371" s="1">
        <v>52.38</v>
      </c>
      <c r="K371" s="1">
        <v>0.2</v>
      </c>
      <c r="L371" s="1">
        <v>167.62</v>
      </c>
      <c r="M371" s="1" t="str">
        <f t="shared" si="10"/>
        <v>Online</v>
      </c>
      <c r="N371" s="1">
        <f t="shared" si="11"/>
        <v>405</v>
      </c>
    </row>
    <row r="372" spans="1:14" x14ac:dyDescent="0.3">
      <c r="A372" s="1" t="s">
        <v>1915</v>
      </c>
      <c r="B372" s="1">
        <v>46179</v>
      </c>
      <c r="C372" s="1" t="s">
        <v>21</v>
      </c>
      <c r="D372" s="1" t="s">
        <v>15</v>
      </c>
      <c r="E372" s="1" t="s">
        <v>16</v>
      </c>
      <c r="F372" s="1" t="s">
        <v>36</v>
      </c>
      <c r="G372" s="1" t="s">
        <v>119</v>
      </c>
      <c r="H372" s="1" t="s">
        <v>86</v>
      </c>
      <c r="I372" s="1">
        <v>2</v>
      </c>
      <c r="J372" s="1">
        <v>611.1</v>
      </c>
      <c r="K372" s="1">
        <v>0.1</v>
      </c>
      <c r="L372" s="1">
        <v>1099.98</v>
      </c>
      <c r="M372" s="1" t="str">
        <f t="shared" si="10"/>
        <v>Online</v>
      </c>
      <c r="N372" s="1">
        <f t="shared" si="11"/>
        <v>405</v>
      </c>
    </row>
    <row r="373" spans="1:14" x14ac:dyDescent="0.3">
      <c r="A373" s="1" t="s">
        <v>1916</v>
      </c>
      <c r="B373" s="1">
        <v>46179</v>
      </c>
      <c r="C373" s="1" t="s">
        <v>14</v>
      </c>
      <c r="D373" s="1" t="s">
        <v>27</v>
      </c>
      <c r="E373" s="1" t="s">
        <v>28</v>
      </c>
      <c r="F373" s="1" t="s">
        <v>82</v>
      </c>
      <c r="G373" s="1" t="s">
        <v>96</v>
      </c>
      <c r="H373" s="1" t="s">
        <v>19</v>
      </c>
      <c r="I373" s="1">
        <v>3</v>
      </c>
      <c r="J373" s="1">
        <v>2862</v>
      </c>
      <c r="K373" s="1">
        <v>0.2</v>
      </c>
      <c r="L373" s="1">
        <v>6868.8</v>
      </c>
      <c r="M373" s="1" t="str">
        <f t="shared" si="10"/>
        <v>Retail Store</v>
      </c>
      <c r="N373" s="1">
        <f t="shared" si="11"/>
        <v>16.2</v>
      </c>
    </row>
    <row r="374" spans="1:14" x14ac:dyDescent="0.3">
      <c r="A374" s="1" t="s">
        <v>1917</v>
      </c>
      <c r="B374" s="1">
        <v>46179</v>
      </c>
      <c r="C374" s="1" t="s">
        <v>47</v>
      </c>
      <c r="D374" s="1" t="s">
        <v>27</v>
      </c>
      <c r="E374" s="1" t="s">
        <v>28</v>
      </c>
      <c r="F374" s="1" t="s">
        <v>23</v>
      </c>
      <c r="G374" s="1" t="s">
        <v>24</v>
      </c>
      <c r="H374" s="1" t="s">
        <v>78</v>
      </c>
      <c r="I374" s="1">
        <v>8</v>
      </c>
      <c r="J374" s="1">
        <v>22.5</v>
      </c>
      <c r="K374" s="1">
        <v>0.05</v>
      </c>
      <c r="L374" s="1">
        <v>171</v>
      </c>
      <c r="M374" s="1" t="str">
        <f t="shared" si="10"/>
        <v>Retail Store</v>
      </c>
      <c r="N374" s="1">
        <f t="shared" si="11"/>
        <v>421.2</v>
      </c>
    </row>
    <row r="375" spans="1:14" x14ac:dyDescent="0.3">
      <c r="A375" s="1" t="s">
        <v>1918</v>
      </c>
      <c r="B375" s="1">
        <v>46179</v>
      </c>
      <c r="C375" s="1" t="s">
        <v>61</v>
      </c>
      <c r="D375" s="1" t="s">
        <v>22</v>
      </c>
      <c r="E375" s="1" t="s">
        <v>16</v>
      </c>
      <c r="F375" s="1" t="s">
        <v>23</v>
      </c>
      <c r="G375" s="1" t="s">
        <v>142</v>
      </c>
      <c r="H375" s="1" t="s">
        <v>112</v>
      </c>
      <c r="I375" s="1">
        <v>3</v>
      </c>
      <c r="J375" s="1">
        <v>15.71</v>
      </c>
      <c r="K375" s="1">
        <v>0.1</v>
      </c>
      <c r="L375" s="1">
        <v>42.43</v>
      </c>
      <c r="M375" s="1" t="str">
        <f t="shared" si="10"/>
        <v>Online</v>
      </c>
      <c r="N375" s="1">
        <f t="shared" si="11"/>
        <v>62.01</v>
      </c>
    </row>
    <row r="376" spans="1:14" x14ac:dyDescent="0.3">
      <c r="A376" s="1" t="s">
        <v>1919</v>
      </c>
      <c r="B376" s="1">
        <v>46179</v>
      </c>
      <c r="C376" s="1" t="s">
        <v>61</v>
      </c>
      <c r="D376" s="1" t="s">
        <v>27</v>
      </c>
      <c r="E376" s="1" t="s">
        <v>16</v>
      </c>
      <c r="F376" s="1" t="s">
        <v>42</v>
      </c>
      <c r="G376" s="1" t="s">
        <v>43</v>
      </c>
      <c r="H376" s="1" t="s">
        <v>63</v>
      </c>
      <c r="I376" s="1">
        <v>2</v>
      </c>
      <c r="J376" s="1">
        <v>162</v>
      </c>
      <c r="K376" s="1">
        <v>0.08</v>
      </c>
      <c r="L376" s="1">
        <v>298.08</v>
      </c>
      <c r="M376" s="1" t="str">
        <f t="shared" si="10"/>
        <v>Retail Store</v>
      </c>
      <c r="N376" s="1">
        <f t="shared" si="11"/>
        <v>62.01</v>
      </c>
    </row>
    <row r="377" spans="1:14" x14ac:dyDescent="0.3">
      <c r="A377" s="1" t="s">
        <v>1920</v>
      </c>
      <c r="B377" s="1">
        <v>46179</v>
      </c>
      <c r="C377" s="1" t="s">
        <v>54</v>
      </c>
      <c r="D377" s="1" t="s">
        <v>22</v>
      </c>
      <c r="E377" s="1" t="s">
        <v>28</v>
      </c>
      <c r="F377" s="1" t="s">
        <v>29</v>
      </c>
      <c r="G377" s="1" t="s">
        <v>88</v>
      </c>
      <c r="H377" s="1" t="s">
        <v>80</v>
      </c>
      <c r="I377" s="1">
        <v>5</v>
      </c>
      <c r="J377" s="1">
        <v>60.84</v>
      </c>
      <c r="K377" s="1">
        <v>0.1</v>
      </c>
      <c r="L377" s="1">
        <v>273.77999999999997</v>
      </c>
      <c r="M377" s="1" t="str">
        <f t="shared" si="10"/>
        <v>Marketplace</v>
      </c>
      <c r="N377" s="1">
        <f t="shared" si="11"/>
        <v>267.12</v>
      </c>
    </row>
    <row r="378" spans="1:14" x14ac:dyDescent="0.3">
      <c r="A378" s="1" t="s">
        <v>1921</v>
      </c>
      <c r="B378" s="1">
        <v>46179</v>
      </c>
      <c r="C378" s="1" t="s">
        <v>47</v>
      </c>
      <c r="D378" s="1" t="s">
        <v>15</v>
      </c>
      <c r="E378" s="1" t="s">
        <v>28</v>
      </c>
      <c r="F378" s="1" t="s">
        <v>29</v>
      </c>
      <c r="G378" s="1" t="s">
        <v>55</v>
      </c>
      <c r="H378" s="1" t="s">
        <v>78</v>
      </c>
      <c r="I378" s="1">
        <v>8</v>
      </c>
      <c r="J378" s="1">
        <v>36.25</v>
      </c>
      <c r="K378" s="1">
        <v>0.05</v>
      </c>
      <c r="L378" s="1">
        <v>275.52</v>
      </c>
      <c r="M378" s="1" t="str">
        <f t="shared" si="10"/>
        <v>Retail Store</v>
      </c>
      <c r="N378" s="1">
        <f t="shared" si="11"/>
        <v>421.2</v>
      </c>
    </row>
    <row r="379" spans="1:14" x14ac:dyDescent="0.3">
      <c r="A379" s="1" t="s">
        <v>1922</v>
      </c>
      <c r="B379" s="1">
        <v>46179</v>
      </c>
      <c r="C379" s="1" t="s">
        <v>54</v>
      </c>
      <c r="D379" s="1" t="s">
        <v>27</v>
      </c>
      <c r="E379" s="1" t="s">
        <v>28</v>
      </c>
      <c r="F379" s="1" t="s">
        <v>23</v>
      </c>
      <c r="G379" s="1" t="s">
        <v>178</v>
      </c>
      <c r="H379" s="1" t="s">
        <v>80</v>
      </c>
      <c r="I379" s="1">
        <v>6</v>
      </c>
      <c r="J379" s="1">
        <v>29.93</v>
      </c>
      <c r="K379" s="1">
        <v>0.08</v>
      </c>
      <c r="L379" s="1">
        <v>165.19</v>
      </c>
      <c r="M379" s="1" t="str">
        <f t="shared" si="10"/>
        <v>Marketplace</v>
      </c>
      <c r="N379" s="1">
        <f t="shared" si="11"/>
        <v>267.12</v>
      </c>
    </row>
    <row r="380" spans="1:14" x14ac:dyDescent="0.3">
      <c r="A380" s="1" t="s">
        <v>1923</v>
      </c>
      <c r="B380" s="1">
        <v>46179</v>
      </c>
      <c r="C380" s="1" t="s">
        <v>14</v>
      </c>
      <c r="D380" s="1" t="s">
        <v>22</v>
      </c>
      <c r="E380" s="1" t="s">
        <v>16</v>
      </c>
      <c r="F380" s="1" t="s">
        <v>82</v>
      </c>
      <c r="G380" s="1" t="s">
        <v>83</v>
      </c>
      <c r="H380" s="1" t="s">
        <v>40</v>
      </c>
      <c r="I380" s="1">
        <v>2</v>
      </c>
      <c r="J380" s="1">
        <v>3931.2</v>
      </c>
      <c r="K380" s="1">
        <v>0.2</v>
      </c>
      <c r="L380" s="1">
        <v>6289.92</v>
      </c>
      <c r="M380" s="1" t="str">
        <f t="shared" si="10"/>
        <v>Online</v>
      </c>
      <c r="N380" s="1">
        <f t="shared" si="11"/>
        <v>16.2</v>
      </c>
    </row>
    <row r="381" spans="1:14" x14ac:dyDescent="0.3">
      <c r="A381" s="1" t="s">
        <v>1908</v>
      </c>
      <c r="B381" s="1">
        <v>46180</v>
      </c>
      <c r="C381" s="1" t="s">
        <v>54</v>
      </c>
      <c r="D381" s="1" t="s">
        <v>27</v>
      </c>
      <c r="E381" s="1" t="s">
        <v>28</v>
      </c>
      <c r="F381" s="1" t="s">
        <v>82</v>
      </c>
      <c r="G381" s="1" t="s">
        <v>83</v>
      </c>
      <c r="H381" s="1" t="s">
        <v>71</v>
      </c>
      <c r="I381" s="1">
        <v>2</v>
      </c>
      <c r="J381" s="1">
        <v>3780</v>
      </c>
      <c r="K381" s="1">
        <v>0.05</v>
      </c>
      <c r="L381" s="1">
        <v>7182</v>
      </c>
      <c r="M381" s="1" t="str">
        <f t="shared" si="10"/>
        <v>Online</v>
      </c>
      <c r="N381" s="1">
        <f t="shared" si="11"/>
        <v>267.12</v>
      </c>
    </row>
    <row r="382" spans="1:14" x14ac:dyDescent="0.3">
      <c r="A382" s="1" t="s">
        <v>1909</v>
      </c>
      <c r="B382" s="1">
        <v>46180</v>
      </c>
      <c r="C382" s="1" t="s">
        <v>14</v>
      </c>
      <c r="D382" s="1" t="s">
        <v>15</v>
      </c>
      <c r="E382" s="1" t="s">
        <v>16</v>
      </c>
      <c r="F382" s="1" t="s">
        <v>36</v>
      </c>
      <c r="G382" s="1" t="s">
        <v>37</v>
      </c>
      <c r="H382" s="1" t="s">
        <v>40</v>
      </c>
      <c r="I382" s="1">
        <v>6</v>
      </c>
      <c r="J382" s="1">
        <v>765</v>
      </c>
      <c r="K382" s="1">
        <v>0.1</v>
      </c>
      <c r="L382" s="1">
        <v>4131</v>
      </c>
      <c r="M382" s="1" t="str">
        <f t="shared" si="10"/>
        <v>Online</v>
      </c>
      <c r="N382" s="1">
        <f t="shared" si="11"/>
        <v>16.2</v>
      </c>
    </row>
    <row r="383" spans="1:14" x14ac:dyDescent="0.3">
      <c r="A383" s="1" t="s">
        <v>1910</v>
      </c>
      <c r="B383" s="1">
        <v>46180</v>
      </c>
      <c r="C383" s="1" t="s">
        <v>61</v>
      </c>
      <c r="D383" s="1" t="s">
        <v>15</v>
      </c>
      <c r="E383" s="1" t="s">
        <v>16</v>
      </c>
      <c r="F383" s="1" t="s">
        <v>42</v>
      </c>
      <c r="G383" s="1" t="s">
        <v>43</v>
      </c>
      <c r="H383" s="1" t="s">
        <v>63</v>
      </c>
      <c r="I383" s="1">
        <v>4</v>
      </c>
      <c r="J383" s="1">
        <v>162</v>
      </c>
      <c r="K383" s="1">
        <v>0.03</v>
      </c>
      <c r="L383" s="1">
        <v>628.55999999999995</v>
      </c>
      <c r="M383" s="1" t="str">
        <f t="shared" si="10"/>
        <v>Retail Store</v>
      </c>
      <c r="N383" s="1">
        <f t="shared" si="11"/>
        <v>62.01</v>
      </c>
    </row>
    <row r="384" spans="1:14" x14ac:dyDescent="0.3">
      <c r="A384" s="1" t="s">
        <v>1911</v>
      </c>
      <c r="B384" s="1">
        <v>46180</v>
      </c>
      <c r="C384" s="1" t="s">
        <v>47</v>
      </c>
      <c r="D384" s="1" t="s">
        <v>22</v>
      </c>
      <c r="E384" s="1" t="s">
        <v>16</v>
      </c>
      <c r="F384" s="1" t="s">
        <v>29</v>
      </c>
      <c r="G384" s="1" t="s">
        <v>39</v>
      </c>
      <c r="H384" s="1" t="s">
        <v>49</v>
      </c>
      <c r="I384" s="1">
        <v>2</v>
      </c>
      <c r="J384" s="1">
        <v>73.44</v>
      </c>
      <c r="K384" s="1">
        <v>0.08</v>
      </c>
      <c r="L384" s="1">
        <v>135.13</v>
      </c>
      <c r="M384" s="1" t="str">
        <f t="shared" si="10"/>
        <v>Retail Store</v>
      </c>
      <c r="N384" s="1">
        <f t="shared" si="11"/>
        <v>421.2</v>
      </c>
    </row>
    <row r="385" spans="1:14" x14ac:dyDescent="0.3">
      <c r="A385" s="1" t="s">
        <v>1912</v>
      </c>
      <c r="B385" s="1">
        <v>46180</v>
      </c>
      <c r="C385" s="1" t="s">
        <v>61</v>
      </c>
      <c r="D385" s="1" t="s">
        <v>15</v>
      </c>
      <c r="E385" s="1" t="s">
        <v>28</v>
      </c>
      <c r="F385" s="1" t="s">
        <v>17</v>
      </c>
      <c r="G385" s="1" t="s">
        <v>62</v>
      </c>
      <c r="H385" s="1" t="s">
        <v>63</v>
      </c>
      <c r="I385" s="1">
        <v>4</v>
      </c>
      <c r="J385" s="1">
        <v>54</v>
      </c>
      <c r="K385" s="1">
        <v>0.03</v>
      </c>
      <c r="L385" s="1">
        <v>209.52</v>
      </c>
      <c r="M385" s="1" t="str">
        <f t="shared" si="10"/>
        <v>Retail Store</v>
      </c>
      <c r="N385" s="1">
        <f t="shared" si="11"/>
        <v>62.01</v>
      </c>
    </row>
    <row r="386" spans="1:14" x14ac:dyDescent="0.3">
      <c r="A386" s="1" t="s">
        <v>1905</v>
      </c>
      <c r="B386" s="1">
        <v>46181</v>
      </c>
      <c r="C386" s="1" t="s">
        <v>54</v>
      </c>
      <c r="D386" s="1" t="s">
        <v>15</v>
      </c>
      <c r="E386" s="1" t="s">
        <v>16</v>
      </c>
      <c r="F386" s="1" t="s">
        <v>17</v>
      </c>
      <c r="G386" s="1" t="s">
        <v>189</v>
      </c>
      <c r="H386" s="1" t="s">
        <v>80</v>
      </c>
      <c r="I386" s="1">
        <v>2</v>
      </c>
      <c r="J386" s="1">
        <v>293.76</v>
      </c>
      <c r="K386" s="1">
        <v>0.03</v>
      </c>
      <c r="L386" s="1">
        <v>569.89</v>
      </c>
      <c r="M386" s="1" t="str">
        <f t="shared" ref="M386:M449" si="12">INDEX(D:D,MATCH(H386,H:H,0))</f>
        <v>Marketplace</v>
      </c>
      <c r="N386" s="1">
        <f t="shared" ref="N386:N449" si="13">VLOOKUP(C:C,C:J,8,FALSE)</f>
        <v>267.12</v>
      </c>
    </row>
    <row r="387" spans="1:14" x14ac:dyDescent="0.3">
      <c r="A387" s="1" t="s">
        <v>1906</v>
      </c>
      <c r="B387" s="1">
        <v>46181</v>
      </c>
      <c r="C387" s="1" t="s">
        <v>14</v>
      </c>
      <c r="D387" s="1" t="s">
        <v>35</v>
      </c>
      <c r="E387" s="1" t="s">
        <v>16</v>
      </c>
      <c r="F387" s="1" t="s">
        <v>42</v>
      </c>
      <c r="G387" s="1" t="s">
        <v>43</v>
      </c>
      <c r="H387" s="1" t="s">
        <v>31</v>
      </c>
      <c r="I387" s="1">
        <v>8</v>
      </c>
      <c r="J387" s="1">
        <v>162</v>
      </c>
      <c r="K387" s="1">
        <v>0</v>
      </c>
      <c r="L387" s="1">
        <v>1296</v>
      </c>
      <c r="M387" s="1" t="str">
        <f t="shared" si="12"/>
        <v>Online</v>
      </c>
      <c r="N387" s="1">
        <f t="shared" si="13"/>
        <v>16.2</v>
      </c>
    </row>
    <row r="388" spans="1:14" x14ac:dyDescent="0.3">
      <c r="A388" s="1" t="s">
        <v>1907</v>
      </c>
      <c r="B388" s="1">
        <v>46181</v>
      </c>
      <c r="C388" s="1" t="s">
        <v>47</v>
      </c>
      <c r="D388" s="1" t="s">
        <v>15</v>
      </c>
      <c r="E388" s="1" t="s">
        <v>16</v>
      </c>
      <c r="F388" s="1" t="s">
        <v>82</v>
      </c>
      <c r="G388" s="1" t="s">
        <v>96</v>
      </c>
      <c r="H388" s="1" t="s">
        <v>58</v>
      </c>
      <c r="I388" s="1">
        <v>4</v>
      </c>
      <c r="J388" s="1">
        <v>2619</v>
      </c>
      <c r="K388" s="1">
        <v>0.08</v>
      </c>
      <c r="L388" s="1">
        <v>9637.92</v>
      </c>
      <c r="M388" s="1" t="str">
        <f t="shared" si="12"/>
        <v>Corporate Sales</v>
      </c>
      <c r="N388" s="1">
        <f t="shared" si="13"/>
        <v>421.2</v>
      </c>
    </row>
    <row r="389" spans="1:14" x14ac:dyDescent="0.3">
      <c r="A389" s="1" t="s">
        <v>1899</v>
      </c>
      <c r="B389" s="1">
        <v>46182</v>
      </c>
      <c r="C389" s="1" t="s">
        <v>54</v>
      </c>
      <c r="D389" s="1" t="s">
        <v>22</v>
      </c>
      <c r="E389" s="1" t="s">
        <v>16</v>
      </c>
      <c r="F389" s="1" t="s">
        <v>29</v>
      </c>
      <c r="G389" s="1" t="s">
        <v>55</v>
      </c>
      <c r="H389" s="1" t="s">
        <v>56</v>
      </c>
      <c r="I389" s="1">
        <v>3</v>
      </c>
      <c r="J389" s="1">
        <v>34.200000000000003</v>
      </c>
      <c r="K389" s="1">
        <v>0.15</v>
      </c>
      <c r="L389" s="1">
        <v>87.21</v>
      </c>
      <c r="M389" s="1" t="str">
        <f t="shared" si="12"/>
        <v>Online</v>
      </c>
      <c r="N389" s="1">
        <f t="shared" si="13"/>
        <v>267.12</v>
      </c>
    </row>
    <row r="390" spans="1:14" x14ac:dyDescent="0.3">
      <c r="A390" s="1" t="s">
        <v>1900</v>
      </c>
      <c r="B390" s="1">
        <v>46182</v>
      </c>
      <c r="C390" s="1" t="s">
        <v>21</v>
      </c>
      <c r="D390" s="1" t="s">
        <v>35</v>
      </c>
      <c r="E390" s="1" t="s">
        <v>16</v>
      </c>
      <c r="F390" s="1" t="s">
        <v>42</v>
      </c>
      <c r="G390" s="1" t="s">
        <v>48</v>
      </c>
      <c r="H390" s="1" t="s">
        <v>86</v>
      </c>
      <c r="I390" s="1">
        <v>3</v>
      </c>
      <c r="J390" s="1">
        <v>18</v>
      </c>
      <c r="K390" s="1">
        <v>0.03</v>
      </c>
      <c r="L390" s="1">
        <v>52.38</v>
      </c>
      <c r="M390" s="1" t="str">
        <f t="shared" si="12"/>
        <v>Online</v>
      </c>
      <c r="N390" s="1">
        <f t="shared" si="13"/>
        <v>405</v>
      </c>
    </row>
    <row r="391" spans="1:14" x14ac:dyDescent="0.3">
      <c r="A391" s="1" t="s">
        <v>1901</v>
      </c>
      <c r="B391" s="1">
        <v>46182</v>
      </c>
      <c r="C391" s="1" t="s">
        <v>14</v>
      </c>
      <c r="D391" s="1" t="s">
        <v>15</v>
      </c>
      <c r="E391" s="1" t="s">
        <v>16</v>
      </c>
      <c r="F391" s="1" t="s">
        <v>36</v>
      </c>
      <c r="G391" s="1" t="s">
        <v>70</v>
      </c>
      <c r="H391" s="1" t="s">
        <v>19</v>
      </c>
      <c r="I391" s="1">
        <v>2</v>
      </c>
      <c r="J391" s="1">
        <v>495.9</v>
      </c>
      <c r="K391" s="1">
        <v>0.05</v>
      </c>
      <c r="L391" s="1">
        <v>942.21</v>
      </c>
      <c r="M391" s="1" t="str">
        <f t="shared" si="12"/>
        <v>Retail Store</v>
      </c>
      <c r="N391" s="1">
        <f t="shared" si="13"/>
        <v>16.2</v>
      </c>
    </row>
    <row r="392" spans="1:14" x14ac:dyDescent="0.3">
      <c r="A392" s="1" t="s">
        <v>1902</v>
      </c>
      <c r="B392" s="1">
        <v>46182</v>
      </c>
      <c r="C392" s="1" t="s">
        <v>54</v>
      </c>
      <c r="D392" s="1" t="s">
        <v>15</v>
      </c>
      <c r="E392" s="1" t="s">
        <v>16</v>
      </c>
      <c r="F392" s="1" t="s">
        <v>82</v>
      </c>
      <c r="G392" s="1" t="s">
        <v>150</v>
      </c>
      <c r="H392" s="1" t="s">
        <v>80</v>
      </c>
      <c r="I392" s="1">
        <v>3</v>
      </c>
      <c r="J392" s="1">
        <v>3052.8</v>
      </c>
      <c r="K392" s="1">
        <v>0.08</v>
      </c>
      <c r="L392" s="1">
        <v>8425.73</v>
      </c>
      <c r="M392" s="1" t="str">
        <f t="shared" si="12"/>
        <v>Marketplace</v>
      </c>
      <c r="N392" s="1">
        <f t="shared" si="13"/>
        <v>267.12</v>
      </c>
    </row>
    <row r="393" spans="1:14" x14ac:dyDescent="0.3">
      <c r="A393" s="1" t="s">
        <v>1903</v>
      </c>
      <c r="B393" s="1">
        <v>46182</v>
      </c>
      <c r="C393" s="1" t="s">
        <v>54</v>
      </c>
      <c r="D393" s="1" t="s">
        <v>35</v>
      </c>
      <c r="E393" s="1" t="s">
        <v>28</v>
      </c>
      <c r="F393" s="1" t="s">
        <v>29</v>
      </c>
      <c r="G393" s="1" t="s">
        <v>55</v>
      </c>
      <c r="H393" s="1" t="s">
        <v>80</v>
      </c>
      <c r="I393" s="1">
        <v>5</v>
      </c>
      <c r="J393" s="1">
        <v>36.25</v>
      </c>
      <c r="K393" s="1">
        <v>0.03</v>
      </c>
      <c r="L393" s="1">
        <v>175.82</v>
      </c>
      <c r="M393" s="1" t="str">
        <f t="shared" si="12"/>
        <v>Marketplace</v>
      </c>
      <c r="N393" s="1">
        <f t="shared" si="13"/>
        <v>267.12</v>
      </c>
    </row>
    <row r="394" spans="1:14" x14ac:dyDescent="0.3">
      <c r="A394" s="1" t="s">
        <v>1904</v>
      </c>
      <c r="B394" s="1">
        <v>46182</v>
      </c>
      <c r="C394" s="1" t="s">
        <v>61</v>
      </c>
      <c r="D394" s="1" t="s">
        <v>15</v>
      </c>
      <c r="E394" s="1" t="s">
        <v>28</v>
      </c>
      <c r="F394" s="1" t="s">
        <v>82</v>
      </c>
      <c r="G394" s="1" t="s">
        <v>114</v>
      </c>
      <c r="H394" s="1" t="s">
        <v>73</v>
      </c>
      <c r="I394" s="1">
        <v>3</v>
      </c>
      <c r="J394" s="1">
        <v>2250</v>
      </c>
      <c r="K394" s="1">
        <v>0.03</v>
      </c>
      <c r="L394" s="1">
        <v>6547.5</v>
      </c>
      <c r="M394" s="1" t="str">
        <f t="shared" si="12"/>
        <v>Online</v>
      </c>
      <c r="N394" s="1">
        <f t="shared" si="13"/>
        <v>62.01</v>
      </c>
    </row>
    <row r="395" spans="1:14" x14ac:dyDescent="0.3">
      <c r="A395" s="1" t="s">
        <v>1894</v>
      </c>
      <c r="B395" s="1">
        <v>46183</v>
      </c>
      <c r="C395" s="1" t="s">
        <v>54</v>
      </c>
      <c r="D395" s="1" t="s">
        <v>22</v>
      </c>
      <c r="E395" s="1" t="s">
        <v>16</v>
      </c>
      <c r="F395" s="1" t="s">
        <v>29</v>
      </c>
      <c r="G395" s="1" t="s">
        <v>55</v>
      </c>
      <c r="H395" s="1" t="s">
        <v>71</v>
      </c>
      <c r="I395" s="1">
        <v>9</v>
      </c>
      <c r="J395" s="1">
        <v>35.57</v>
      </c>
      <c r="K395" s="1">
        <v>0</v>
      </c>
      <c r="L395" s="1">
        <v>320.11</v>
      </c>
      <c r="M395" s="1" t="str">
        <f t="shared" si="12"/>
        <v>Online</v>
      </c>
      <c r="N395" s="1">
        <f t="shared" si="13"/>
        <v>267.12</v>
      </c>
    </row>
    <row r="396" spans="1:14" x14ac:dyDescent="0.3">
      <c r="A396" s="1" t="s">
        <v>1895</v>
      </c>
      <c r="B396" s="1">
        <v>46183</v>
      </c>
      <c r="C396" s="1" t="s">
        <v>47</v>
      </c>
      <c r="D396" s="1" t="s">
        <v>15</v>
      </c>
      <c r="E396" s="1" t="s">
        <v>28</v>
      </c>
      <c r="F396" s="1" t="s">
        <v>42</v>
      </c>
      <c r="G396" s="1" t="s">
        <v>48</v>
      </c>
      <c r="H396" s="1" t="s">
        <v>78</v>
      </c>
      <c r="I396" s="1">
        <v>2</v>
      </c>
      <c r="J396" s="1">
        <v>17.46</v>
      </c>
      <c r="K396" s="1">
        <v>0</v>
      </c>
      <c r="L396" s="1">
        <v>34.92</v>
      </c>
      <c r="M396" s="1" t="str">
        <f t="shared" si="12"/>
        <v>Retail Store</v>
      </c>
      <c r="N396" s="1">
        <f t="shared" si="13"/>
        <v>421.2</v>
      </c>
    </row>
    <row r="397" spans="1:14" x14ac:dyDescent="0.3">
      <c r="A397" s="1" t="s">
        <v>1896</v>
      </c>
      <c r="B397" s="1">
        <v>46183</v>
      </c>
      <c r="C397" s="1" t="s">
        <v>14</v>
      </c>
      <c r="D397" s="1" t="s">
        <v>15</v>
      </c>
      <c r="E397" s="1" t="s">
        <v>28</v>
      </c>
      <c r="F397" s="1" t="s">
        <v>23</v>
      </c>
      <c r="G397" s="1" t="s">
        <v>24</v>
      </c>
      <c r="H397" s="1" t="s">
        <v>19</v>
      </c>
      <c r="I397" s="1">
        <v>7</v>
      </c>
      <c r="J397" s="1">
        <v>21.38</v>
      </c>
      <c r="K397" s="1">
        <v>0.05</v>
      </c>
      <c r="L397" s="1">
        <v>142.13999999999999</v>
      </c>
      <c r="M397" s="1" t="str">
        <f t="shared" si="12"/>
        <v>Retail Store</v>
      </c>
      <c r="N397" s="1">
        <f t="shared" si="13"/>
        <v>16.2</v>
      </c>
    </row>
    <row r="398" spans="1:14" x14ac:dyDescent="0.3">
      <c r="A398" s="1" t="s">
        <v>1897</v>
      </c>
      <c r="B398" s="1">
        <v>46183</v>
      </c>
      <c r="C398" s="1" t="s">
        <v>61</v>
      </c>
      <c r="D398" s="1" t="s">
        <v>22</v>
      </c>
      <c r="E398" s="1" t="s">
        <v>28</v>
      </c>
      <c r="F398" s="1" t="s">
        <v>17</v>
      </c>
      <c r="G398" s="1" t="s">
        <v>189</v>
      </c>
      <c r="H398" s="1" t="s">
        <v>73</v>
      </c>
      <c r="I398" s="1">
        <v>4</v>
      </c>
      <c r="J398" s="1">
        <v>279.36</v>
      </c>
      <c r="K398" s="1">
        <v>0.08</v>
      </c>
      <c r="L398" s="1">
        <v>1028.04</v>
      </c>
      <c r="M398" s="1" t="str">
        <f t="shared" si="12"/>
        <v>Online</v>
      </c>
      <c r="N398" s="1">
        <f t="shared" si="13"/>
        <v>62.01</v>
      </c>
    </row>
    <row r="399" spans="1:14" x14ac:dyDescent="0.3">
      <c r="A399" s="1" t="s">
        <v>1898</v>
      </c>
      <c r="B399" s="1">
        <v>46183</v>
      </c>
      <c r="C399" s="1" t="s">
        <v>21</v>
      </c>
      <c r="D399" s="1" t="s">
        <v>15</v>
      </c>
      <c r="E399" s="1" t="s">
        <v>16</v>
      </c>
      <c r="F399" s="1" t="s">
        <v>17</v>
      </c>
      <c r="G399" s="1" t="s">
        <v>189</v>
      </c>
      <c r="H399" s="1" t="s">
        <v>25</v>
      </c>
      <c r="I399" s="1">
        <v>3</v>
      </c>
      <c r="J399" s="1">
        <v>288</v>
      </c>
      <c r="K399" s="1">
        <v>0</v>
      </c>
      <c r="L399" s="1">
        <v>864</v>
      </c>
      <c r="M399" s="1" t="str">
        <f t="shared" si="12"/>
        <v>Marketplace</v>
      </c>
      <c r="N399" s="1">
        <f t="shared" si="13"/>
        <v>405</v>
      </c>
    </row>
    <row r="400" spans="1:14" x14ac:dyDescent="0.3">
      <c r="A400" s="1" t="s">
        <v>1886</v>
      </c>
      <c r="B400" s="1">
        <v>46184</v>
      </c>
      <c r="C400" s="1" t="s">
        <v>21</v>
      </c>
      <c r="D400" s="1" t="s">
        <v>27</v>
      </c>
      <c r="E400" s="1" t="s">
        <v>16</v>
      </c>
      <c r="F400" s="1" t="s">
        <v>23</v>
      </c>
      <c r="G400" s="1" t="s">
        <v>116</v>
      </c>
      <c r="H400" s="1" t="s">
        <v>25</v>
      </c>
      <c r="I400" s="1">
        <v>8</v>
      </c>
      <c r="J400" s="1">
        <v>7.2</v>
      </c>
      <c r="K400" s="1">
        <v>0.15</v>
      </c>
      <c r="L400" s="1">
        <v>48.96</v>
      </c>
      <c r="M400" s="1" t="str">
        <f t="shared" si="12"/>
        <v>Marketplace</v>
      </c>
      <c r="N400" s="1">
        <f t="shared" si="13"/>
        <v>405</v>
      </c>
    </row>
    <row r="401" spans="1:14" x14ac:dyDescent="0.3">
      <c r="A401" s="1" t="s">
        <v>1887</v>
      </c>
      <c r="B401" s="1">
        <v>46184</v>
      </c>
      <c r="C401" s="1" t="s">
        <v>54</v>
      </c>
      <c r="D401" s="1" t="s">
        <v>27</v>
      </c>
      <c r="E401" s="1" t="s">
        <v>28</v>
      </c>
      <c r="F401" s="1" t="s">
        <v>36</v>
      </c>
      <c r="G401" s="1" t="s">
        <v>37</v>
      </c>
      <c r="H401" s="1" t="s">
        <v>80</v>
      </c>
      <c r="I401" s="1">
        <v>2</v>
      </c>
      <c r="J401" s="1">
        <v>765</v>
      </c>
      <c r="K401" s="1">
        <v>0.1</v>
      </c>
      <c r="L401" s="1">
        <v>1377</v>
      </c>
      <c r="M401" s="1" t="str">
        <f t="shared" si="12"/>
        <v>Marketplace</v>
      </c>
      <c r="N401" s="1">
        <f t="shared" si="13"/>
        <v>267.12</v>
      </c>
    </row>
    <row r="402" spans="1:14" x14ac:dyDescent="0.3">
      <c r="A402" s="1" t="s">
        <v>1888</v>
      </c>
      <c r="B402" s="1">
        <v>46184</v>
      </c>
      <c r="C402" s="1" t="s">
        <v>61</v>
      </c>
      <c r="D402" s="1" t="s">
        <v>27</v>
      </c>
      <c r="E402" s="1" t="s">
        <v>28</v>
      </c>
      <c r="F402" s="1" t="s">
        <v>36</v>
      </c>
      <c r="G402" s="1" t="s">
        <v>70</v>
      </c>
      <c r="H402" s="1" t="s">
        <v>73</v>
      </c>
      <c r="I402" s="1">
        <v>5</v>
      </c>
      <c r="J402" s="1">
        <v>506.34</v>
      </c>
      <c r="K402" s="1">
        <v>0.08</v>
      </c>
      <c r="L402" s="1">
        <v>2329.16</v>
      </c>
      <c r="M402" s="1" t="str">
        <f t="shared" si="12"/>
        <v>Online</v>
      </c>
      <c r="N402" s="1">
        <f t="shared" si="13"/>
        <v>62.01</v>
      </c>
    </row>
    <row r="403" spans="1:14" x14ac:dyDescent="0.3">
      <c r="A403" s="1" t="s">
        <v>1889</v>
      </c>
      <c r="B403" s="1">
        <v>46184</v>
      </c>
      <c r="C403" s="1" t="s">
        <v>14</v>
      </c>
      <c r="D403" s="1" t="s">
        <v>15</v>
      </c>
      <c r="E403" s="1" t="s">
        <v>16</v>
      </c>
      <c r="F403" s="1" t="s">
        <v>17</v>
      </c>
      <c r="G403" s="1" t="s">
        <v>62</v>
      </c>
      <c r="H403" s="1" t="s">
        <v>19</v>
      </c>
      <c r="I403" s="1">
        <v>2</v>
      </c>
      <c r="J403" s="1">
        <v>54</v>
      </c>
      <c r="K403" s="1">
        <v>0.08</v>
      </c>
      <c r="L403" s="1">
        <v>99.36</v>
      </c>
      <c r="M403" s="1" t="str">
        <f t="shared" si="12"/>
        <v>Retail Store</v>
      </c>
      <c r="N403" s="1">
        <f t="shared" si="13"/>
        <v>16.2</v>
      </c>
    </row>
    <row r="404" spans="1:14" x14ac:dyDescent="0.3">
      <c r="A404" s="1" t="s">
        <v>1890</v>
      </c>
      <c r="B404" s="1">
        <v>46184</v>
      </c>
      <c r="C404" s="1" t="s">
        <v>21</v>
      </c>
      <c r="D404" s="1" t="s">
        <v>15</v>
      </c>
      <c r="E404" s="1" t="s">
        <v>16</v>
      </c>
      <c r="F404" s="1" t="s">
        <v>29</v>
      </c>
      <c r="G404" s="1" t="s">
        <v>39</v>
      </c>
      <c r="H404" s="1" t="s">
        <v>86</v>
      </c>
      <c r="I404" s="1">
        <v>2</v>
      </c>
      <c r="J404" s="1">
        <v>74.88</v>
      </c>
      <c r="K404" s="1">
        <v>0.2</v>
      </c>
      <c r="L404" s="1">
        <v>119.81</v>
      </c>
      <c r="M404" s="1" t="str">
        <f t="shared" si="12"/>
        <v>Online</v>
      </c>
      <c r="N404" s="1">
        <f t="shared" si="13"/>
        <v>405</v>
      </c>
    </row>
    <row r="405" spans="1:14" x14ac:dyDescent="0.3">
      <c r="A405" s="1" t="s">
        <v>1891</v>
      </c>
      <c r="B405" s="1">
        <v>46184</v>
      </c>
      <c r="C405" s="1" t="s">
        <v>47</v>
      </c>
      <c r="D405" s="1" t="s">
        <v>22</v>
      </c>
      <c r="E405" s="1" t="s">
        <v>16</v>
      </c>
      <c r="F405" s="1" t="s">
        <v>42</v>
      </c>
      <c r="G405" s="1" t="s">
        <v>67</v>
      </c>
      <c r="H405" s="1" t="s">
        <v>58</v>
      </c>
      <c r="I405" s="1">
        <v>6</v>
      </c>
      <c r="J405" s="1">
        <v>267.12</v>
      </c>
      <c r="K405" s="1">
        <v>0.08</v>
      </c>
      <c r="L405" s="1">
        <v>1474.5</v>
      </c>
      <c r="M405" s="1" t="str">
        <f t="shared" si="12"/>
        <v>Corporate Sales</v>
      </c>
      <c r="N405" s="1">
        <f t="shared" si="13"/>
        <v>421.2</v>
      </c>
    </row>
    <row r="406" spans="1:14" x14ac:dyDescent="0.3">
      <c r="A406" s="1" t="s">
        <v>1892</v>
      </c>
      <c r="B406" s="1">
        <v>46184</v>
      </c>
      <c r="C406" s="1" t="s">
        <v>14</v>
      </c>
      <c r="D406" s="1" t="s">
        <v>15</v>
      </c>
      <c r="E406" s="1" t="s">
        <v>28</v>
      </c>
      <c r="F406" s="1" t="s">
        <v>23</v>
      </c>
      <c r="G406" s="1" t="s">
        <v>142</v>
      </c>
      <c r="H406" s="1" t="s">
        <v>31</v>
      </c>
      <c r="I406" s="1">
        <v>7</v>
      </c>
      <c r="J406" s="1">
        <v>16.850000000000001</v>
      </c>
      <c r="K406" s="1">
        <v>0.08</v>
      </c>
      <c r="L406" s="1">
        <v>108.5</v>
      </c>
      <c r="M406" s="1" t="str">
        <f t="shared" si="12"/>
        <v>Online</v>
      </c>
      <c r="N406" s="1">
        <f t="shared" si="13"/>
        <v>16.2</v>
      </c>
    </row>
    <row r="407" spans="1:14" x14ac:dyDescent="0.3">
      <c r="A407" s="1" t="s">
        <v>1893</v>
      </c>
      <c r="B407" s="1">
        <v>46184</v>
      </c>
      <c r="C407" s="1" t="s">
        <v>54</v>
      </c>
      <c r="D407" s="1" t="s">
        <v>22</v>
      </c>
      <c r="E407" s="1" t="s">
        <v>16</v>
      </c>
      <c r="F407" s="1" t="s">
        <v>42</v>
      </c>
      <c r="G407" s="1" t="s">
        <v>43</v>
      </c>
      <c r="H407" s="1" t="s">
        <v>71</v>
      </c>
      <c r="I407" s="1">
        <v>3</v>
      </c>
      <c r="J407" s="1">
        <v>171.72</v>
      </c>
      <c r="K407" s="1">
        <v>0.08</v>
      </c>
      <c r="L407" s="1">
        <v>473.95</v>
      </c>
      <c r="M407" s="1" t="str">
        <f t="shared" si="12"/>
        <v>Online</v>
      </c>
      <c r="N407" s="1">
        <f t="shared" si="13"/>
        <v>267.12</v>
      </c>
    </row>
    <row r="408" spans="1:14" x14ac:dyDescent="0.3">
      <c r="A408" s="1" t="s">
        <v>1883</v>
      </c>
      <c r="B408" s="1">
        <v>46185</v>
      </c>
      <c r="C408" s="1" t="s">
        <v>21</v>
      </c>
      <c r="D408" s="1" t="s">
        <v>27</v>
      </c>
      <c r="E408" s="1" t="s">
        <v>16</v>
      </c>
      <c r="F408" s="1" t="s">
        <v>82</v>
      </c>
      <c r="G408" s="1" t="s">
        <v>96</v>
      </c>
      <c r="H408" s="1" t="s">
        <v>25</v>
      </c>
      <c r="I408" s="1">
        <v>2</v>
      </c>
      <c r="J408" s="1">
        <v>2754</v>
      </c>
      <c r="K408" s="1">
        <v>0.15</v>
      </c>
      <c r="L408" s="1">
        <v>4681.8</v>
      </c>
      <c r="M408" s="1" t="str">
        <f t="shared" si="12"/>
        <v>Marketplace</v>
      </c>
      <c r="N408" s="1">
        <f t="shared" si="13"/>
        <v>405</v>
      </c>
    </row>
    <row r="409" spans="1:14" x14ac:dyDescent="0.3">
      <c r="A409" s="1" t="s">
        <v>1884</v>
      </c>
      <c r="B409" s="1">
        <v>46185</v>
      </c>
      <c r="C409" s="1" t="s">
        <v>54</v>
      </c>
      <c r="D409" s="1" t="s">
        <v>15</v>
      </c>
      <c r="E409" s="1" t="s">
        <v>16</v>
      </c>
      <c r="F409" s="1" t="s">
        <v>36</v>
      </c>
      <c r="G409" s="1" t="s">
        <v>77</v>
      </c>
      <c r="H409" s="1" t="s">
        <v>56</v>
      </c>
      <c r="I409" s="1">
        <v>2</v>
      </c>
      <c r="J409" s="1">
        <v>1377</v>
      </c>
      <c r="K409" s="1">
        <v>0.08</v>
      </c>
      <c r="L409" s="1">
        <v>2533.6799999999998</v>
      </c>
      <c r="M409" s="1" t="str">
        <f t="shared" si="12"/>
        <v>Online</v>
      </c>
      <c r="N409" s="1">
        <f t="shared" si="13"/>
        <v>267.12</v>
      </c>
    </row>
    <row r="410" spans="1:14" x14ac:dyDescent="0.3">
      <c r="A410" s="1" t="s">
        <v>1885</v>
      </c>
      <c r="B410" s="1">
        <v>46185</v>
      </c>
      <c r="C410" s="1" t="s">
        <v>61</v>
      </c>
      <c r="D410" s="1" t="s">
        <v>15</v>
      </c>
      <c r="E410" s="1" t="s">
        <v>28</v>
      </c>
      <c r="F410" s="1" t="s">
        <v>36</v>
      </c>
      <c r="G410" s="1" t="s">
        <v>119</v>
      </c>
      <c r="H410" s="1" t="s">
        <v>112</v>
      </c>
      <c r="I410" s="1">
        <v>4</v>
      </c>
      <c r="J410" s="1">
        <v>630</v>
      </c>
      <c r="K410" s="1">
        <v>0.08</v>
      </c>
      <c r="L410" s="1">
        <v>2318.4</v>
      </c>
      <c r="M410" s="1" t="str">
        <f t="shared" si="12"/>
        <v>Online</v>
      </c>
      <c r="N410" s="1">
        <f t="shared" si="13"/>
        <v>62.01</v>
      </c>
    </row>
    <row r="411" spans="1:14" x14ac:dyDescent="0.3">
      <c r="A411" s="1" t="s">
        <v>1877</v>
      </c>
      <c r="B411" s="1">
        <v>46204</v>
      </c>
      <c r="C411" s="1" t="s">
        <v>21</v>
      </c>
      <c r="D411" s="1" t="s">
        <v>27</v>
      </c>
      <c r="E411" s="1" t="s">
        <v>16</v>
      </c>
      <c r="F411" s="1" t="s">
        <v>82</v>
      </c>
      <c r="G411" s="1" t="s">
        <v>85</v>
      </c>
      <c r="H411" s="1" t="s">
        <v>86</v>
      </c>
      <c r="I411" s="1">
        <v>3</v>
      </c>
      <c r="J411" s="1">
        <v>1539</v>
      </c>
      <c r="K411" s="1">
        <v>0.05</v>
      </c>
      <c r="L411" s="1">
        <v>4386.1499999999996</v>
      </c>
      <c r="M411" s="1" t="str">
        <f t="shared" si="12"/>
        <v>Online</v>
      </c>
      <c r="N411" s="1">
        <f t="shared" si="13"/>
        <v>405</v>
      </c>
    </row>
    <row r="412" spans="1:14" x14ac:dyDescent="0.3">
      <c r="A412" s="1" t="s">
        <v>1878</v>
      </c>
      <c r="B412" s="1">
        <v>46204</v>
      </c>
      <c r="C412" s="1" t="s">
        <v>47</v>
      </c>
      <c r="D412" s="1" t="s">
        <v>22</v>
      </c>
      <c r="E412" s="1" t="s">
        <v>16</v>
      </c>
      <c r="F412" s="1" t="s">
        <v>17</v>
      </c>
      <c r="G412" s="1" t="s">
        <v>189</v>
      </c>
      <c r="H412" s="1" t="s">
        <v>58</v>
      </c>
      <c r="I412" s="1">
        <v>5</v>
      </c>
      <c r="J412" s="1">
        <v>273.60000000000002</v>
      </c>
      <c r="K412" s="1">
        <v>0.08</v>
      </c>
      <c r="L412" s="1">
        <v>1258.56</v>
      </c>
      <c r="M412" s="1" t="str">
        <f t="shared" si="12"/>
        <v>Corporate Sales</v>
      </c>
      <c r="N412" s="1">
        <f t="shared" si="13"/>
        <v>421.2</v>
      </c>
    </row>
    <row r="413" spans="1:14" x14ac:dyDescent="0.3">
      <c r="A413" s="1" t="s">
        <v>1879</v>
      </c>
      <c r="B413" s="1">
        <v>46204</v>
      </c>
      <c r="C413" s="1" t="s">
        <v>21</v>
      </c>
      <c r="D413" s="1" t="s">
        <v>27</v>
      </c>
      <c r="E413" s="1" t="s">
        <v>28</v>
      </c>
      <c r="F413" s="1" t="s">
        <v>82</v>
      </c>
      <c r="G413" s="1" t="s">
        <v>150</v>
      </c>
      <c r="H413" s="1" t="s">
        <v>86</v>
      </c>
      <c r="I413" s="1">
        <v>2</v>
      </c>
      <c r="J413" s="1">
        <v>3052.8</v>
      </c>
      <c r="K413" s="1">
        <v>0.05</v>
      </c>
      <c r="L413" s="1">
        <v>5800.32</v>
      </c>
      <c r="M413" s="1" t="str">
        <f t="shared" si="12"/>
        <v>Online</v>
      </c>
      <c r="N413" s="1">
        <f t="shared" si="13"/>
        <v>405</v>
      </c>
    </row>
    <row r="414" spans="1:14" x14ac:dyDescent="0.3">
      <c r="A414" s="1" t="s">
        <v>1880</v>
      </c>
      <c r="B414" s="1">
        <v>46204</v>
      </c>
      <c r="C414" s="1" t="s">
        <v>21</v>
      </c>
      <c r="D414" s="1" t="s">
        <v>35</v>
      </c>
      <c r="E414" s="1" t="s">
        <v>16</v>
      </c>
      <c r="F414" s="1" t="s">
        <v>17</v>
      </c>
      <c r="G414" s="1" t="s">
        <v>98</v>
      </c>
      <c r="H414" s="1" t="s">
        <v>86</v>
      </c>
      <c r="I414" s="1">
        <v>14</v>
      </c>
      <c r="J414" s="1">
        <v>413.1</v>
      </c>
      <c r="K414" s="1">
        <v>0.15</v>
      </c>
      <c r="L414" s="1">
        <v>4915.8900000000003</v>
      </c>
      <c r="M414" s="1" t="str">
        <f t="shared" si="12"/>
        <v>Online</v>
      </c>
      <c r="N414" s="1">
        <f t="shared" si="13"/>
        <v>405</v>
      </c>
    </row>
    <row r="415" spans="1:14" x14ac:dyDescent="0.3">
      <c r="A415" s="1" t="s">
        <v>1881</v>
      </c>
      <c r="B415" s="1">
        <v>46204</v>
      </c>
      <c r="C415" s="1" t="s">
        <v>47</v>
      </c>
      <c r="D415" s="1" t="s">
        <v>15</v>
      </c>
      <c r="E415" s="1" t="s">
        <v>28</v>
      </c>
      <c r="F415" s="1" t="s">
        <v>29</v>
      </c>
      <c r="G415" s="1" t="s">
        <v>39</v>
      </c>
      <c r="H415" s="1" t="s">
        <v>78</v>
      </c>
      <c r="I415" s="1">
        <v>6</v>
      </c>
      <c r="J415" s="1">
        <v>72</v>
      </c>
      <c r="K415" s="1">
        <v>0.08</v>
      </c>
      <c r="L415" s="1">
        <v>397.44</v>
      </c>
      <c r="M415" s="1" t="str">
        <f t="shared" si="12"/>
        <v>Retail Store</v>
      </c>
      <c r="N415" s="1">
        <f t="shared" si="13"/>
        <v>421.2</v>
      </c>
    </row>
    <row r="416" spans="1:14" x14ac:dyDescent="0.3">
      <c r="A416" s="1" t="s">
        <v>1882</v>
      </c>
      <c r="B416" s="1">
        <v>46204</v>
      </c>
      <c r="C416" s="1" t="s">
        <v>54</v>
      </c>
      <c r="D416" s="1" t="s">
        <v>22</v>
      </c>
      <c r="E416" s="1" t="s">
        <v>16</v>
      </c>
      <c r="F416" s="1" t="s">
        <v>29</v>
      </c>
      <c r="G416" s="1" t="s">
        <v>88</v>
      </c>
      <c r="H416" s="1" t="s">
        <v>56</v>
      </c>
      <c r="I416" s="1">
        <v>2</v>
      </c>
      <c r="J416" s="1">
        <v>58.5</v>
      </c>
      <c r="K416" s="1">
        <v>0</v>
      </c>
      <c r="L416" s="1">
        <v>117</v>
      </c>
      <c r="M416" s="1" t="str">
        <f t="shared" si="12"/>
        <v>Online</v>
      </c>
      <c r="N416" s="1">
        <f t="shared" si="13"/>
        <v>267.12</v>
      </c>
    </row>
    <row r="417" spans="1:14" x14ac:dyDescent="0.3">
      <c r="A417" s="1" t="s">
        <v>1874</v>
      </c>
      <c r="B417" s="1">
        <v>46205</v>
      </c>
      <c r="C417" s="1" t="s">
        <v>54</v>
      </c>
      <c r="D417" s="1" t="s">
        <v>15</v>
      </c>
      <c r="E417" s="1" t="s">
        <v>28</v>
      </c>
      <c r="F417" s="1" t="s">
        <v>17</v>
      </c>
      <c r="G417" s="1" t="s">
        <v>98</v>
      </c>
      <c r="H417" s="1" t="s">
        <v>56</v>
      </c>
      <c r="I417" s="1">
        <v>2</v>
      </c>
      <c r="J417" s="1">
        <v>421.2</v>
      </c>
      <c r="K417" s="1">
        <v>0</v>
      </c>
      <c r="L417" s="1">
        <v>842.4</v>
      </c>
      <c r="M417" s="1" t="str">
        <f t="shared" si="12"/>
        <v>Online</v>
      </c>
      <c r="N417" s="1">
        <f t="shared" si="13"/>
        <v>267.12</v>
      </c>
    </row>
    <row r="418" spans="1:14" x14ac:dyDescent="0.3">
      <c r="A418" s="1" t="s">
        <v>1875</v>
      </c>
      <c r="B418" s="1">
        <v>46205</v>
      </c>
      <c r="C418" s="1" t="s">
        <v>61</v>
      </c>
      <c r="D418" s="1" t="s">
        <v>22</v>
      </c>
      <c r="E418" s="1" t="s">
        <v>16</v>
      </c>
      <c r="F418" s="1" t="s">
        <v>42</v>
      </c>
      <c r="G418" s="1" t="s">
        <v>65</v>
      </c>
      <c r="H418" s="1" t="s">
        <v>63</v>
      </c>
      <c r="I418" s="1">
        <v>7</v>
      </c>
      <c r="J418" s="1">
        <v>675</v>
      </c>
      <c r="K418" s="1">
        <v>0.08</v>
      </c>
      <c r="L418" s="1">
        <v>4347</v>
      </c>
      <c r="M418" s="1" t="str">
        <f t="shared" si="12"/>
        <v>Retail Store</v>
      </c>
      <c r="N418" s="1">
        <f t="shared" si="13"/>
        <v>62.01</v>
      </c>
    </row>
    <row r="419" spans="1:14" x14ac:dyDescent="0.3">
      <c r="A419" s="1" t="s">
        <v>1876</v>
      </c>
      <c r="B419" s="1">
        <v>46205</v>
      </c>
      <c r="C419" s="1" t="s">
        <v>54</v>
      </c>
      <c r="D419" s="1" t="s">
        <v>35</v>
      </c>
      <c r="E419" s="1" t="s">
        <v>16</v>
      </c>
      <c r="F419" s="1" t="s">
        <v>23</v>
      </c>
      <c r="G419" s="1" t="s">
        <v>116</v>
      </c>
      <c r="H419" s="1" t="s">
        <v>71</v>
      </c>
      <c r="I419" s="1">
        <v>10</v>
      </c>
      <c r="J419" s="1">
        <v>7.63</v>
      </c>
      <c r="K419" s="1">
        <v>0.08</v>
      </c>
      <c r="L419" s="1">
        <v>70.209999999999994</v>
      </c>
      <c r="M419" s="1" t="str">
        <f t="shared" si="12"/>
        <v>Online</v>
      </c>
      <c r="N419" s="1">
        <f t="shared" si="13"/>
        <v>267.12</v>
      </c>
    </row>
    <row r="420" spans="1:14" x14ac:dyDescent="0.3">
      <c r="A420" s="1" t="s">
        <v>1866</v>
      </c>
      <c r="B420" s="1">
        <v>46206</v>
      </c>
      <c r="C420" s="1" t="s">
        <v>47</v>
      </c>
      <c r="D420" s="1" t="s">
        <v>27</v>
      </c>
      <c r="E420" s="1" t="s">
        <v>16</v>
      </c>
      <c r="F420" s="1" t="s">
        <v>36</v>
      </c>
      <c r="G420" s="1" t="s">
        <v>70</v>
      </c>
      <c r="H420" s="1" t="s">
        <v>49</v>
      </c>
      <c r="I420" s="1">
        <v>3</v>
      </c>
      <c r="J420" s="1">
        <v>522</v>
      </c>
      <c r="K420" s="1">
        <v>0</v>
      </c>
      <c r="L420" s="1">
        <v>1566</v>
      </c>
      <c r="M420" s="1" t="str">
        <f t="shared" si="12"/>
        <v>Retail Store</v>
      </c>
      <c r="N420" s="1">
        <f t="shared" si="13"/>
        <v>421.2</v>
      </c>
    </row>
    <row r="421" spans="1:14" x14ac:dyDescent="0.3">
      <c r="A421" s="1" t="s">
        <v>1867</v>
      </c>
      <c r="B421" s="1">
        <v>46206</v>
      </c>
      <c r="C421" s="1" t="s">
        <v>61</v>
      </c>
      <c r="D421" s="1" t="s">
        <v>27</v>
      </c>
      <c r="E421" s="1" t="s">
        <v>16</v>
      </c>
      <c r="F421" s="1" t="s">
        <v>36</v>
      </c>
      <c r="G421" s="1" t="s">
        <v>77</v>
      </c>
      <c r="H421" s="1" t="s">
        <v>73</v>
      </c>
      <c r="I421" s="1">
        <v>3</v>
      </c>
      <c r="J421" s="1">
        <v>1282.5</v>
      </c>
      <c r="K421" s="1">
        <v>0</v>
      </c>
      <c r="L421" s="1">
        <v>3847.5</v>
      </c>
      <c r="M421" s="1" t="str">
        <f t="shared" si="12"/>
        <v>Online</v>
      </c>
      <c r="N421" s="1">
        <f t="shared" si="13"/>
        <v>62.01</v>
      </c>
    </row>
    <row r="422" spans="1:14" x14ac:dyDescent="0.3">
      <c r="A422" s="1" t="s">
        <v>1868</v>
      </c>
      <c r="B422" s="1">
        <v>46206</v>
      </c>
      <c r="C422" s="1" t="s">
        <v>21</v>
      </c>
      <c r="D422" s="1" t="s">
        <v>15</v>
      </c>
      <c r="E422" s="1" t="s">
        <v>16</v>
      </c>
      <c r="F422" s="1" t="s">
        <v>23</v>
      </c>
      <c r="G422" s="1" t="s">
        <v>142</v>
      </c>
      <c r="H422" s="1" t="s">
        <v>86</v>
      </c>
      <c r="I422" s="1">
        <v>6</v>
      </c>
      <c r="J422" s="1">
        <v>16.2</v>
      </c>
      <c r="K422" s="1">
        <v>0.05</v>
      </c>
      <c r="L422" s="1">
        <v>92.34</v>
      </c>
      <c r="M422" s="1" t="str">
        <f t="shared" si="12"/>
        <v>Online</v>
      </c>
      <c r="N422" s="1">
        <f t="shared" si="13"/>
        <v>405</v>
      </c>
    </row>
    <row r="423" spans="1:14" x14ac:dyDescent="0.3">
      <c r="A423" s="1" t="s">
        <v>1869</v>
      </c>
      <c r="B423" s="1">
        <v>46206</v>
      </c>
      <c r="C423" s="1" t="s">
        <v>21</v>
      </c>
      <c r="D423" s="1" t="s">
        <v>35</v>
      </c>
      <c r="E423" s="1" t="s">
        <v>28</v>
      </c>
      <c r="F423" s="1" t="s">
        <v>42</v>
      </c>
      <c r="G423" s="1" t="s">
        <v>65</v>
      </c>
      <c r="H423" s="1" t="s">
        <v>25</v>
      </c>
      <c r="I423" s="1">
        <v>6</v>
      </c>
      <c r="J423" s="1">
        <v>654.75</v>
      </c>
      <c r="K423" s="1">
        <v>0.1</v>
      </c>
      <c r="L423" s="1">
        <v>3535.65</v>
      </c>
      <c r="M423" s="1" t="str">
        <f t="shared" si="12"/>
        <v>Marketplace</v>
      </c>
      <c r="N423" s="1">
        <f t="shared" si="13"/>
        <v>405</v>
      </c>
    </row>
    <row r="424" spans="1:14" x14ac:dyDescent="0.3">
      <c r="A424" s="1" t="s">
        <v>1870</v>
      </c>
      <c r="B424" s="1">
        <v>46206</v>
      </c>
      <c r="C424" s="1" t="s">
        <v>54</v>
      </c>
      <c r="D424" s="1" t="s">
        <v>22</v>
      </c>
      <c r="E424" s="1" t="s">
        <v>16</v>
      </c>
      <c r="F424" s="1" t="s">
        <v>42</v>
      </c>
      <c r="G424" s="1" t="s">
        <v>43</v>
      </c>
      <c r="H424" s="1" t="s">
        <v>71</v>
      </c>
      <c r="I424" s="1">
        <v>5</v>
      </c>
      <c r="J424" s="1">
        <v>171.72</v>
      </c>
      <c r="K424" s="1">
        <v>0.03</v>
      </c>
      <c r="L424" s="1">
        <v>832.84</v>
      </c>
      <c r="M424" s="1" t="str">
        <f t="shared" si="12"/>
        <v>Online</v>
      </c>
      <c r="N424" s="1">
        <f t="shared" si="13"/>
        <v>267.12</v>
      </c>
    </row>
    <row r="425" spans="1:14" x14ac:dyDescent="0.3">
      <c r="A425" s="1" t="s">
        <v>1871</v>
      </c>
      <c r="B425" s="1">
        <v>46206</v>
      </c>
      <c r="C425" s="1" t="s">
        <v>14</v>
      </c>
      <c r="D425" s="1" t="s">
        <v>22</v>
      </c>
      <c r="E425" s="1" t="s">
        <v>16</v>
      </c>
      <c r="F425" s="1" t="s">
        <v>29</v>
      </c>
      <c r="G425" s="1" t="s">
        <v>51</v>
      </c>
      <c r="H425" s="1" t="s">
        <v>31</v>
      </c>
      <c r="I425" s="1">
        <v>4</v>
      </c>
      <c r="J425" s="1">
        <v>40.5</v>
      </c>
      <c r="K425" s="1">
        <v>0</v>
      </c>
      <c r="L425" s="1">
        <v>162</v>
      </c>
      <c r="M425" s="1" t="str">
        <f t="shared" si="12"/>
        <v>Online</v>
      </c>
      <c r="N425" s="1">
        <f t="shared" si="13"/>
        <v>16.2</v>
      </c>
    </row>
    <row r="426" spans="1:14" x14ac:dyDescent="0.3">
      <c r="A426" s="1" t="s">
        <v>1872</v>
      </c>
      <c r="B426" s="1">
        <v>46206</v>
      </c>
      <c r="C426" s="1" t="s">
        <v>54</v>
      </c>
      <c r="D426" s="1" t="s">
        <v>35</v>
      </c>
      <c r="E426" s="1" t="s">
        <v>16</v>
      </c>
      <c r="F426" s="1" t="s">
        <v>17</v>
      </c>
      <c r="G426" s="1" t="s">
        <v>189</v>
      </c>
      <c r="H426" s="1" t="s">
        <v>56</v>
      </c>
      <c r="I426" s="1">
        <v>8</v>
      </c>
      <c r="J426" s="1">
        <v>293.76</v>
      </c>
      <c r="K426" s="1">
        <v>0.1</v>
      </c>
      <c r="L426" s="1">
        <v>2115.0700000000002</v>
      </c>
      <c r="M426" s="1" t="str">
        <f t="shared" si="12"/>
        <v>Online</v>
      </c>
      <c r="N426" s="1">
        <f t="shared" si="13"/>
        <v>267.12</v>
      </c>
    </row>
    <row r="427" spans="1:14" x14ac:dyDescent="0.3">
      <c r="A427" s="1" t="s">
        <v>1873</v>
      </c>
      <c r="B427" s="1">
        <v>46206</v>
      </c>
      <c r="C427" s="1" t="s">
        <v>21</v>
      </c>
      <c r="D427" s="1" t="s">
        <v>27</v>
      </c>
      <c r="E427" s="1" t="s">
        <v>16</v>
      </c>
      <c r="F427" s="1" t="s">
        <v>29</v>
      </c>
      <c r="G427" s="1" t="s">
        <v>88</v>
      </c>
      <c r="H427" s="1" t="s">
        <v>44</v>
      </c>
      <c r="I427" s="1">
        <v>4</v>
      </c>
      <c r="J427" s="1">
        <v>55.58</v>
      </c>
      <c r="K427" s="1">
        <v>0.05</v>
      </c>
      <c r="L427" s="1">
        <v>211.19</v>
      </c>
      <c r="M427" s="1" t="str">
        <f t="shared" si="12"/>
        <v>Retail Store</v>
      </c>
      <c r="N427" s="1">
        <f t="shared" si="13"/>
        <v>405</v>
      </c>
    </row>
    <row r="428" spans="1:14" x14ac:dyDescent="0.3">
      <c r="A428" s="1" t="s">
        <v>1861</v>
      </c>
      <c r="B428" s="1">
        <v>46207</v>
      </c>
      <c r="C428" s="1" t="s">
        <v>61</v>
      </c>
      <c r="D428" s="1" t="s">
        <v>27</v>
      </c>
      <c r="E428" s="1" t="s">
        <v>16</v>
      </c>
      <c r="F428" s="1" t="s">
        <v>29</v>
      </c>
      <c r="G428" s="1" t="s">
        <v>51</v>
      </c>
      <c r="H428" s="1" t="s">
        <v>63</v>
      </c>
      <c r="I428" s="1">
        <v>3</v>
      </c>
      <c r="J428" s="1">
        <v>42.12</v>
      </c>
      <c r="K428" s="1">
        <v>0.03</v>
      </c>
      <c r="L428" s="1">
        <v>122.57</v>
      </c>
      <c r="M428" s="1" t="str">
        <f t="shared" si="12"/>
        <v>Retail Store</v>
      </c>
      <c r="N428" s="1">
        <f t="shared" si="13"/>
        <v>62.01</v>
      </c>
    </row>
    <row r="429" spans="1:14" x14ac:dyDescent="0.3">
      <c r="A429" s="1" t="s">
        <v>1862</v>
      </c>
      <c r="B429" s="1">
        <v>46207</v>
      </c>
      <c r="C429" s="1" t="s">
        <v>14</v>
      </c>
      <c r="D429" s="1" t="s">
        <v>27</v>
      </c>
      <c r="E429" s="1" t="s">
        <v>16</v>
      </c>
      <c r="F429" s="1" t="s">
        <v>36</v>
      </c>
      <c r="G429" s="1" t="s">
        <v>77</v>
      </c>
      <c r="H429" s="1" t="s">
        <v>19</v>
      </c>
      <c r="I429" s="1">
        <v>2</v>
      </c>
      <c r="J429" s="1">
        <v>1431</v>
      </c>
      <c r="K429" s="1">
        <v>0.03</v>
      </c>
      <c r="L429" s="1">
        <v>2776.14</v>
      </c>
      <c r="M429" s="1" t="str">
        <f t="shared" si="12"/>
        <v>Retail Store</v>
      </c>
      <c r="N429" s="1">
        <f t="shared" si="13"/>
        <v>16.2</v>
      </c>
    </row>
    <row r="430" spans="1:14" x14ac:dyDescent="0.3">
      <c r="A430" s="1" t="s">
        <v>1863</v>
      </c>
      <c r="B430" s="1">
        <v>46207</v>
      </c>
      <c r="C430" s="1" t="s">
        <v>21</v>
      </c>
      <c r="D430" s="1" t="s">
        <v>35</v>
      </c>
      <c r="E430" s="1" t="s">
        <v>16</v>
      </c>
      <c r="F430" s="1" t="s">
        <v>36</v>
      </c>
      <c r="G430" s="1" t="s">
        <v>77</v>
      </c>
      <c r="H430" s="1" t="s">
        <v>44</v>
      </c>
      <c r="I430" s="1">
        <v>3</v>
      </c>
      <c r="J430" s="1">
        <v>1404</v>
      </c>
      <c r="K430" s="1">
        <v>0.08</v>
      </c>
      <c r="L430" s="1">
        <v>3875.04</v>
      </c>
      <c r="M430" s="1" t="str">
        <f t="shared" si="12"/>
        <v>Retail Store</v>
      </c>
      <c r="N430" s="1">
        <f t="shared" si="13"/>
        <v>405</v>
      </c>
    </row>
    <row r="431" spans="1:14" x14ac:dyDescent="0.3">
      <c r="A431" s="1" t="s">
        <v>1864</v>
      </c>
      <c r="B431" s="1">
        <v>46207</v>
      </c>
      <c r="C431" s="1" t="s">
        <v>54</v>
      </c>
      <c r="D431" s="1" t="s">
        <v>22</v>
      </c>
      <c r="E431" s="1" t="s">
        <v>28</v>
      </c>
      <c r="F431" s="1" t="s">
        <v>29</v>
      </c>
      <c r="G431" s="1" t="s">
        <v>39</v>
      </c>
      <c r="H431" s="1" t="s">
        <v>56</v>
      </c>
      <c r="I431" s="1">
        <v>4</v>
      </c>
      <c r="J431" s="1">
        <v>72</v>
      </c>
      <c r="K431" s="1">
        <v>0.05</v>
      </c>
      <c r="L431" s="1">
        <v>273.60000000000002</v>
      </c>
      <c r="M431" s="1" t="str">
        <f t="shared" si="12"/>
        <v>Online</v>
      </c>
      <c r="N431" s="1">
        <f t="shared" si="13"/>
        <v>267.12</v>
      </c>
    </row>
    <row r="432" spans="1:14" x14ac:dyDescent="0.3">
      <c r="A432" s="1" t="s">
        <v>1865</v>
      </c>
      <c r="B432" s="1">
        <v>46207</v>
      </c>
      <c r="C432" s="1" t="s">
        <v>54</v>
      </c>
      <c r="D432" s="1" t="s">
        <v>22</v>
      </c>
      <c r="E432" s="1" t="s">
        <v>16</v>
      </c>
      <c r="F432" s="1" t="s">
        <v>42</v>
      </c>
      <c r="G432" s="1" t="s">
        <v>67</v>
      </c>
      <c r="H432" s="1" t="s">
        <v>80</v>
      </c>
      <c r="I432" s="1">
        <v>5</v>
      </c>
      <c r="J432" s="1">
        <v>244.44</v>
      </c>
      <c r="K432" s="1">
        <v>0.15</v>
      </c>
      <c r="L432" s="1">
        <v>1038.8699999999999</v>
      </c>
      <c r="M432" s="1" t="str">
        <f t="shared" si="12"/>
        <v>Marketplace</v>
      </c>
      <c r="N432" s="1">
        <f t="shared" si="13"/>
        <v>267.12</v>
      </c>
    </row>
    <row r="433" spans="1:14" x14ac:dyDescent="0.3">
      <c r="A433" s="1" t="s">
        <v>1859</v>
      </c>
      <c r="B433" s="1">
        <v>46208</v>
      </c>
      <c r="C433" s="1" t="s">
        <v>61</v>
      </c>
      <c r="D433" s="1" t="s">
        <v>15</v>
      </c>
      <c r="E433" s="1" t="s">
        <v>28</v>
      </c>
      <c r="F433" s="1" t="s">
        <v>42</v>
      </c>
      <c r="G433" s="1" t="s">
        <v>67</v>
      </c>
      <c r="H433" s="1" t="s">
        <v>73</v>
      </c>
      <c r="I433" s="1">
        <v>3</v>
      </c>
      <c r="J433" s="1">
        <v>252</v>
      </c>
      <c r="K433" s="1">
        <v>0.1</v>
      </c>
      <c r="L433" s="1">
        <v>680.4</v>
      </c>
      <c r="M433" s="1" t="str">
        <f t="shared" si="12"/>
        <v>Online</v>
      </c>
      <c r="N433" s="1">
        <f t="shared" si="13"/>
        <v>62.01</v>
      </c>
    </row>
    <row r="434" spans="1:14" x14ac:dyDescent="0.3">
      <c r="A434" s="1" t="s">
        <v>1860</v>
      </c>
      <c r="B434" s="1">
        <v>46208</v>
      </c>
      <c r="C434" s="1" t="s">
        <v>54</v>
      </c>
      <c r="D434" s="1" t="s">
        <v>27</v>
      </c>
      <c r="E434" s="1" t="s">
        <v>16</v>
      </c>
      <c r="F434" s="1" t="s">
        <v>36</v>
      </c>
      <c r="G434" s="1" t="s">
        <v>77</v>
      </c>
      <c r="H434" s="1" t="s">
        <v>71</v>
      </c>
      <c r="I434" s="1">
        <v>2</v>
      </c>
      <c r="J434" s="1">
        <v>1350</v>
      </c>
      <c r="K434" s="1">
        <v>0</v>
      </c>
      <c r="L434" s="1">
        <v>2700</v>
      </c>
      <c r="M434" s="1" t="str">
        <f t="shared" si="12"/>
        <v>Online</v>
      </c>
      <c r="N434" s="1">
        <f t="shared" si="13"/>
        <v>267.12</v>
      </c>
    </row>
    <row r="435" spans="1:14" x14ac:dyDescent="0.3">
      <c r="A435" s="1" t="s">
        <v>1852</v>
      </c>
      <c r="B435" s="1">
        <v>46209</v>
      </c>
      <c r="C435" s="1" t="s">
        <v>14</v>
      </c>
      <c r="D435" s="1" t="s">
        <v>15</v>
      </c>
      <c r="E435" s="1" t="s">
        <v>28</v>
      </c>
      <c r="F435" s="1" t="s">
        <v>42</v>
      </c>
      <c r="G435" s="1" t="s">
        <v>67</v>
      </c>
      <c r="H435" s="1" t="s">
        <v>19</v>
      </c>
      <c r="I435" s="1">
        <v>2</v>
      </c>
      <c r="J435" s="1">
        <v>244.44</v>
      </c>
      <c r="K435" s="1">
        <v>0.05</v>
      </c>
      <c r="L435" s="1">
        <v>464.44</v>
      </c>
      <c r="M435" s="1" t="str">
        <f t="shared" si="12"/>
        <v>Retail Store</v>
      </c>
      <c r="N435" s="1">
        <f t="shared" si="13"/>
        <v>16.2</v>
      </c>
    </row>
    <row r="436" spans="1:14" x14ac:dyDescent="0.3">
      <c r="A436" s="1" t="s">
        <v>1853</v>
      </c>
      <c r="B436" s="1">
        <v>46209</v>
      </c>
      <c r="C436" s="1" t="s">
        <v>21</v>
      </c>
      <c r="D436" s="1" t="s">
        <v>35</v>
      </c>
      <c r="E436" s="1" t="s">
        <v>16</v>
      </c>
      <c r="F436" s="1" t="s">
        <v>82</v>
      </c>
      <c r="G436" s="1" t="s">
        <v>96</v>
      </c>
      <c r="H436" s="1" t="s">
        <v>86</v>
      </c>
      <c r="I436" s="1">
        <v>2</v>
      </c>
      <c r="J436" s="1">
        <v>2862</v>
      </c>
      <c r="K436" s="1">
        <v>0.05</v>
      </c>
      <c r="L436" s="1">
        <v>5437.8</v>
      </c>
      <c r="M436" s="1" t="str">
        <f t="shared" si="12"/>
        <v>Online</v>
      </c>
      <c r="N436" s="1">
        <f t="shared" si="13"/>
        <v>405</v>
      </c>
    </row>
    <row r="437" spans="1:14" x14ac:dyDescent="0.3">
      <c r="A437" s="1" t="s">
        <v>1854</v>
      </c>
      <c r="B437" s="1">
        <v>46209</v>
      </c>
      <c r="C437" s="1" t="s">
        <v>61</v>
      </c>
      <c r="D437" s="1" t="s">
        <v>15</v>
      </c>
      <c r="E437" s="1" t="s">
        <v>16</v>
      </c>
      <c r="F437" s="1" t="s">
        <v>29</v>
      </c>
      <c r="G437" s="1" t="s">
        <v>33</v>
      </c>
      <c r="H437" s="1" t="s">
        <v>73</v>
      </c>
      <c r="I437" s="1">
        <v>3</v>
      </c>
      <c r="J437" s="1">
        <v>13.5</v>
      </c>
      <c r="K437" s="1">
        <v>0.2</v>
      </c>
      <c r="L437" s="1">
        <v>32.4</v>
      </c>
      <c r="M437" s="1" t="str">
        <f t="shared" si="12"/>
        <v>Online</v>
      </c>
      <c r="N437" s="1">
        <f t="shared" si="13"/>
        <v>62.01</v>
      </c>
    </row>
    <row r="438" spans="1:14" x14ac:dyDescent="0.3">
      <c r="A438" s="1" t="s">
        <v>1855</v>
      </c>
      <c r="B438" s="1">
        <v>46209</v>
      </c>
      <c r="C438" s="1" t="s">
        <v>14</v>
      </c>
      <c r="D438" s="1" t="s">
        <v>35</v>
      </c>
      <c r="E438" s="1" t="s">
        <v>16</v>
      </c>
      <c r="F438" s="1" t="s">
        <v>42</v>
      </c>
      <c r="G438" s="1" t="s">
        <v>48</v>
      </c>
      <c r="H438" s="1" t="s">
        <v>31</v>
      </c>
      <c r="I438" s="1">
        <v>5</v>
      </c>
      <c r="J438" s="1">
        <v>17.46</v>
      </c>
      <c r="K438" s="1">
        <v>0.15</v>
      </c>
      <c r="L438" s="1">
        <v>74.209999999999994</v>
      </c>
      <c r="M438" s="1" t="str">
        <f t="shared" si="12"/>
        <v>Online</v>
      </c>
      <c r="N438" s="1">
        <f t="shared" si="13"/>
        <v>16.2</v>
      </c>
    </row>
    <row r="439" spans="1:14" x14ac:dyDescent="0.3">
      <c r="A439" s="1" t="s">
        <v>1856</v>
      </c>
      <c r="B439" s="1">
        <v>46209</v>
      </c>
      <c r="C439" s="1" t="s">
        <v>21</v>
      </c>
      <c r="D439" s="1" t="s">
        <v>15</v>
      </c>
      <c r="E439" s="1" t="s">
        <v>16</v>
      </c>
      <c r="F439" s="1" t="s">
        <v>17</v>
      </c>
      <c r="G439" s="1" t="s">
        <v>189</v>
      </c>
      <c r="H439" s="1" t="s">
        <v>44</v>
      </c>
      <c r="I439" s="1">
        <v>5</v>
      </c>
      <c r="J439" s="1">
        <v>299.52</v>
      </c>
      <c r="K439" s="1">
        <v>0.15</v>
      </c>
      <c r="L439" s="1">
        <v>1272.96</v>
      </c>
      <c r="M439" s="1" t="str">
        <f t="shared" si="12"/>
        <v>Retail Store</v>
      </c>
      <c r="N439" s="1">
        <f t="shared" si="13"/>
        <v>405</v>
      </c>
    </row>
    <row r="440" spans="1:14" x14ac:dyDescent="0.3">
      <c r="A440" s="1" t="s">
        <v>1857</v>
      </c>
      <c r="B440" s="1">
        <v>46209</v>
      </c>
      <c r="C440" s="1" t="s">
        <v>47</v>
      </c>
      <c r="D440" s="1" t="s">
        <v>15</v>
      </c>
      <c r="E440" s="1" t="s">
        <v>16</v>
      </c>
      <c r="F440" s="1" t="s">
        <v>29</v>
      </c>
      <c r="G440" s="1" t="s">
        <v>33</v>
      </c>
      <c r="H440" s="1" t="s">
        <v>58</v>
      </c>
      <c r="I440" s="1">
        <v>4</v>
      </c>
      <c r="J440" s="1">
        <v>14.31</v>
      </c>
      <c r="K440" s="1">
        <v>0.05</v>
      </c>
      <c r="L440" s="1">
        <v>54.38</v>
      </c>
      <c r="M440" s="1" t="str">
        <f t="shared" si="12"/>
        <v>Corporate Sales</v>
      </c>
      <c r="N440" s="1">
        <f t="shared" si="13"/>
        <v>421.2</v>
      </c>
    </row>
    <row r="441" spans="1:14" x14ac:dyDescent="0.3">
      <c r="A441" s="1" t="s">
        <v>1858</v>
      </c>
      <c r="B441" s="1">
        <v>46209</v>
      </c>
      <c r="C441" s="1" t="s">
        <v>14</v>
      </c>
      <c r="D441" s="1" t="s">
        <v>35</v>
      </c>
      <c r="E441" s="1" t="s">
        <v>28</v>
      </c>
      <c r="F441" s="1" t="s">
        <v>82</v>
      </c>
      <c r="G441" s="1" t="s">
        <v>85</v>
      </c>
      <c r="H441" s="1" t="s">
        <v>31</v>
      </c>
      <c r="I441" s="1">
        <v>2</v>
      </c>
      <c r="J441" s="1">
        <v>1652.4</v>
      </c>
      <c r="K441" s="1">
        <v>0.15</v>
      </c>
      <c r="L441" s="1">
        <v>2809.08</v>
      </c>
      <c r="M441" s="1" t="str">
        <f t="shared" si="12"/>
        <v>Online</v>
      </c>
      <c r="N441" s="1">
        <f t="shared" si="13"/>
        <v>16.2</v>
      </c>
    </row>
    <row r="442" spans="1:14" x14ac:dyDescent="0.3">
      <c r="A442" s="1" t="s">
        <v>1848</v>
      </c>
      <c r="B442" s="1">
        <v>46210</v>
      </c>
      <c r="C442" s="1" t="s">
        <v>54</v>
      </c>
      <c r="D442" s="1" t="s">
        <v>15</v>
      </c>
      <c r="E442" s="1" t="s">
        <v>28</v>
      </c>
      <c r="F442" s="1" t="s">
        <v>42</v>
      </c>
      <c r="G442" s="1" t="s">
        <v>43</v>
      </c>
      <c r="H442" s="1" t="s">
        <v>71</v>
      </c>
      <c r="I442" s="1">
        <v>2</v>
      </c>
      <c r="J442" s="1">
        <v>165.24</v>
      </c>
      <c r="K442" s="1">
        <v>0.03</v>
      </c>
      <c r="L442" s="1">
        <v>320.57</v>
      </c>
      <c r="M442" s="1" t="str">
        <f t="shared" si="12"/>
        <v>Online</v>
      </c>
      <c r="N442" s="1">
        <f t="shared" si="13"/>
        <v>267.12</v>
      </c>
    </row>
    <row r="443" spans="1:14" x14ac:dyDescent="0.3">
      <c r="A443" s="1" t="s">
        <v>1849</v>
      </c>
      <c r="B443" s="1">
        <v>46210</v>
      </c>
      <c r="C443" s="1" t="s">
        <v>61</v>
      </c>
      <c r="D443" s="1" t="s">
        <v>22</v>
      </c>
      <c r="E443" s="1" t="s">
        <v>16</v>
      </c>
      <c r="F443" s="1" t="s">
        <v>36</v>
      </c>
      <c r="G443" s="1" t="s">
        <v>119</v>
      </c>
      <c r="H443" s="1" t="s">
        <v>112</v>
      </c>
      <c r="I443" s="1">
        <v>3</v>
      </c>
      <c r="J443" s="1">
        <v>655.20000000000005</v>
      </c>
      <c r="K443" s="1">
        <v>0.05</v>
      </c>
      <c r="L443" s="1">
        <v>1867.32</v>
      </c>
      <c r="M443" s="1" t="str">
        <f t="shared" si="12"/>
        <v>Online</v>
      </c>
      <c r="N443" s="1">
        <f t="shared" si="13"/>
        <v>62.01</v>
      </c>
    </row>
    <row r="444" spans="1:14" x14ac:dyDescent="0.3">
      <c r="A444" s="1" t="s">
        <v>1850</v>
      </c>
      <c r="B444" s="1">
        <v>46210</v>
      </c>
      <c r="C444" s="1" t="s">
        <v>61</v>
      </c>
      <c r="D444" s="1" t="s">
        <v>27</v>
      </c>
      <c r="E444" s="1" t="s">
        <v>16</v>
      </c>
      <c r="F444" s="1" t="s">
        <v>17</v>
      </c>
      <c r="G444" s="1" t="s">
        <v>62</v>
      </c>
      <c r="H444" s="1" t="s">
        <v>63</v>
      </c>
      <c r="I444" s="1">
        <v>3</v>
      </c>
      <c r="J444" s="1">
        <v>54</v>
      </c>
      <c r="K444" s="1">
        <v>0.2</v>
      </c>
      <c r="L444" s="1">
        <v>129.6</v>
      </c>
      <c r="M444" s="1" t="str">
        <f t="shared" si="12"/>
        <v>Retail Store</v>
      </c>
      <c r="N444" s="1">
        <f t="shared" si="13"/>
        <v>62.01</v>
      </c>
    </row>
    <row r="445" spans="1:14" x14ac:dyDescent="0.3">
      <c r="A445" s="1" t="s">
        <v>1851</v>
      </c>
      <c r="B445" s="1">
        <v>46210</v>
      </c>
      <c r="C445" s="1" t="s">
        <v>54</v>
      </c>
      <c r="D445" s="1" t="s">
        <v>15</v>
      </c>
      <c r="E445" s="1" t="s">
        <v>28</v>
      </c>
      <c r="F445" s="1" t="s">
        <v>29</v>
      </c>
      <c r="G445" s="1" t="s">
        <v>88</v>
      </c>
      <c r="H445" s="1" t="s">
        <v>71</v>
      </c>
      <c r="I445" s="1">
        <v>2</v>
      </c>
      <c r="J445" s="1">
        <v>59.67</v>
      </c>
      <c r="K445" s="1">
        <v>0</v>
      </c>
      <c r="L445" s="1">
        <v>119.34</v>
      </c>
      <c r="M445" s="1" t="str">
        <f t="shared" si="12"/>
        <v>Online</v>
      </c>
      <c r="N445" s="1">
        <f t="shared" si="13"/>
        <v>267.12</v>
      </c>
    </row>
    <row r="446" spans="1:14" x14ac:dyDescent="0.3">
      <c r="A446" s="1" t="s">
        <v>1843</v>
      </c>
      <c r="B446" s="1">
        <v>46211</v>
      </c>
      <c r="C446" s="1" t="s">
        <v>61</v>
      </c>
      <c r="D446" s="1" t="s">
        <v>27</v>
      </c>
      <c r="E446" s="1" t="s">
        <v>16</v>
      </c>
      <c r="F446" s="1" t="s">
        <v>36</v>
      </c>
      <c r="G446" s="1" t="s">
        <v>70</v>
      </c>
      <c r="H446" s="1" t="s">
        <v>73</v>
      </c>
      <c r="I446" s="1">
        <v>4</v>
      </c>
      <c r="J446" s="1">
        <v>542.88</v>
      </c>
      <c r="K446" s="1">
        <v>0.08</v>
      </c>
      <c r="L446" s="1">
        <v>1997.8</v>
      </c>
      <c r="M446" s="1" t="str">
        <f t="shared" si="12"/>
        <v>Online</v>
      </c>
      <c r="N446" s="1">
        <f t="shared" si="13"/>
        <v>62.01</v>
      </c>
    </row>
    <row r="447" spans="1:14" x14ac:dyDescent="0.3">
      <c r="A447" s="1" t="s">
        <v>1844</v>
      </c>
      <c r="B447" s="1">
        <v>46211</v>
      </c>
      <c r="C447" s="1" t="s">
        <v>14</v>
      </c>
      <c r="D447" s="1" t="s">
        <v>27</v>
      </c>
      <c r="E447" s="1" t="s">
        <v>28</v>
      </c>
      <c r="F447" s="1" t="s">
        <v>29</v>
      </c>
      <c r="G447" s="1" t="s">
        <v>39</v>
      </c>
      <c r="H447" s="1" t="s">
        <v>40</v>
      </c>
      <c r="I447" s="1">
        <v>4</v>
      </c>
      <c r="J447" s="1">
        <v>69.84</v>
      </c>
      <c r="K447" s="1">
        <v>0.05</v>
      </c>
      <c r="L447" s="1">
        <v>265.39</v>
      </c>
      <c r="M447" s="1" t="str">
        <f t="shared" si="12"/>
        <v>Online</v>
      </c>
      <c r="N447" s="1">
        <f t="shared" si="13"/>
        <v>16.2</v>
      </c>
    </row>
    <row r="448" spans="1:14" x14ac:dyDescent="0.3">
      <c r="A448" s="1" t="s">
        <v>1845</v>
      </c>
      <c r="B448" s="1">
        <v>46211</v>
      </c>
      <c r="C448" s="1" t="s">
        <v>54</v>
      </c>
      <c r="D448" s="1" t="s">
        <v>22</v>
      </c>
      <c r="E448" s="1" t="s">
        <v>28</v>
      </c>
      <c r="F448" s="1" t="s">
        <v>23</v>
      </c>
      <c r="G448" s="1" t="s">
        <v>142</v>
      </c>
      <c r="H448" s="1" t="s">
        <v>80</v>
      </c>
      <c r="I448" s="1">
        <v>6</v>
      </c>
      <c r="J448" s="1">
        <v>16.2</v>
      </c>
      <c r="K448" s="1">
        <v>0.15</v>
      </c>
      <c r="L448" s="1">
        <v>82.62</v>
      </c>
      <c r="M448" s="1" t="str">
        <f t="shared" si="12"/>
        <v>Marketplace</v>
      </c>
      <c r="N448" s="1">
        <f t="shared" si="13"/>
        <v>267.12</v>
      </c>
    </row>
    <row r="449" spans="1:14" x14ac:dyDescent="0.3">
      <c r="A449" s="1" t="s">
        <v>1846</v>
      </c>
      <c r="B449" s="1">
        <v>46211</v>
      </c>
      <c r="C449" s="1" t="s">
        <v>54</v>
      </c>
      <c r="D449" s="1" t="s">
        <v>22</v>
      </c>
      <c r="E449" s="1" t="s">
        <v>16</v>
      </c>
      <c r="F449" s="1" t="s">
        <v>29</v>
      </c>
      <c r="G449" s="1" t="s">
        <v>39</v>
      </c>
      <c r="H449" s="1" t="s">
        <v>80</v>
      </c>
      <c r="I449" s="1">
        <v>7</v>
      </c>
      <c r="J449" s="1">
        <v>76.319999999999993</v>
      </c>
      <c r="K449" s="1">
        <v>0.15</v>
      </c>
      <c r="L449" s="1">
        <v>454.1</v>
      </c>
      <c r="M449" s="1" t="str">
        <f t="shared" si="12"/>
        <v>Marketplace</v>
      </c>
      <c r="N449" s="1">
        <f t="shared" si="13"/>
        <v>267.12</v>
      </c>
    </row>
    <row r="450" spans="1:14" x14ac:dyDescent="0.3">
      <c r="A450" s="1" t="s">
        <v>1847</v>
      </c>
      <c r="B450" s="1">
        <v>46211</v>
      </c>
      <c r="C450" s="1" t="s">
        <v>61</v>
      </c>
      <c r="D450" s="1" t="s">
        <v>22</v>
      </c>
      <c r="E450" s="1" t="s">
        <v>28</v>
      </c>
      <c r="F450" s="1" t="s">
        <v>82</v>
      </c>
      <c r="G450" s="1" t="s">
        <v>114</v>
      </c>
      <c r="H450" s="1" t="s">
        <v>73</v>
      </c>
      <c r="I450" s="1">
        <v>2</v>
      </c>
      <c r="J450" s="1">
        <v>2250</v>
      </c>
      <c r="K450" s="1">
        <v>0</v>
      </c>
      <c r="L450" s="1">
        <v>4500</v>
      </c>
      <c r="M450" s="1" t="str">
        <f t="shared" ref="M450:M513" si="14">INDEX(D:D,MATCH(H450,H:H,0))</f>
        <v>Online</v>
      </c>
      <c r="N450" s="1">
        <f t="shared" ref="N450:N513" si="15">VLOOKUP(C:C,C:J,8,FALSE)</f>
        <v>62.01</v>
      </c>
    </row>
    <row r="451" spans="1:14" x14ac:dyDescent="0.3">
      <c r="A451" s="1" t="s">
        <v>1840</v>
      </c>
      <c r="B451" s="1">
        <v>46212</v>
      </c>
      <c r="C451" s="1" t="s">
        <v>47</v>
      </c>
      <c r="D451" s="1" t="s">
        <v>27</v>
      </c>
      <c r="E451" s="1" t="s">
        <v>28</v>
      </c>
      <c r="F451" s="1" t="s">
        <v>36</v>
      </c>
      <c r="G451" s="1" t="s">
        <v>77</v>
      </c>
      <c r="H451" s="1" t="s">
        <v>78</v>
      </c>
      <c r="I451" s="1">
        <v>2</v>
      </c>
      <c r="J451" s="1">
        <v>1350</v>
      </c>
      <c r="K451" s="1">
        <v>0.03</v>
      </c>
      <c r="L451" s="1">
        <v>2619</v>
      </c>
      <c r="M451" s="1" t="str">
        <f t="shared" si="14"/>
        <v>Retail Store</v>
      </c>
      <c r="N451" s="1">
        <f t="shared" si="15"/>
        <v>421.2</v>
      </c>
    </row>
    <row r="452" spans="1:14" x14ac:dyDescent="0.3">
      <c r="A452" s="1" t="s">
        <v>1841</v>
      </c>
      <c r="B452" s="1">
        <v>46212</v>
      </c>
      <c r="C452" s="1" t="s">
        <v>61</v>
      </c>
      <c r="D452" s="1" t="s">
        <v>27</v>
      </c>
      <c r="E452" s="1" t="s">
        <v>16</v>
      </c>
      <c r="F452" s="1" t="s">
        <v>23</v>
      </c>
      <c r="G452" s="1" t="s">
        <v>178</v>
      </c>
      <c r="H452" s="1" t="s">
        <v>63</v>
      </c>
      <c r="I452" s="1">
        <v>3</v>
      </c>
      <c r="J452" s="1">
        <v>32.130000000000003</v>
      </c>
      <c r="K452" s="1">
        <v>0.03</v>
      </c>
      <c r="L452" s="1">
        <v>93.5</v>
      </c>
      <c r="M452" s="1" t="str">
        <f t="shared" si="14"/>
        <v>Retail Store</v>
      </c>
      <c r="N452" s="1">
        <f t="shared" si="15"/>
        <v>62.01</v>
      </c>
    </row>
    <row r="453" spans="1:14" x14ac:dyDescent="0.3">
      <c r="A453" s="1" t="s">
        <v>1842</v>
      </c>
      <c r="B453" s="1">
        <v>46212</v>
      </c>
      <c r="C453" s="1" t="s">
        <v>54</v>
      </c>
      <c r="D453" s="1" t="s">
        <v>15</v>
      </c>
      <c r="E453" s="1" t="s">
        <v>16</v>
      </c>
      <c r="F453" s="1" t="s">
        <v>29</v>
      </c>
      <c r="G453" s="1" t="s">
        <v>88</v>
      </c>
      <c r="H453" s="1" t="s">
        <v>56</v>
      </c>
      <c r="I453" s="1">
        <v>4</v>
      </c>
      <c r="J453" s="1">
        <v>55.58</v>
      </c>
      <c r="K453" s="1">
        <v>0.08</v>
      </c>
      <c r="L453" s="1">
        <v>204.52</v>
      </c>
      <c r="M453" s="1" t="str">
        <f t="shared" si="14"/>
        <v>Online</v>
      </c>
      <c r="N453" s="1">
        <f t="shared" si="15"/>
        <v>267.12</v>
      </c>
    </row>
    <row r="454" spans="1:14" x14ac:dyDescent="0.3">
      <c r="A454" s="1" t="s">
        <v>1836</v>
      </c>
      <c r="B454" s="1">
        <v>46213</v>
      </c>
      <c r="C454" s="1" t="s">
        <v>21</v>
      </c>
      <c r="D454" s="1" t="s">
        <v>15</v>
      </c>
      <c r="E454" s="1" t="s">
        <v>28</v>
      </c>
      <c r="F454" s="1" t="s">
        <v>17</v>
      </c>
      <c r="G454" s="1" t="s">
        <v>189</v>
      </c>
      <c r="H454" s="1" t="s">
        <v>25</v>
      </c>
      <c r="I454" s="1">
        <v>2</v>
      </c>
      <c r="J454" s="1">
        <v>305.27999999999997</v>
      </c>
      <c r="K454" s="1">
        <v>0.05</v>
      </c>
      <c r="L454" s="1">
        <v>580.03</v>
      </c>
      <c r="M454" s="1" t="str">
        <f t="shared" si="14"/>
        <v>Marketplace</v>
      </c>
      <c r="N454" s="1">
        <f t="shared" si="15"/>
        <v>405</v>
      </c>
    </row>
    <row r="455" spans="1:14" x14ac:dyDescent="0.3">
      <c r="A455" s="1" t="s">
        <v>1837</v>
      </c>
      <c r="B455" s="1">
        <v>46213</v>
      </c>
      <c r="C455" s="1" t="s">
        <v>14</v>
      </c>
      <c r="D455" s="1" t="s">
        <v>22</v>
      </c>
      <c r="E455" s="1" t="s">
        <v>16</v>
      </c>
      <c r="F455" s="1" t="s">
        <v>29</v>
      </c>
      <c r="G455" s="1" t="s">
        <v>55</v>
      </c>
      <c r="H455" s="1" t="s">
        <v>31</v>
      </c>
      <c r="I455" s="1">
        <v>7</v>
      </c>
      <c r="J455" s="1">
        <v>34.200000000000003</v>
      </c>
      <c r="K455" s="1">
        <v>0.2</v>
      </c>
      <c r="L455" s="1">
        <v>191.52</v>
      </c>
      <c r="M455" s="1" t="str">
        <f t="shared" si="14"/>
        <v>Online</v>
      </c>
      <c r="N455" s="1">
        <f t="shared" si="15"/>
        <v>16.2</v>
      </c>
    </row>
    <row r="456" spans="1:14" x14ac:dyDescent="0.3">
      <c r="A456" s="1" t="s">
        <v>1838</v>
      </c>
      <c r="B456" s="1">
        <v>46213</v>
      </c>
      <c r="C456" s="1" t="s">
        <v>54</v>
      </c>
      <c r="D456" s="1" t="s">
        <v>35</v>
      </c>
      <c r="E456" s="1" t="s">
        <v>28</v>
      </c>
      <c r="F456" s="1" t="s">
        <v>82</v>
      </c>
      <c r="G456" s="1" t="s">
        <v>114</v>
      </c>
      <c r="H456" s="1" t="s">
        <v>56</v>
      </c>
      <c r="I456" s="1">
        <v>3</v>
      </c>
      <c r="J456" s="1">
        <v>2295</v>
      </c>
      <c r="K456" s="1">
        <v>0.1</v>
      </c>
      <c r="L456" s="1">
        <v>6196.5</v>
      </c>
      <c r="M456" s="1" t="str">
        <f t="shared" si="14"/>
        <v>Online</v>
      </c>
      <c r="N456" s="1">
        <f t="shared" si="15"/>
        <v>267.12</v>
      </c>
    </row>
    <row r="457" spans="1:14" x14ac:dyDescent="0.3">
      <c r="A457" s="1" t="s">
        <v>1839</v>
      </c>
      <c r="B457" s="1">
        <v>46213</v>
      </c>
      <c r="C457" s="1" t="s">
        <v>21</v>
      </c>
      <c r="D457" s="1" t="s">
        <v>15</v>
      </c>
      <c r="E457" s="1" t="s">
        <v>16</v>
      </c>
      <c r="F457" s="1" t="s">
        <v>17</v>
      </c>
      <c r="G457" s="1" t="s">
        <v>18</v>
      </c>
      <c r="H457" s="1" t="s">
        <v>44</v>
      </c>
      <c r="I457" s="1">
        <v>2</v>
      </c>
      <c r="J457" s="1">
        <v>81</v>
      </c>
      <c r="K457" s="1">
        <v>0.03</v>
      </c>
      <c r="L457" s="1">
        <v>157.13999999999999</v>
      </c>
      <c r="M457" s="1" t="str">
        <f t="shared" si="14"/>
        <v>Retail Store</v>
      </c>
      <c r="N457" s="1">
        <f t="shared" si="15"/>
        <v>405</v>
      </c>
    </row>
    <row r="458" spans="1:14" x14ac:dyDescent="0.3">
      <c r="A458" s="1" t="s">
        <v>1829</v>
      </c>
      <c r="B458" s="1">
        <v>46214</v>
      </c>
      <c r="C458" s="1" t="s">
        <v>47</v>
      </c>
      <c r="D458" s="1" t="s">
        <v>15</v>
      </c>
      <c r="E458" s="1" t="s">
        <v>16</v>
      </c>
      <c r="F458" s="1" t="s">
        <v>29</v>
      </c>
      <c r="G458" s="1" t="s">
        <v>30</v>
      </c>
      <c r="H458" s="1" t="s">
        <v>58</v>
      </c>
      <c r="I458" s="1">
        <v>2</v>
      </c>
      <c r="J458" s="1">
        <v>49.5</v>
      </c>
      <c r="K458" s="1">
        <v>0.2</v>
      </c>
      <c r="L458" s="1">
        <v>79.2</v>
      </c>
      <c r="M458" s="1" t="str">
        <f t="shared" si="14"/>
        <v>Corporate Sales</v>
      </c>
      <c r="N458" s="1">
        <f t="shared" si="15"/>
        <v>421.2</v>
      </c>
    </row>
    <row r="459" spans="1:14" x14ac:dyDescent="0.3">
      <c r="A459" s="1" t="s">
        <v>1830</v>
      </c>
      <c r="B459" s="1">
        <v>46214</v>
      </c>
      <c r="C459" s="1" t="s">
        <v>54</v>
      </c>
      <c r="D459" s="1" t="s">
        <v>22</v>
      </c>
      <c r="E459" s="1" t="s">
        <v>16</v>
      </c>
      <c r="F459" s="1" t="s">
        <v>29</v>
      </c>
      <c r="G459" s="1" t="s">
        <v>30</v>
      </c>
      <c r="H459" s="1" t="s">
        <v>80</v>
      </c>
      <c r="I459" s="1">
        <v>3</v>
      </c>
      <c r="J459" s="1">
        <v>51.48</v>
      </c>
      <c r="K459" s="1">
        <v>0.08</v>
      </c>
      <c r="L459" s="1">
        <v>142.08000000000001</v>
      </c>
      <c r="M459" s="1" t="str">
        <f t="shared" si="14"/>
        <v>Marketplace</v>
      </c>
      <c r="N459" s="1">
        <f t="shared" si="15"/>
        <v>267.12</v>
      </c>
    </row>
    <row r="460" spans="1:14" x14ac:dyDescent="0.3">
      <c r="A460" s="1" t="s">
        <v>1831</v>
      </c>
      <c r="B460" s="1">
        <v>46214</v>
      </c>
      <c r="C460" s="1" t="s">
        <v>21</v>
      </c>
      <c r="D460" s="1" t="s">
        <v>35</v>
      </c>
      <c r="E460" s="1" t="s">
        <v>28</v>
      </c>
      <c r="F460" s="1" t="s">
        <v>42</v>
      </c>
      <c r="G460" s="1" t="s">
        <v>65</v>
      </c>
      <c r="H460" s="1" t="s">
        <v>86</v>
      </c>
      <c r="I460" s="1">
        <v>7</v>
      </c>
      <c r="J460" s="1">
        <v>688.5</v>
      </c>
      <c r="K460" s="1">
        <v>0.2</v>
      </c>
      <c r="L460" s="1">
        <v>3855.6</v>
      </c>
      <c r="M460" s="1" t="str">
        <f t="shared" si="14"/>
        <v>Online</v>
      </c>
      <c r="N460" s="1">
        <f t="shared" si="15"/>
        <v>405</v>
      </c>
    </row>
    <row r="461" spans="1:14" x14ac:dyDescent="0.3">
      <c r="A461" s="1" t="s">
        <v>1832</v>
      </c>
      <c r="B461" s="1">
        <v>46214</v>
      </c>
      <c r="C461" s="1" t="s">
        <v>14</v>
      </c>
      <c r="D461" s="1" t="s">
        <v>15</v>
      </c>
      <c r="E461" s="1" t="s">
        <v>28</v>
      </c>
      <c r="F461" s="1" t="s">
        <v>23</v>
      </c>
      <c r="G461" s="1" t="s">
        <v>116</v>
      </c>
      <c r="H461" s="1" t="s">
        <v>31</v>
      </c>
      <c r="I461" s="1">
        <v>2</v>
      </c>
      <c r="J461" s="1">
        <v>7.2</v>
      </c>
      <c r="K461" s="1">
        <v>0.15</v>
      </c>
      <c r="L461" s="1">
        <v>12.24</v>
      </c>
      <c r="M461" s="1" t="str">
        <f t="shared" si="14"/>
        <v>Online</v>
      </c>
      <c r="N461" s="1">
        <f t="shared" si="15"/>
        <v>16.2</v>
      </c>
    </row>
    <row r="462" spans="1:14" x14ac:dyDescent="0.3">
      <c r="A462" s="1" t="s">
        <v>1833</v>
      </c>
      <c r="B462" s="1">
        <v>46214</v>
      </c>
      <c r="C462" s="1" t="s">
        <v>54</v>
      </c>
      <c r="D462" s="1" t="s">
        <v>35</v>
      </c>
      <c r="E462" s="1" t="s">
        <v>16</v>
      </c>
      <c r="F462" s="1" t="s">
        <v>42</v>
      </c>
      <c r="G462" s="1" t="s">
        <v>43</v>
      </c>
      <c r="H462" s="1" t="s">
        <v>71</v>
      </c>
      <c r="I462" s="1">
        <v>10</v>
      </c>
      <c r="J462" s="1">
        <v>171.72</v>
      </c>
      <c r="K462" s="1">
        <v>0.2</v>
      </c>
      <c r="L462" s="1">
        <v>1373.76</v>
      </c>
      <c r="M462" s="1" t="str">
        <f t="shared" si="14"/>
        <v>Online</v>
      </c>
      <c r="N462" s="1">
        <f t="shared" si="15"/>
        <v>267.12</v>
      </c>
    </row>
    <row r="463" spans="1:14" x14ac:dyDescent="0.3">
      <c r="A463" s="1" t="s">
        <v>1834</v>
      </c>
      <c r="B463" s="1">
        <v>46214</v>
      </c>
      <c r="C463" s="1" t="s">
        <v>61</v>
      </c>
      <c r="D463" s="1" t="s">
        <v>35</v>
      </c>
      <c r="E463" s="1" t="s">
        <v>16</v>
      </c>
      <c r="F463" s="1" t="s">
        <v>36</v>
      </c>
      <c r="G463" s="1" t="s">
        <v>37</v>
      </c>
      <c r="H463" s="1" t="s">
        <v>63</v>
      </c>
      <c r="I463" s="1">
        <v>4</v>
      </c>
      <c r="J463" s="1">
        <v>780.3</v>
      </c>
      <c r="K463" s="1">
        <v>0.03</v>
      </c>
      <c r="L463" s="1">
        <v>3027.56</v>
      </c>
      <c r="M463" s="1" t="str">
        <f t="shared" si="14"/>
        <v>Retail Store</v>
      </c>
      <c r="N463" s="1">
        <f t="shared" si="15"/>
        <v>62.01</v>
      </c>
    </row>
    <row r="464" spans="1:14" x14ac:dyDescent="0.3">
      <c r="A464" s="1" t="s">
        <v>1835</v>
      </c>
      <c r="B464" s="1">
        <v>46214</v>
      </c>
      <c r="C464" s="1" t="s">
        <v>14</v>
      </c>
      <c r="D464" s="1" t="s">
        <v>15</v>
      </c>
      <c r="E464" s="1" t="s">
        <v>16</v>
      </c>
      <c r="F464" s="1" t="s">
        <v>36</v>
      </c>
      <c r="G464" s="1" t="s">
        <v>70</v>
      </c>
      <c r="H464" s="1" t="s">
        <v>40</v>
      </c>
      <c r="I464" s="1">
        <v>2</v>
      </c>
      <c r="J464" s="1">
        <v>553.32000000000005</v>
      </c>
      <c r="K464" s="1">
        <v>0.05</v>
      </c>
      <c r="L464" s="1">
        <v>1051.31</v>
      </c>
      <c r="M464" s="1" t="str">
        <f t="shared" si="14"/>
        <v>Online</v>
      </c>
      <c r="N464" s="1">
        <f t="shared" si="15"/>
        <v>16.2</v>
      </c>
    </row>
    <row r="465" spans="1:14" x14ac:dyDescent="0.3">
      <c r="A465" s="1" t="s">
        <v>1825</v>
      </c>
      <c r="B465" s="1">
        <v>46215</v>
      </c>
      <c r="C465" s="1" t="s">
        <v>54</v>
      </c>
      <c r="D465" s="1" t="s">
        <v>22</v>
      </c>
      <c r="E465" s="1" t="s">
        <v>16</v>
      </c>
      <c r="F465" s="1" t="s">
        <v>17</v>
      </c>
      <c r="G465" s="1" t="s">
        <v>62</v>
      </c>
      <c r="H465" s="1" t="s">
        <v>71</v>
      </c>
      <c r="I465" s="1">
        <v>4</v>
      </c>
      <c r="J465" s="1">
        <v>54</v>
      </c>
      <c r="K465" s="1">
        <v>0.03</v>
      </c>
      <c r="L465" s="1">
        <v>209.52</v>
      </c>
      <c r="M465" s="1" t="str">
        <f t="shared" si="14"/>
        <v>Online</v>
      </c>
      <c r="N465" s="1">
        <f t="shared" si="15"/>
        <v>267.12</v>
      </c>
    </row>
    <row r="466" spans="1:14" x14ac:dyDescent="0.3">
      <c r="A466" s="1" t="s">
        <v>1826</v>
      </c>
      <c r="B466" s="1">
        <v>46215</v>
      </c>
      <c r="C466" s="1" t="s">
        <v>47</v>
      </c>
      <c r="D466" s="1" t="s">
        <v>15</v>
      </c>
      <c r="E466" s="1" t="s">
        <v>16</v>
      </c>
      <c r="F466" s="1" t="s">
        <v>82</v>
      </c>
      <c r="G466" s="1" t="s">
        <v>114</v>
      </c>
      <c r="H466" s="1" t="s">
        <v>49</v>
      </c>
      <c r="I466" s="1">
        <v>2</v>
      </c>
      <c r="J466" s="1">
        <v>2340</v>
      </c>
      <c r="K466" s="1">
        <v>0.08</v>
      </c>
      <c r="L466" s="1">
        <v>4305.6000000000004</v>
      </c>
      <c r="M466" s="1" t="str">
        <f t="shared" si="14"/>
        <v>Retail Store</v>
      </c>
      <c r="N466" s="1">
        <f t="shared" si="15"/>
        <v>421.2</v>
      </c>
    </row>
    <row r="467" spans="1:14" x14ac:dyDescent="0.3">
      <c r="A467" s="1" t="s">
        <v>1827</v>
      </c>
      <c r="B467" s="1">
        <v>46215</v>
      </c>
      <c r="C467" s="1" t="s">
        <v>47</v>
      </c>
      <c r="D467" s="1" t="s">
        <v>22</v>
      </c>
      <c r="E467" s="1" t="s">
        <v>16</v>
      </c>
      <c r="F467" s="1" t="s">
        <v>17</v>
      </c>
      <c r="G467" s="1" t="s">
        <v>62</v>
      </c>
      <c r="H467" s="1" t="s">
        <v>49</v>
      </c>
      <c r="I467" s="1">
        <v>4</v>
      </c>
      <c r="J467" s="1">
        <v>52.38</v>
      </c>
      <c r="K467" s="1">
        <v>0.05</v>
      </c>
      <c r="L467" s="1">
        <v>199.04</v>
      </c>
      <c r="M467" s="1" t="str">
        <f t="shared" si="14"/>
        <v>Retail Store</v>
      </c>
      <c r="N467" s="1">
        <f t="shared" si="15"/>
        <v>421.2</v>
      </c>
    </row>
    <row r="468" spans="1:14" x14ac:dyDescent="0.3">
      <c r="A468" s="1" t="s">
        <v>1828</v>
      </c>
      <c r="B468" s="1">
        <v>46215</v>
      </c>
      <c r="C468" s="1" t="s">
        <v>14</v>
      </c>
      <c r="D468" s="1" t="s">
        <v>35</v>
      </c>
      <c r="E468" s="1" t="s">
        <v>16</v>
      </c>
      <c r="F468" s="1" t="s">
        <v>42</v>
      </c>
      <c r="G468" s="1" t="s">
        <v>43</v>
      </c>
      <c r="H468" s="1" t="s">
        <v>40</v>
      </c>
      <c r="I468" s="1">
        <v>10</v>
      </c>
      <c r="J468" s="1">
        <v>168.48</v>
      </c>
      <c r="K468" s="1">
        <v>0.05</v>
      </c>
      <c r="L468" s="1">
        <v>1600.56</v>
      </c>
      <c r="M468" s="1" t="str">
        <f t="shared" si="14"/>
        <v>Online</v>
      </c>
      <c r="N468" s="1">
        <f t="shared" si="15"/>
        <v>16.2</v>
      </c>
    </row>
    <row r="469" spans="1:14" x14ac:dyDescent="0.3">
      <c r="A469" s="1" t="s">
        <v>1820</v>
      </c>
      <c r="B469" s="1">
        <v>46235</v>
      </c>
      <c r="C469" s="1" t="s">
        <v>47</v>
      </c>
      <c r="D469" s="1" t="s">
        <v>15</v>
      </c>
      <c r="E469" s="1" t="s">
        <v>16</v>
      </c>
      <c r="F469" s="1" t="s">
        <v>36</v>
      </c>
      <c r="G469" s="1" t="s">
        <v>37</v>
      </c>
      <c r="H469" s="1" t="s">
        <v>58</v>
      </c>
      <c r="I469" s="1">
        <v>2</v>
      </c>
      <c r="J469" s="1">
        <v>742.05</v>
      </c>
      <c r="K469" s="1">
        <v>0.08</v>
      </c>
      <c r="L469" s="1">
        <v>1365.37</v>
      </c>
      <c r="M469" s="1" t="str">
        <f t="shared" si="14"/>
        <v>Corporate Sales</v>
      </c>
      <c r="N469" s="1">
        <f t="shared" si="15"/>
        <v>421.2</v>
      </c>
    </row>
    <row r="470" spans="1:14" x14ac:dyDescent="0.3">
      <c r="A470" s="1" t="s">
        <v>1821</v>
      </c>
      <c r="B470" s="1">
        <v>46235</v>
      </c>
      <c r="C470" s="1" t="s">
        <v>47</v>
      </c>
      <c r="D470" s="1" t="s">
        <v>27</v>
      </c>
      <c r="E470" s="1" t="s">
        <v>28</v>
      </c>
      <c r="F470" s="1" t="s">
        <v>29</v>
      </c>
      <c r="G470" s="1" t="s">
        <v>33</v>
      </c>
      <c r="H470" s="1" t="s">
        <v>58</v>
      </c>
      <c r="I470" s="1">
        <v>2</v>
      </c>
      <c r="J470" s="1">
        <v>13.77</v>
      </c>
      <c r="K470" s="1">
        <v>0</v>
      </c>
      <c r="L470" s="1">
        <v>27.54</v>
      </c>
      <c r="M470" s="1" t="str">
        <f t="shared" si="14"/>
        <v>Corporate Sales</v>
      </c>
      <c r="N470" s="1">
        <f t="shared" si="15"/>
        <v>421.2</v>
      </c>
    </row>
    <row r="471" spans="1:14" x14ac:dyDescent="0.3">
      <c r="A471" s="1" t="s">
        <v>1822</v>
      </c>
      <c r="B471" s="1">
        <v>46235</v>
      </c>
      <c r="C471" s="1" t="s">
        <v>54</v>
      </c>
      <c r="D471" s="1" t="s">
        <v>22</v>
      </c>
      <c r="E471" s="1" t="s">
        <v>16</v>
      </c>
      <c r="F471" s="1" t="s">
        <v>23</v>
      </c>
      <c r="G471" s="1" t="s">
        <v>178</v>
      </c>
      <c r="H471" s="1" t="s">
        <v>80</v>
      </c>
      <c r="I471" s="1">
        <v>2</v>
      </c>
      <c r="J471" s="1">
        <v>32.130000000000003</v>
      </c>
      <c r="K471" s="1">
        <v>0</v>
      </c>
      <c r="L471" s="1">
        <v>64.260000000000005</v>
      </c>
      <c r="M471" s="1" t="str">
        <f t="shared" si="14"/>
        <v>Marketplace</v>
      </c>
      <c r="N471" s="1">
        <f t="shared" si="15"/>
        <v>267.12</v>
      </c>
    </row>
    <row r="472" spans="1:14" x14ac:dyDescent="0.3">
      <c r="A472" s="1" t="s">
        <v>1823</v>
      </c>
      <c r="B472" s="1">
        <v>46235</v>
      </c>
      <c r="C472" s="1" t="s">
        <v>14</v>
      </c>
      <c r="D472" s="1" t="s">
        <v>35</v>
      </c>
      <c r="E472" s="1" t="s">
        <v>16</v>
      </c>
      <c r="F472" s="1" t="s">
        <v>17</v>
      </c>
      <c r="G472" s="1" t="s">
        <v>189</v>
      </c>
      <c r="H472" s="1" t="s">
        <v>31</v>
      </c>
      <c r="I472" s="1">
        <v>9</v>
      </c>
      <c r="J472" s="1">
        <v>273.60000000000002</v>
      </c>
      <c r="K472" s="1">
        <v>0.05</v>
      </c>
      <c r="L472" s="1">
        <v>2339.2800000000002</v>
      </c>
      <c r="M472" s="1" t="str">
        <f t="shared" si="14"/>
        <v>Online</v>
      </c>
      <c r="N472" s="1">
        <f t="shared" si="15"/>
        <v>16.2</v>
      </c>
    </row>
    <row r="473" spans="1:14" x14ac:dyDescent="0.3">
      <c r="A473" s="1" t="s">
        <v>1824</v>
      </c>
      <c r="B473" s="1">
        <v>46235</v>
      </c>
      <c r="C473" s="1" t="s">
        <v>61</v>
      </c>
      <c r="D473" s="1" t="s">
        <v>35</v>
      </c>
      <c r="E473" s="1" t="s">
        <v>16</v>
      </c>
      <c r="F473" s="1" t="s">
        <v>82</v>
      </c>
      <c r="G473" s="1" t="s">
        <v>85</v>
      </c>
      <c r="H473" s="1" t="s">
        <v>73</v>
      </c>
      <c r="I473" s="1">
        <v>2</v>
      </c>
      <c r="J473" s="1">
        <v>1620</v>
      </c>
      <c r="K473" s="1">
        <v>0.05</v>
      </c>
      <c r="L473" s="1">
        <v>3078</v>
      </c>
      <c r="M473" s="1" t="str">
        <f t="shared" si="14"/>
        <v>Online</v>
      </c>
      <c r="N473" s="1">
        <f t="shared" si="15"/>
        <v>62.01</v>
      </c>
    </row>
    <row r="474" spans="1:14" x14ac:dyDescent="0.3">
      <c r="A474" s="1" t="s">
        <v>1811</v>
      </c>
      <c r="B474" s="1">
        <v>46236</v>
      </c>
      <c r="C474" s="1" t="s">
        <v>21</v>
      </c>
      <c r="D474" s="1" t="s">
        <v>15</v>
      </c>
      <c r="E474" s="1" t="s">
        <v>16</v>
      </c>
      <c r="F474" s="1" t="s">
        <v>29</v>
      </c>
      <c r="G474" s="1" t="s">
        <v>33</v>
      </c>
      <c r="H474" s="1" t="s">
        <v>44</v>
      </c>
      <c r="I474" s="1">
        <v>4</v>
      </c>
      <c r="J474" s="1">
        <v>13.5</v>
      </c>
      <c r="K474" s="1">
        <v>0.1</v>
      </c>
      <c r="L474" s="1">
        <v>48.6</v>
      </c>
      <c r="M474" s="1" t="str">
        <f t="shared" si="14"/>
        <v>Retail Store</v>
      </c>
      <c r="N474" s="1">
        <f t="shared" si="15"/>
        <v>405</v>
      </c>
    </row>
    <row r="475" spans="1:14" x14ac:dyDescent="0.3">
      <c r="A475" s="1" t="s">
        <v>1812</v>
      </c>
      <c r="B475" s="1">
        <v>46236</v>
      </c>
      <c r="C475" s="1" t="s">
        <v>47</v>
      </c>
      <c r="D475" s="1" t="s">
        <v>22</v>
      </c>
      <c r="E475" s="1" t="s">
        <v>16</v>
      </c>
      <c r="F475" s="1" t="s">
        <v>29</v>
      </c>
      <c r="G475" s="1" t="s">
        <v>88</v>
      </c>
      <c r="H475" s="1" t="s">
        <v>78</v>
      </c>
      <c r="I475" s="1">
        <v>2</v>
      </c>
      <c r="J475" s="1">
        <v>60.84</v>
      </c>
      <c r="K475" s="1">
        <v>0</v>
      </c>
      <c r="L475" s="1">
        <v>121.68</v>
      </c>
      <c r="M475" s="1" t="str">
        <f t="shared" si="14"/>
        <v>Retail Store</v>
      </c>
      <c r="N475" s="1">
        <f t="shared" si="15"/>
        <v>421.2</v>
      </c>
    </row>
    <row r="476" spans="1:14" x14ac:dyDescent="0.3">
      <c r="A476" s="1" t="s">
        <v>1813</v>
      </c>
      <c r="B476" s="1">
        <v>46236</v>
      </c>
      <c r="C476" s="1" t="s">
        <v>14</v>
      </c>
      <c r="D476" s="1" t="s">
        <v>22</v>
      </c>
      <c r="E476" s="1" t="s">
        <v>16</v>
      </c>
      <c r="F476" s="1" t="s">
        <v>17</v>
      </c>
      <c r="G476" s="1" t="s">
        <v>62</v>
      </c>
      <c r="H476" s="1" t="s">
        <v>19</v>
      </c>
      <c r="I476" s="1">
        <v>6</v>
      </c>
      <c r="J476" s="1">
        <v>54</v>
      </c>
      <c r="K476" s="1">
        <v>0.15</v>
      </c>
      <c r="L476" s="1">
        <v>275.39999999999998</v>
      </c>
      <c r="M476" s="1" t="str">
        <f t="shared" si="14"/>
        <v>Retail Store</v>
      </c>
      <c r="N476" s="1">
        <f t="shared" si="15"/>
        <v>16.2</v>
      </c>
    </row>
    <row r="477" spans="1:14" x14ac:dyDescent="0.3">
      <c r="A477" s="1" t="s">
        <v>1814</v>
      </c>
      <c r="B477" s="1">
        <v>46236</v>
      </c>
      <c r="C477" s="1" t="s">
        <v>61</v>
      </c>
      <c r="D477" s="1" t="s">
        <v>22</v>
      </c>
      <c r="E477" s="1" t="s">
        <v>28</v>
      </c>
      <c r="F477" s="1" t="s">
        <v>17</v>
      </c>
      <c r="G477" s="1" t="s">
        <v>189</v>
      </c>
      <c r="H477" s="1" t="s">
        <v>112</v>
      </c>
      <c r="I477" s="1">
        <v>3</v>
      </c>
      <c r="J477" s="1">
        <v>293.76</v>
      </c>
      <c r="K477" s="1">
        <v>0.05</v>
      </c>
      <c r="L477" s="1">
        <v>837.22</v>
      </c>
      <c r="M477" s="1" t="str">
        <f t="shared" si="14"/>
        <v>Online</v>
      </c>
      <c r="N477" s="1">
        <f t="shared" si="15"/>
        <v>62.01</v>
      </c>
    </row>
    <row r="478" spans="1:14" x14ac:dyDescent="0.3">
      <c r="A478" s="1" t="s">
        <v>1815</v>
      </c>
      <c r="B478" s="1">
        <v>46236</v>
      </c>
      <c r="C478" s="1" t="s">
        <v>54</v>
      </c>
      <c r="D478" s="1" t="s">
        <v>22</v>
      </c>
      <c r="E478" s="1" t="s">
        <v>16</v>
      </c>
      <c r="F478" s="1" t="s">
        <v>29</v>
      </c>
      <c r="G478" s="1" t="s">
        <v>30</v>
      </c>
      <c r="H478" s="1" t="s">
        <v>71</v>
      </c>
      <c r="I478" s="1">
        <v>4</v>
      </c>
      <c r="J478" s="1">
        <v>49.5</v>
      </c>
      <c r="K478" s="1">
        <v>0</v>
      </c>
      <c r="L478" s="1">
        <v>198</v>
      </c>
      <c r="M478" s="1" t="str">
        <f t="shared" si="14"/>
        <v>Online</v>
      </c>
      <c r="N478" s="1">
        <f t="shared" si="15"/>
        <v>267.12</v>
      </c>
    </row>
    <row r="479" spans="1:14" x14ac:dyDescent="0.3">
      <c r="A479" s="1" t="s">
        <v>1816</v>
      </c>
      <c r="B479" s="1">
        <v>46236</v>
      </c>
      <c r="C479" s="1" t="s">
        <v>54</v>
      </c>
      <c r="D479" s="1" t="s">
        <v>35</v>
      </c>
      <c r="E479" s="1" t="s">
        <v>16</v>
      </c>
      <c r="F479" s="1" t="s">
        <v>36</v>
      </c>
      <c r="G479" s="1" t="s">
        <v>70</v>
      </c>
      <c r="H479" s="1" t="s">
        <v>80</v>
      </c>
      <c r="I479" s="1">
        <v>3</v>
      </c>
      <c r="J479" s="1">
        <v>542.88</v>
      </c>
      <c r="K479" s="1">
        <v>0.15</v>
      </c>
      <c r="L479" s="1">
        <v>1384.34</v>
      </c>
      <c r="M479" s="1" t="str">
        <f t="shared" si="14"/>
        <v>Marketplace</v>
      </c>
      <c r="N479" s="1">
        <f t="shared" si="15"/>
        <v>267.12</v>
      </c>
    </row>
    <row r="480" spans="1:14" x14ac:dyDescent="0.3">
      <c r="A480" s="1" t="s">
        <v>1817</v>
      </c>
      <c r="B480" s="1">
        <v>46236</v>
      </c>
      <c r="C480" s="1" t="s">
        <v>61</v>
      </c>
      <c r="D480" s="1" t="s">
        <v>27</v>
      </c>
      <c r="E480" s="1" t="s">
        <v>28</v>
      </c>
      <c r="F480" s="1" t="s">
        <v>82</v>
      </c>
      <c r="G480" s="1" t="s">
        <v>114</v>
      </c>
      <c r="H480" s="1" t="s">
        <v>63</v>
      </c>
      <c r="I480" s="1">
        <v>4</v>
      </c>
      <c r="J480" s="1">
        <v>2137.5</v>
      </c>
      <c r="K480" s="1">
        <v>0.1</v>
      </c>
      <c r="L480" s="1">
        <v>7695</v>
      </c>
      <c r="M480" s="1" t="str">
        <f t="shared" si="14"/>
        <v>Retail Store</v>
      </c>
      <c r="N480" s="1">
        <f t="shared" si="15"/>
        <v>62.01</v>
      </c>
    </row>
    <row r="481" spans="1:14" x14ac:dyDescent="0.3">
      <c r="A481" s="1" t="s">
        <v>1818</v>
      </c>
      <c r="B481" s="1">
        <v>46236</v>
      </c>
      <c r="C481" s="1" t="s">
        <v>54</v>
      </c>
      <c r="D481" s="1" t="s">
        <v>35</v>
      </c>
      <c r="E481" s="1" t="s">
        <v>28</v>
      </c>
      <c r="F481" s="1" t="s">
        <v>36</v>
      </c>
      <c r="G481" s="1" t="s">
        <v>77</v>
      </c>
      <c r="H481" s="1" t="s">
        <v>71</v>
      </c>
      <c r="I481" s="1">
        <v>3</v>
      </c>
      <c r="J481" s="1">
        <v>1309.5</v>
      </c>
      <c r="K481" s="1">
        <v>0.05</v>
      </c>
      <c r="L481" s="1">
        <v>3732.08</v>
      </c>
      <c r="M481" s="1" t="str">
        <f t="shared" si="14"/>
        <v>Online</v>
      </c>
      <c r="N481" s="1">
        <f t="shared" si="15"/>
        <v>267.12</v>
      </c>
    </row>
    <row r="482" spans="1:14" x14ac:dyDescent="0.3">
      <c r="A482" s="1" t="s">
        <v>1819</v>
      </c>
      <c r="B482" s="1">
        <v>46236</v>
      </c>
      <c r="C482" s="1" t="s">
        <v>61</v>
      </c>
      <c r="D482" s="1" t="s">
        <v>35</v>
      </c>
      <c r="E482" s="1" t="s">
        <v>16</v>
      </c>
      <c r="F482" s="1" t="s">
        <v>36</v>
      </c>
      <c r="G482" s="1" t="s">
        <v>37</v>
      </c>
      <c r="H482" s="1" t="s">
        <v>112</v>
      </c>
      <c r="I482" s="1">
        <v>2</v>
      </c>
      <c r="J482" s="1">
        <v>765</v>
      </c>
      <c r="K482" s="1">
        <v>0.03</v>
      </c>
      <c r="L482" s="1">
        <v>1484.1</v>
      </c>
      <c r="M482" s="1" t="str">
        <f t="shared" si="14"/>
        <v>Online</v>
      </c>
      <c r="N482" s="1">
        <f t="shared" si="15"/>
        <v>62.01</v>
      </c>
    </row>
    <row r="483" spans="1:14" x14ac:dyDescent="0.3">
      <c r="A483" s="1" t="s">
        <v>1809</v>
      </c>
      <c r="B483" s="1">
        <v>46237</v>
      </c>
      <c r="C483" s="1" t="s">
        <v>47</v>
      </c>
      <c r="D483" s="1" t="s">
        <v>27</v>
      </c>
      <c r="E483" s="1" t="s">
        <v>28</v>
      </c>
      <c r="F483" s="1" t="s">
        <v>36</v>
      </c>
      <c r="G483" s="1" t="s">
        <v>119</v>
      </c>
      <c r="H483" s="1" t="s">
        <v>58</v>
      </c>
      <c r="I483" s="1">
        <v>2</v>
      </c>
      <c r="J483" s="1">
        <v>630</v>
      </c>
      <c r="K483" s="1">
        <v>0.1</v>
      </c>
      <c r="L483" s="1">
        <v>1134</v>
      </c>
      <c r="M483" s="1" t="str">
        <f t="shared" si="14"/>
        <v>Corporate Sales</v>
      </c>
      <c r="N483" s="1">
        <f t="shared" si="15"/>
        <v>421.2</v>
      </c>
    </row>
    <row r="484" spans="1:14" x14ac:dyDescent="0.3">
      <c r="A484" s="1" t="s">
        <v>1810</v>
      </c>
      <c r="B484" s="1">
        <v>46237</v>
      </c>
      <c r="C484" s="1" t="s">
        <v>14</v>
      </c>
      <c r="D484" s="1" t="s">
        <v>22</v>
      </c>
      <c r="E484" s="1" t="s">
        <v>28</v>
      </c>
      <c r="F484" s="1" t="s">
        <v>17</v>
      </c>
      <c r="G484" s="1" t="s">
        <v>98</v>
      </c>
      <c r="H484" s="1" t="s">
        <v>31</v>
      </c>
      <c r="I484" s="1">
        <v>3</v>
      </c>
      <c r="J484" s="1">
        <v>421.2</v>
      </c>
      <c r="K484" s="1">
        <v>0.08</v>
      </c>
      <c r="L484" s="1">
        <v>1162.51</v>
      </c>
      <c r="M484" s="1" t="str">
        <f t="shared" si="14"/>
        <v>Online</v>
      </c>
      <c r="N484" s="1">
        <f t="shared" si="15"/>
        <v>16.2</v>
      </c>
    </row>
    <row r="485" spans="1:14" x14ac:dyDescent="0.3">
      <c r="A485" s="1" t="s">
        <v>1806</v>
      </c>
      <c r="B485" s="1">
        <v>46238</v>
      </c>
      <c r="C485" s="1" t="s">
        <v>21</v>
      </c>
      <c r="D485" s="1" t="s">
        <v>15</v>
      </c>
      <c r="E485" s="1" t="s">
        <v>28</v>
      </c>
      <c r="F485" s="1" t="s">
        <v>29</v>
      </c>
      <c r="G485" s="1" t="s">
        <v>39</v>
      </c>
      <c r="H485" s="1" t="s">
        <v>86</v>
      </c>
      <c r="I485" s="1">
        <v>3</v>
      </c>
      <c r="J485" s="1">
        <v>72</v>
      </c>
      <c r="K485" s="1">
        <v>0.05</v>
      </c>
      <c r="L485" s="1">
        <v>205.2</v>
      </c>
      <c r="M485" s="1" t="str">
        <f t="shared" si="14"/>
        <v>Online</v>
      </c>
      <c r="N485" s="1">
        <f t="shared" si="15"/>
        <v>405</v>
      </c>
    </row>
    <row r="486" spans="1:14" x14ac:dyDescent="0.3">
      <c r="A486" s="1" t="s">
        <v>1807</v>
      </c>
      <c r="B486" s="1">
        <v>46238</v>
      </c>
      <c r="C486" s="1" t="s">
        <v>54</v>
      </c>
      <c r="D486" s="1" t="s">
        <v>27</v>
      </c>
      <c r="E486" s="1" t="s">
        <v>16</v>
      </c>
      <c r="F486" s="1" t="s">
        <v>29</v>
      </c>
      <c r="G486" s="1" t="s">
        <v>55</v>
      </c>
      <c r="H486" s="1" t="s">
        <v>71</v>
      </c>
      <c r="I486" s="1">
        <v>3</v>
      </c>
      <c r="J486" s="1">
        <v>32.49</v>
      </c>
      <c r="K486" s="1">
        <v>0.1</v>
      </c>
      <c r="L486" s="1">
        <v>87.72</v>
      </c>
      <c r="M486" s="1" t="str">
        <f t="shared" si="14"/>
        <v>Online</v>
      </c>
      <c r="N486" s="1">
        <f t="shared" si="15"/>
        <v>267.12</v>
      </c>
    </row>
    <row r="487" spans="1:14" x14ac:dyDescent="0.3">
      <c r="A487" s="1" t="s">
        <v>1808</v>
      </c>
      <c r="B487" s="1">
        <v>46238</v>
      </c>
      <c r="C487" s="1" t="s">
        <v>54</v>
      </c>
      <c r="D487" s="1" t="s">
        <v>27</v>
      </c>
      <c r="E487" s="1" t="s">
        <v>28</v>
      </c>
      <c r="F487" s="1" t="s">
        <v>17</v>
      </c>
      <c r="G487" s="1" t="s">
        <v>189</v>
      </c>
      <c r="H487" s="1" t="s">
        <v>80</v>
      </c>
      <c r="I487" s="1">
        <v>5</v>
      </c>
      <c r="J487" s="1">
        <v>293.76</v>
      </c>
      <c r="K487" s="1">
        <v>0.15</v>
      </c>
      <c r="L487" s="1">
        <v>1248.48</v>
      </c>
      <c r="M487" s="1" t="str">
        <f t="shared" si="14"/>
        <v>Marketplace</v>
      </c>
      <c r="N487" s="1">
        <f t="shared" si="15"/>
        <v>267.12</v>
      </c>
    </row>
    <row r="488" spans="1:14" x14ac:dyDescent="0.3">
      <c r="A488" s="1" t="s">
        <v>1801</v>
      </c>
      <c r="B488" s="1">
        <v>46239</v>
      </c>
      <c r="C488" s="1" t="s">
        <v>47</v>
      </c>
      <c r="D488" s="1" t="s">
        <v>27</v>
      </c>
      <c r="E488" s="1" t="s">
        <v>28</v>
      </c>
      <c r="F488" s="1" t="s">
        <v>36</v>
      </c>
      <c r="G488" s="1" t="s">
        <v>37</v>
      </c>
      <c r="H488" s="1" t="s">
        <v>78</v>
      </c>
      <c r="I488" s="1">
        <v>2</v>
      </c>
      <c r="J488" s="1">
        <v>726.75</v>
      </c>
      <c r="K488" s="1">
        <v>0.03</v>
      </c>
      <c r="L488" s="1">
        <v>1409.9</v>
      </c>
      <c r="M488" s="1" t="str">
        <f t="shared" si="14"/>
        <v>Retail Store</v>
      </c>
      <c r="N488" s="1">
        <f t="shared" si="15"/>
        <v>421.2</v>
      </c>
    </row>
    <row r="489" spans="1:14" x14ac:dyDescent="0.3">
      <c r="A489" s="1" t="s">
        <v>1802</v>
      </c>
      <c r="B489" s="1">
        <v>46239</v>
      </c>
      <c r="C489" s="1" t="s">
        <v>54</v>
      </c>
      <c r="D489" s="1" t="s">
        <v>15</v>
      </c>
      <c r="E489" s="1" t="s">
        <v>28</v>
      </c>
      <c r="F489" s="1" t="s">
        <v>29</v>
      </c>
      <c r="G489" s="1" t="s">
        <v>88</v>
      </c>
      <c r="H489" s="1" t="s">
        <v>56</v>
      </c>
      <c r="I489" s="1">
        <v>2</v>
      </c>
      <c r="J489" s="1">
        <v>56.75</v>
      </c>
      <c r="K489" s="1">
        <v>0.1</v>
      </c>
      <c r="L489" s="1">
        <v>102.14</v>
      </c>
      <c r="M489" s="1" t="str">
        <f t="shared" si="14"/>
        <v>Online</v>
      </c>
      <c r="N489" s="1">
        <f t="shared" si="15"/>
        <v>267.12</v>
      </c>
    </row>
    <row r="490" spans="1:14" x14ac:dyDescent="0.3">
      <c r="A490" s="1" t="s">
        <v>1803</v>
      </c>
      <c r="B490" s="1">
        <v>46239</v>
      </c>
      <c r="C490" s="1" t="s">
        <v>21</v>
      </c>
      <c r="D490" s="1" t="s">
        <v>15</v>
      </c>
      <c r="E490" s="1" t="s">
        <v>16</v>
      </c>
      <c r="F490" s="1" t="s">
        <v>29</v>
      </c>
      <c r="G490" s="1" t="s">
        <v>55</v>
      </c>
      <c r="H490" s="1" t="s">
        <v>86</v>
      </c>
      <c r="I490" s="1">
        <v>3</v>
      </c>
      <c r="J490" s="1">
        <v>33.17</v>
      </c>
      <c r="K490" s="1">
        <v>0.05</v>
      </c>
      <c r="L490" s="1">
        <v>94.55</v>
      </c>
      <c r="M490" s="1" t="str">
        <f t="shared" si="14"/>
        <v>Online</v>
      </c>
      <c r="N490" s="1">
        <f t="shared" si="15"/>
        <v>405</v>
      </c>
    </row>
    <row r="491" spans="1:14" x14ac:dyDescent="0.3">
      <c r="A491" s="1" t="s">
        <v>1804</v>
      </c>
      <c r="B491" s="1">
        <v>46239</v>
      </c>
      <c r="C491" s="1" t="s">
        <v>14</v>
      </c>
      <c r="D491" s="1" t="s">
        <v>15</v>
      </c>
      <c r="E491" s="1" t="s">
        <v>16</v>
      </c>
      <c r="F491" s="1" t="s">
        <v>42</v>
      </c>
      <c r="G491" s="1" t="s">
        <v>48</v>
      </c>
      <c r="H491" s="1" t="s">
        <v>40</v>
      </c>
      <c r="I491" s="1">
        <v>8</v>
      </c>
      <c r="J491" s="1">
        <v>18.36</v>
      </c>
      <c r="K491" s="1">
        <v>0.05</v>
      </c>
      <c r="L491" s="1">
        <v>139.54</v>
      </c>
      <c r="M491" s="1" t="str">
        <f t="shared" si="14"/>
        <v>Online</v>
      </c>
      <c r="N491" s="1">
        <f t="shared" si="15"/>
        <v>16.2</v>
      </c>
    </row>
    <row r="492" spans="1:14" x14ac:dyDescent="0.3">
      <c r="A492" s="1" t="s">
        <v>1805</v>
      </c>
      <c r="B492" s="1">
        <v>46239</v>
      </c>
      <c r="C492" s="1" t="s">
        <v>61</v>
      </c>
      <c r="D492" s="1" t="s">
        <v>22</v>
      </c>
      <c r="E492" s="1" t="s">
        <v>16</v>
      </c>
      <c r="F492" s="1" t="s">
        <v>23</v>
      </c>
      <c r="G492" s="1" t="s">
        <v>116</v>
      </c>
      <c r="H492" s="1" t="s">
        <v>63</v>
      </c>
      <c r="I492" s="1">
        <v>3</v>
      </c>
      <c r="J492" s="1">
        <v>7.2</v>
      </c>
      <c r="K492" s="1">
        <v>0.05</v>
      </c>
      <c r="L492" s="1">
        <v>20.52</v>
      </c>
      <c r="M492" s="1" t="str">
        <f t="shared" si="14"/>
        <v>Retail Store</v>
      </c>
      <c r="N492" s="1">
        <f t="shared" si="15"/>
        <v>62.01</v>
      </c>
    </row>
    <row r="493" spans="1:14" x14ac:dyDescent="0.3">
      <c r="A493" s="1" t="s">
        <v>1795</v>
      </c>
      <c r="B493" s="1">
        <v>46240</v>
      </c>
      <c r="C493" s="1" t="s">
        <v>47</v>
      </c>
      <c r="D493" s="1" t="s">
        <v>15</v>
      </c>
      <c r="E493" s="1" t="s">
        <v>28</v>
      </c>
      <c r="F493" s="1" t="s">
        <v>42</v>
      </c>
      <c r="G493" s="1" t="s">
        <v>48</v>
      </c>
      <c r="H493" s="1" t="s">
        <v>58</v>
      </c>
      <c r="I493" s="1">
        <v>7</v>
      </c>
      <c r="J493" s="1">
        <v>17.100000000000001</v>
      </c>
      <c r="K493" s="1">
        <v>0.03</v>
      </c>
      <c r="L493" s="1">
        <v>116.11</v>
      </c>
      <c r="M493" s="1" t="str">
        <f t="shared" si="14"/>
        <v>Corporate Sales</v>
      </c>
      <c r="N493" s="1">
        <f t="shared" si="15"/>
        <v>421.2</v>
      </c>
    </row>
    <row r="494" spans="1:14" x14ac:dyDescent="0.3">
      <c r="A494" s="1" t="s">
        <v>1796</v>
      </c>
      <c r="B494" s="1">
        <v>46240</v>
      </c>
      <c r="C494" s="1" t="s">
        <v>47</v>
      </c>
      <c r="D494" s="1" t="s">
        <v>15</v>
      </c>
      <c r="E494" s="1" t="s">
        <v>28</v>
      </c>
      <c r="F494" s="1" t="s">
        <v>17</v>
      </c>
      <c r="G494" s="1" t="s">
        <v>98</v>
      </c>
      <c r="H494" s="1" t="s">
        <v>49</v>
      </c>
      <c r="I494" s="1">
        <v>8</v>
      </c>
      <c r="J494" s="1">
        <v>405</v>
      </c>
      <c r="K494" s="1">
        <v>0.1</v>
      </c>
      <c r="L494" s="1">
        <v>2916</v>
      </c>
      <c r="M494" s="1" t="str">
        <f t="shared" si="14"/>
        <v>Retail Store</v>
      </c>
      <c r="N494" s="1">
        <f t="shared" si="15"/>
        <v>421.2</v>
      </c>
    </row>
    <row r="495" spans="1:14" x14ac:dyDescent="0.3">
      <c r="A495" s="1" t="s">
        <v>1797</v>
      </c>
      <c r="B495" s="1">
        <v>46240</v>
      </c>
      <c r="C495" s="1" t="s">
        <v>54</v>
      </c>
      <c r="D495" s="1" t="s">
        <v>27</v>
      </c>
      <c r="E495" s="1" t="s">
        <v>16</v>
      </c>
      <c r="F495" s="1" t="s">
        <v>23</v>
      </c>
      <c r="G495" s="1" t="s">
        <v>103</v>
      </c>
      <c r="H495" s="1" t="s">
        <v>80</v>
      </c>
      <c r="I495" s="1">
        <v>3</v>
      </c>
      <c r="J495" s="1">
        <v>10.8</v>
      </c>
      <c r="K495" s="1">
        <v>0.08</v>
      </c>
      <c r="L495" s="1">
        <v>29.81</v>
      </c>
      <c r="M495" s="1" t="str">
        <f t="shared" si="14"/>
        <v>Marketplace</v>
      </c>
      <c r="N495" s="1">
        <f t="shared" si="15"/>
        <v>267.12</v>
      </c>
    </row>
    <row r="496" spans="1:14" x14ac:dyDescent="0.3">
      <c r="A496" s="1" t="s">
        <v>1798</v>
      </c>
      <c r="B496" s="1">
        <v>46240</v>
      </c>
      <c r="C496" s="1" t="s">
        <v>47</v>
      </c>
      <c r="D496" s="1" t="s">
        <v>22</v>
      </c>
      <c r="E496" s="1" t="s">
        <v>16</v>
      </c>
      <c r="F496" s="1" t="s">
        <v>17</v>
      </c>
      <c r="G496" s="1" t="s">
        <v>62</v>
      </c>
      <c r="H496" s="1" t="s">
        <v>78</v>
      </c>
      <c r="I496" s="1">
        <v>2</v>
      </c>
      <c r="J496" s="1">
        <v>54</v>
      </c>
      <c r="K496" s="1">
        <v>0.15</v>
      </c>
      <c r="L496" s="1">
        <v>91.8</v>
      </c>
      <c r="M496" s="1" t="str">
        <f t="shared" si="14"/>
        <v>Retail Store</v>
      </c>
      <c r="N496" s="1">
        <f t="shared" si="15"/>
        <v>421.2</v>
      </c>
    </row>
    <row r="497" spans="1:14" x14ac:dyDescent="0.3">
      <c r="A497" s="1" t="s">
        <v>1799</v>
      </c>
      <c r="B497" s="1">
        <v>46240</v>
      </c>
      <c r="C497" s="1" t="s">
        <v>54</v>
      </c>
      <c r="D497" s="1" t="s">
        <v>15</v>
      </c>
      <c r="E497" s="1" t="s">
        <v>16</v>
      </c>
      <c r="F497" s="1" t="s">
        <v>17</v>
      </c>
      <c r="G497" s="1" t="s">
        <v>62</v>
      </c>
      <c r="H497" s="1" t="s">
        <v>80</v>
      </c>
      <c r="I497" s="1">
        <v>8</v>
      </c>
      <c r="J497" s="1">
        <v>55.08</v>
      </c>
      <c r="K497" s="1">
        <v>0.2</v>
      </c>
      <c r="L497" s="1">
        <v>352.51</v>
      </c>
      <c r="M497" s="1" t="str">
        <f t="shared" si="14"/>
        <v>Marketplace</v>
      </c>
      <c r="N497" s="1">
        <f t="shared" si="15"/>
        <v>267.12</v>
      </c>
    </row>
    <row r="498" spans="1:14" x14ac:dyDescent="0.3">
      <c r="A498" s="1" t="s">
        <v>1800</v>
      </c>
      <c r="B498" s="1">
        <v>46240</v>
      </c>
      <c r="C498" s="1" t="s">
        <v>54</v>
      </c>
      <c r="D498" s="1" t="s">
        <v>27</v>
      </c>
      <c r="E498" s="1" t="s">
        <v>16</v>
      </c>
      <c r="F498" s="1" t="s">
        <v>42</v>
      </c>
      <c r="G498" s="1" t="s">
        <v>48</v>
      </c>
      <c r="H498" s="1" t="s">
        <v>80</v>
      </c>
      <c r="I498" s="1">
        <v>2</v>
      </c>
      <c r="J498" s="1">
        <v>18</v>
      </c>
      <c r="K498" s="1">
        <v>0.08</v>
      </c>
      <c r="L498" s="1">
        <v>33.119999999999997</v>
      </c>
      <c r="M498" s="1" t="str">
        <f t="shared" si="14"/>
        <v>Marketplace</v>
      </c>
      <c r="N498" s="1">
        <f t="shared" si="15"/>
        <v>267.12</v>
      </c>
    </row>
    <row r="499" spans="1:14" x14ac:dyDescent="0.3">
      <c r="A499" s="1" t="s">
        <v>1791</v>
      </c>
      <c r="B499" s="1">
        <v>46241</v>
      </c>
      <c r="C499" s="1" t="s">
        <v>54</v>
      </c>
      <c r="D499" s="1" t="s">
        <v>15</v>
      </c>
      <c r="E499" s="1" t="s">
        <v>28</v>
      </c>
      <c r="F499" s="1" t="s">
        <v>82</v>
      </c>
      <c r="G499" s="1" t="s">
        <v>150</v>
      </c>
      <c r="H499" s="1" t="s">
        <v>71</v>
      </c>
      <c r="I499" s="1">
        <v>2</v>
      </c>
      <c r="J499" s="1">
        <v>2736</v>
      </c>
      <c r="K499" s="1">
        <v>0</v>
      </c>
      <c r="L499" s="1">
        <v>5472</v>
      </c>
      <c r="M499" s="1" t="str">
        <f t="shared" si="14"/>
        <v>Online</v>
      </c>
      <c r="N499" s="1">
        <f t="shared" si="15"/>
        <v>267.12</v>
      </c>
    </row>
    <row r="500" spans="1:14" x14ac:dyDescent="0.3">
      <c r="A500" s="1" t="s">
        <v>1792</v>
      </c>
      <c r="B500" s="1">
        <v>46241</v>
      </c>
      <c r="C500" s="1" t="s">
        <v>14</v>
      </c>
      <c r="D500" s="1" t="s">
        <v>27</v>
      </c>
      <c r="E500" s="1" t="s">
        <v>16</v>
      </c>
      <c r="F500" s="1" t="s">
        <v>36</v>
      </c>
      <c r="G500" s="1" t="s">
        <v>119</v>
      </c>
      <c r="H500" s="1" t="s">
        <v>40</v>
      </c>
      <c r="I500" s="1">
        <v>2</v>
      </c>
      <c r="J500" s="1">
        <v>655.20000000000005</v>
      </c>
      <c r="K500" s="1">
        <v>0.1</v>
      </c>
      <c r="L500" s="1">
        <v>1179.3599999999999</v>
      </c>
      <c r="M500" s="1" t="str">
        <f t="shared" si="14"/>
        <v>Online</v>
      </c>
      <c r="N500" s="1">
        <f t="shared" si="15"/>
        <v>16.2</v>
      </c>
    </row>
    <row r="501" spans="1:14" x14ac:dyDescent="0.3">
      <c r="A501" s="1" t="s">
        <v>1793</v>
      </c>
      <c r="B501" s="1">
        <v>46241</v>
      </c>
      <c r="C501" s="1" t="s">
        <v>54</v>
      </c>
      <c r="D501" s="1" t="s">
        <v>27</v>
      </c>
      <c r="E501" s="1" t="s">
        <v>16</v>
      </c>
      <c r="F501" s="1" t="s">
        <v>23</v>
      </c>
      <c r="G501" s="1" t="s">
        <v>24</v>
      </c>
      <c r="H501" s="1" t="s">
        <v>56</v>
      </c>
      <c r="I501" s="1">
        <v>2</v>
      </c>
      <c r="J501" s="1">
        <v>22.5</v>
      </c>
      <c r="K501" s="1">
        <v>0.08</v>
      </c>
      <c r="L501" s="1">
        <v>41.4</v>
      </c>
      <c r="M501" s="1" t="str">
        <f t="shared" si="14"/>
        <v>Online</v>
      </c>
      <c r="N501" s="1">
        <f t="shared" si="15"/>
        <v>267.12</v>
      </c>
    </row>
    <row r="502" spans="1:14" x14ac:dyDescent="0.3">
      <c r="A502" s="1" t="s">
        <v>1794</v>
      </c>
      <c r="B502" s="1">
        <v>46241</v>
      </c>
      <c r="C502" s="1" t="s">
        <v>47</v>
      </c>
      <c r="D502" s="1" t="s">
        <v>35</v>
      </c>
      <c r="E502" s="1" t="s">
        <v>16</v>
      </c>
      <c r="F502" s="1" t="s">
        <v>23</v>
      </c>
      <c r="G502" s="1" t="s">
        <v>24</v>
      </c>
      <c r="H502" s="1" t="s">
        <v>78</v>
      </c>
      <c r="I502" s="1">
        <v>5</v>
      </c>
      <c r="J502" s="1">
        <v>22.5</v>
      </c>
      <c r="K502" s="1">
        <v>0.1</v>
      </c>
      <c r="L502" s="1">
        <v>101.25</v>
      </c>
      <c r="M502" s="1" t="str">
        <f t="shared" si="14"/>
        <v>Retail Store</v>
      </c>
      <c r="N502" s="1">
        <f t="shared" si="15"/>
        <v>421.2</v>
      </c>
    </row>
    <row r="503" spans="1:14" x14ac:dyDescent="0.3">
      <c r="A503" s="1" t="s">
        <v>1787</v>
      </c>
      <c r="B503" s="1">
        <v>46242</v>
      </c>
      <c r="C503" s="1" t="s">
        <v>61</v>
      </c>
      <c r="D503" s="1" t="s">
        <v>22</v>
      </c>
      <c r="E503" s="1" t="s">
        <v>28</v>
      </c>
      <c r="F503" s="1" t="s">
        <v>29</v>
      </c>
      <c r="G503" s="1" t="s">
        <v>30</v>
      </c>
      <c r="H503" s="1" t="s">
        <v>63</v>
      </c>
      <c r="I503" s="1">
        <v>3</v>
      </c>
      <c r="J503" s="1">
        <v>50.49</v>
      </c>
      <c r="K503" s="1">
        <v>0.08</v>
      </c>
      <c r="L503" s="1">
        <v>139.35</v>
      </c>
      <c r="M503" s="1" t="str">
        <f t="shared" si="14"/>
        <v>Retail Store</v>
      </c>
      <c r="N503" s="1">
        <f t="shared" si="15"/>
        <v>62.01</v>
      </c>
    </row>
    <row r="504" spans="1:14" x14ac:dyDescent="0.3">
      <c r="A504" s="1" t="s">
        <v>1788</v>
      </c>
      <c r="B504" s="1">
        <v>46242</v>
      </c>
      <c r="C504" s="1" t="s">
        <v>54</v>
      </c>
      <c r="D504" s="1" t="s">
        <v>15</v>
      </c>
      <c r="E504" s="1" t="s">
        <v>28</v>
      </c>
      <c r="F504" s="1" t="s">
        <v>36</v>
      </c>
      <c r="G504" s="1" t="s">
        <v>70</v>
      </c>
      <c r="H504" s="1" t="s">
        <v>71</v>
      </c>
      <c r="I504" s="1">
        <v>2</v>
      </c>
      <c r="J504" s="1">
        <v>522</v>
      </c>
      <c r="K504" s="1">
        <v>0</v>
      </c>
      <c r="L504" s="1">
        <v>1044</v>
      </c>
      <c r="M504" s="1" t="str">
        <f t="shared" si="14"/>
        <v>Online</v>
      </c>
      <c r="N504" s="1">
        <f t="shared" si="15"/>
        <v>267.12</v>
      </c>
    </row>
    <row r="505" spans="1:14" x14ac:dyDescent="0.3">
      <c r="A505" s="1" t="s">
        <v>1789</v>
      </c>
      <c r="B505" s="1">
        <v>46242</v>
      </c>
      <c r="C505" s="1" t="s">
        <v>14</v>
      </c>
      <c r="D505" s="1" t="s">
        <v>22</v>
      </c>
      <c r="E505" s="1" t="s">
        <v>16</v>
      </c>
      <c r="F505" s="1" t="s">
        <v>36</v>
      </c>
      <c r="G505" s="1" t="s">
        <v>70</v>
      </c>
      <c r="H505" s="1" t="s">
        <v>40</v>
      </c>
      <c r="I505" s="1">
        <v>2</v>
      </c>
      <c r="J505" s="1">
        <v>506.34</v>
      </c>
      <c r="K505" s="1">
        <v>0.15</v>
      </c>
      <c r="L505" s="1">
        <v>860.78</v>
      </c>
      <c r="M505" s="1" t="str">
        <f t="shared" si="14"/>
        <v>Online</v>
      </c>
      <c r="N505" s="1">
        <f t="shared" si="15"/>
        <v>16.2</v>
      </c>
    </row>
    <row r="506" spans="1:14" x14ac:dyDescent="0.3">
      <c r="A506" s="1" t="s">
        <v>1790</v>
      </c>
      <c r="B506" s="1">
        <v>46242</v>
      </c>
      <c r="C506" s="1" t="s">
        <v>61</v>
      </c>
      <c r="D506" s="1" t="s">
        <v>27</v>
      </c>
      <c r="E506" s="1" t="s">
        <v>16</v>
      </c>
      <c r="F506" s="1" t="s">
        <v>42</v>
      </c>
      <c r="G506" s="1" t="s">
        <v>48</v>
      </c>
      <c r="H506" s="1" t="s">
        <v>63</v>
      </c>
      <c r="I506" s="1">
        <v>5</v>
      </c>
      <c r="J506" s="1">
        <v>18.72</v>
      </c>
      <c r="K506" s="1">
        <v>0.15</v>
      </c>
      <c r="L506" s="1">
        <v>79.56</v>
      </c>
      <c r="M506" s="1" t="str">
        <f t="shared" si="14"/>
        <v>Retail Store</v>
      </c>
      <c r="N506" s="1">
        <f t="shared" si="15"/>
        <v>62.01</v>
      </c>
    </row>
    <row r="507" spans="1:14" x14ac:dyDescent="0.3">
      <c r="A507" s="1" t="s">
        <v>1782</v>
      </c>
      <c r="B507" s="1">
        <v>46243</v>
      </c>
      <c r="C507" s="1" t="s">
        <v>21</v>
      </c>
      <c r="D507" s="1" t="s">
        <v>15</v>
      </c>
      <c r="E507" s="1" t="s">
        <v>28</v>
      </c>
      <c r="F507" s="1" t="s">
        <v>29</v>
      </c>
      <c r="G507" s="1" t="s">
        <v>33</v>
      </c>
      <c r="H507" s="1" t="s">
        <v>25</v>
      </c>
      <c r="I507" s="1">
        <v>2</v>
      </c>
      <c r="J507" s="1">
        <v>13.77</v>
      </c>
      <c r="K507" s="1">
        <v>0.05</v>
      </c>
      <c r="L507" s="1">
        <v>26.16</v>
      </c>
      <c r="M507" s="1" t="str">
        <f t="shared" si="14"/>
        <v>Marketplace</v>
      </c>
      <c r="N507" s="1">
        <f t="shared" si="15"/>
        <v>405</v>
      </c>
    </row>
    <row r="508" spans="1:14" x14ac:dyDescent="0.3">
      <c r="A508" s="1" t="s">
        <v>1783</v>
      </c>
      <c r="B508" s="1">
        <v>46243</v>
      </c>
      <c r="C508" s="1" t="s">
        <v>54</v>
      </c>
      <c r="D508" s="1" t="s">
        <v>15</v>
      </c>
      <c r="E508" s="1" t="s">
        <v>28</v>
      </c>
      <c r="F508" s="1" t="s">
        <v>36</v>
      </c>
      <c r="G508" s="1" t="s">
        <v>77</v>
      </c>
      <c r="H508" s="1" t="s">
        <v>56</v>
      </c>
      <c r="I508" s="1">
        <v>2</v>
      </c>
      <c r="J508" s="1">
        <v>1431</v>
      </c>
      <c r="K508" s="1">
        <v>0</v>
      </c>
      <c r="L508" s="1">
        <v>2862</v>
      </c>
      <c r="M508" s="1" t="str">
        <f t="shared" si="14"/>
        <v>Online</v>
      </c>
      <c r="N508" s="1">
        <f t="shared" si="15"/>
        <v>267.12</v>
      </c>
    </row>
    <row r="509" spans="1:14" x14ac:dyDescent="0.3">
      <c r="A509" s="1" t="s">
        <v>1784</v>
      </c>
      <c r="B509" s="1">
        <v>46243</v>
      </c>
      <c r="C509" s="1" t="s">
        <v>47</v>
      </c>
      <c r="D509" s="1" t="s">
        <v>22</v>
      </c>
      <c r="E509" s="1" t="s">
        <v>16</v>
      </c>
      <c r="F509" s="1" t="s">
        <v>29</v>
      </c>
      <c r="G509" s="1" t="s">
        <v>51</v>
      </c>
      <c r="H509" s="1" t="s">
        <v>49</v>
      </c>
      <c r="I509" s="1">
        <v>3</v>
      </c>
      <c r="J509" s="1">
        <v>41.31</v>
      </c>
      <c r="K509" s="1">
        <v>0</v>
      </c>
      <c r="L509" s="1">
        <v>123.93</v>
      </c>
      <c r="M509" s="1" t="str">
        <f t="shared" si="14"/>
        <v>Retail Store</v>
      </c>
      <c r="N509" s="1">
        <f t="shared" si="15"/>
        <v>421.2</v>
      </c>
    </row>
    <row r="510" spans="1:14" x14ac:dyDescent="0.3">
      <c r="A510" s="1" t="s">
        <v>1785</v>
      </c>
      <c r="B510" s="1">
        <v>46243</v>
      </c>
      <c r="C510" s="1" t="s">
        <v>61</v>
      </c>
      <c r="D510" s="1" t="s">
        <v>27</v>
      </c>
      <c r="E510" s="1" t="s">
        <v>28</v>
      </c>
      <c r="F510" s="1" t="s">
        <v>36</v>
      </c>
      <c r="G510" s="1" t="s">
        <v>77</v>
      </c>
      <c r="H510" s="1" t="s">
        <v>63</v>
      </c>
      <c r="I510" s="1">
        <v>2</v>
      </c>
      <c r="J510" s="1">
        <v>1350</v>
      </c>
      <c r="K510" s="1">
        <v>0.03</v>
      </c>
      <c r="L510" s="1">
        <v>2619</v>
      </c>
      <c r="M510" s="1" t="str">
        <f t="shared" si="14"/>
        <v>Retail Store</v>
      </c>
      <c r="N510" s="1">
        <f t="shared" si="15"/>
        <v>62.01</v>
      </c>
    </row>
    <row r="511" spans="1:14" x14ac:dyDescent="0.3">
      <c r="A511" s="1" t="s">
        <v>1786</v>
      </c>
      <c r="B511" s="1">
        <v>46243</v>
      </c>
      <c r="C511" s="1" t="s">
        <v>21</v>
      </c>
      <c r="D511" s="1" t="s">
        <v>15</v>
      </c>
      <c r="E511" s="1" t="s">
        <v>16</v>
      </c>
      <c r="F511" s="1" t="s">
        <v>29</v>
      </c>
      <c r="G511" s="1" t="s">
        <v>88</v>
      </c>
      <c r="H511" s="1" t="s">
        <v>44</v>
      </c>
      <c r="I511" s="1">
        <v>5</v>
      </c>
      <c r="J511" s="1">
        <v>60.84</v>
      </c>
      <c r="K511" s="1">
        <v>0.08</v>
      </c>
      <c r="L511" s="1">
        <v>279.86</v>
      </c>
      <c r="M511" s="1" t="str">
        <f t="shared" si="14"/>
        <v>Retail Store</v>
      </c>
      <c r="N511" s="1">
        <f t="shared" si="15"/>
        <v>405</v>
      </c>
    </row>
    <row r="512" spans="1:14" x14ac:dyDescent="0.3">
      <c r="A512" s="1" t="s">
        <v>1774</v>
      </c>
      <c r="B512" s="1">
        <v>46244</v>
      </c>
      <c r="C512" s="1" t="s">
        <v>54</v>
      </c>
      <c r="D512" s="1" t="s">
        <v>15</v>
      </c>
      <c r="E512" s="1" t="s">
        <v>16</v>
      </c>
      <c r="F512" s="1" t="s">
        <v>29</v>
      </c>
      <c r="G512" s="1" t="s">
        <v>51</v>
      </c>
      <c r="H512" s="1" t="s">
        <v>80</v>
      </c>
      <c r="I512" s="1">
        <v>2</v>
      </c>
      <c r="J512" s="1">
        <v>40.5</v>
      </c>
      <c r="K512" s="1">
        <v>0.1</v>
      </c>
      <c r="L512" s="1">
        <v>72.900000000000006</v>
      </c>
      <c r="M512" s="1" t="str">
        <f t="shared" si="14"/>
        <v>Marketplace</v>
      </c>
      <c r="N512" s="1">
        <f t="shared" si="15"/>
        <v>267.12</v>
      </c>
    </row>
    <row r="513" spans="1:14" x14ac:dyDescent="0.3">
      <c r="A513" s="1" t="s">
        <v>1775</v>
      </c>
      <c r="B513" s="1">
        <v>46244</v>
      </c>
      <c r="C513" s="1" t="s">
        <v>14</v>
      </c>
      <c r="D513" s="1" t="s">
        <v>15</v>
      </c>
      <c r="E513" s="1" t="s">
        <v>16</v>
      </c>
      <c r="F513" s="1" t="s">
        <v>36</v>
      </c>
      <c r="G513" s="1" t="s">
        <v>37</v>
      </c>
      <c r="H513" s="1" t="s">
        <v>40</v>
      </c>
      <c r="I513" s="1">
        <v>3</v>
      </c>
      <c r="J513" s="1">
        <v>780.3</v>
      </c>
      <c r="K513" s="1">
        <v>0.08</v>
      </c>
      <c r="L513" s="1">
        <v>2153.63</v>
      </c>
      <c r="M513" s="1" t="str">
        <f t="shared" si="14"/>
        <v>Online</v>
      </c>
      <c r="N513" s="1">
        <f t="shared" si="15"/>
        <v>16.2</v>
      </c>
    </row>
    <row r="514" spans="1:14" x14ac:dyDescent="0.3">
      <c r="A514" s="1" t="s">
        <v>1776</v>
      </c>
      <c r="B514" s="1">
        <v>46244</v>
      </c>
      <c r="C514" s="1" t="s">
        <v>61</v>
      </c>
      <c r="D514" s="1" t="s">
        <v>15</v>
      </c>
      <c r="E514" s="1" t="s">
        <v>16</v>
      </c>
      <c r="F514" s="1" t="s">
        <v>29</v>
      </c>
      <c r="G514" s="1" t="s">
        <v>33</v>
      </c>
      <c r="H514" s="1" t="s">
        <v>63</v>
      </c>
      <c r="I514" s="1">
        <v>5</v>
      </c>
      <c r="J514" s="1">
        <v>12.83</v>
      </c>
      <c r="K514" s="1">
        <v>0.15</v>
      </c>
      <c r="L514" s="1">
        <v>54.51</v>
      </c>
      <c r="M514" s="1" t="str">
        <f t="shared" ref="M514:M577" si="16">INDEX(D:D,MATCH(H514,H:H,0))</f>
        <v>Retail Store</v>
      </c>
      <c r="N514" s="1">
        <f t="shared" ref="N514:N577" si="17">VLOOKUP(C:C,C:J,8,FALSE)</f>
        <v>62.01</v>
      </c>
    </row>
    <row r="515" spans="1:14" x14ac:dyDescent="0.3">
      <c r="A515" s="1" t="s">
        <v>1777</v>
      </c>
      <c r="B515" s="1">
        <v>46244</v>
      </c>
      <c r="C515" s="1" t="s">
        <v>54</v>
      </c>
      <c r="D515" s="1" t="s">
        <v>15</v>
      </c>
      <c r="E515" s="1" t="s">
        <v>16</v>
      </c>
      <c r="F515" s="1" t="s">
        <v>17</v>
      </c>
      <c r="G515" s="1" t="s">
        <v>189</v>
      </c>
      <c r="H515" s="1" t="s">
        <v>56</v>
      </c>
      <c r="I515" s="1">
        <v>5</v>
      </c>
      <c r="J515" s="1">
        <v>299.52</v>
      </c>
      <c r="K515" s="1">
        <v>0.2</v>
      </c>
      <c r="L515" s="1">
        <v>1198.08</v>
      </c>
      <c r="M515" s="1" t="str">
        <f t="shared" si="16"/>
        <v>Online</v>
      </c>
      <c r="N515" s="1">
        <f t="shared" si="17"/>
        <v>267.12</v>
      </c>
    </row>
    <row r="516" spans="1:14" x14ac:dyDescent="0.3">
      <c r="A516" s="1" t="s">
        <v>1778</v>
      </c>
      <c r="B516" s="1">
        <v>46244</v>
      </c>
      <c r="C516" s="1" t="s">
        <v>14</v>
      </c>
      <c r="D516" s="1" t="s">
        <v>27</v>
      </c>
      <c r="E516" s="1" t="s">
        <v>16</v>
      </c>
      <c r="F516" s="1" t="s">
        <v>23</v>
      </c>
      <c r="G516" s="1" t="s">
        <v>103</v>
      </c>
      <c r="H516" s="1" t="s">
        <v>31</v>
      </c>
      <c r="I516" s="1">
        <v>2</v>
      </c>
      <c r="J516" s="1">
        <v>10.8</v>
      </c>
      <c r="K516" s="1">
        <v>0.15</v>
      </c>
      <c r="L516" s="1">
        <v>18.36</v>
      </c>
      <c r="M516" s="1" t="str">
        <f t="shared" si="16"/>
        <v>Online</v>
      </c>
      <c r="N516" s="1">
        <f t="shared" si="17"/>
        <v>16.2</v>
      </c>
    </row>
    <row r="517" spans="1:14" x14ac:dyDescent="0.3">
      <c r="A517" s="1" t="s">
        <v>1779</v>
      </c>
      <c r="B517" s="1">
        <v>46244</v>
      </c>
      <c r="C517" s="1" t="s">
        <v>61</v>
      </c>
      <c r="D517" s="1" t="s">
        <v>15</v>
      </c>
      <c r="E517" s="1" t="s">
        <v>28</v>
      </c>
      <c r="F517" s="1" t="s">
        <v>82</v>
      </c>
      <c r="G517" s="1" t="s">
        <v>85</v>
      </c>
      <c r="H517" s="1" t="s">
        <v>112</v>
      </c>
      <c r="I517" s="1">
        <v>2</v>
      </c>
      <c r="J517" s="1">
        <v>1652.4</v>
      </c>
      <c r="K517" s="1">
        <v>0.03</v>
      </c>
      <c r="L517" s="1">
        <v>3205.66</v>
      </c>
      <c r="M517" s="1" t="str">
        <f t="shared" si="16"/>
        <v>Online</v>
      </c>
      <c r="N517" s="1">
        <f t="shared" si="17"/>
        <v>62.01</v>
      </c>
    </row>
    <row r="518" spans="1:14" x14ac:dyDescent="0.3">
      <c r="A518" s="1" t="s">
        <v>1780</v>
      </c>
      <c r="B518" s="1">
        <v>46244</v>
      </c>
      <c r="C518" s="1" t="s">
        <v>14</v>
      </c>
      <c r="D518" s="1" t="s">
        <v>15</v>
      </c>
      <c r="E518" s="1" t="s">
        <v>16</v>
      </c>
      <c r="F518" s="1" t="s">
        <v>17</v>
      </c>
      <c r="G518" s="1" t="s">
        <v>189</v>
      </c>
      <c r="H518" s="1" t="s">
        <v>40</v>
      </c>
      <c r="I518" s="1">
        <v>7</v>
      </c>
      <c r="J518" s="1">
        <v>279.36</v>
      </c>
      <c r="K518" s="1">
        <v>0.08</v>
      </c>
      <c r="L518" s="1">
        <v>1799.08</v>
      </c>
      <c r="M518" s="1" t="str">
        <f t="shared" si="16"/>
        <v>Online</v>
      </c>
      <c r="N518" s="1">
        <f t="shared" si="17"/>
        <v>16.2</v>
      </c>
    </row>
    <row r="519" spans="1:14" x14ac:dyDescent="0.3">
      <c r="A519" s="1" t="s">
        <v>1781</v>
      </c>
      <c r="B519" s="1">
        <v>46244</v>
      </c>
      <c r="C519" s="1" t="s">
        <v>54</v>
      </c>
      <c r="D519" s="1" t="s">
        <v>35</v>
      </c>
      <c r="E519" s="1" t="s">
        <v>16</v>
      </c>
      <c r="F519" s="1" t="s">
        <v>82</v>
      </c>
      <c r="G519" s="1" t="s">
        <v>83</v>
      </c>
      <c r="H519" s="1" t="s">
        <v>71</v>
      </c>
      <c r="I519" s="1">
        <v>3</v>
      </c>
      <c r="J519" s="1">
        <v>3780</v>
      </c>
      <c r="K519" s="1">
        <v>0.15</v>
      </c>
      <c r="L519" s="1">
        <v>9639</v>
      </c>
      <c r="M519" s="1" t="str">
        <f t="shared" si="16"/>
        <v>Online</v>
      </c>
      <c r="N519" s="1">
        <f t="shared" si="17"/>
        <v>267.12</v>
      </c>
    </row>
    <row r="520" spans="1:14" x14ac:dyDescent="0.3">
      <c r="A520" s="1" t="s">
        <v>1768</v>
      </c>
      <c r="B520" s="1">
        <v>46245</v>
      </c>
      <c r="C520" s="1" t="s">
        <v>14</v>
      </c>
      <c r="D520" s="1" t="s">
        <v>15</v>
      </c>
      <c r="E520" s="1" t="s">
        <v>28</v>
      </c>
      <c r="F520" s="1" t="s">
        <v>36</v>
      </c>
      <c r="G520" s="1" t="s">
        <v>77</v>
      </c>
      <c r="H520" s="1" t="s">
        <v>40</v>
      </c>
      <c r="I520" s="1">
        <v>3</v>
      </c>
      <c r="J520" s="1">
        <v>1404</v>
      </c>
      <c r="K520" s="1">
        <v>0.08</v>
      </c>
      <c r="L520" s="1">
        <v>3875.04</v>
      </c>
      <c r="M520" s="1" t="str">
        <f t="shared" si="16"/>
        <v>Online</v>
      </c>
      <c r="N520" s="1">
        <f t="shared" si="17"/>
        <v>16.2</v>
      </c>
    </row>
    <row r="521" spans="1:14" x14ac:dyDescent="0.3">
      <c r="A521" s="1" t="s">
        <v>1769</v>
      </c>
      <c r="B521" s="1">
        <v>46245</v>
      </c>
      <c r="C521" s="1" t="s">
        <v>61</v>
      </c>
      <c r="D521" s="1" t="s">
        <v>27</v>
      </c>
      <c r="E521" s="1" t="s">
        <v>16</v>
      </c>
      <c r="F521" s="1" t="s">
        <v>23</v>
      </c>
      <c r="G521" s="1" t="s">
        <v>103</v>
      </c>
      <c r="H521" s="1" t="s">
        <v>73</v>
      </c>
      <c r="I521" s="1">
        <v>3</v>
      </c>
      <c r="J521" s="1">
        <v>10.48</v>
      </c>
      <c r="K521" s="1">
        <v>0.08</v>
      </c>
      <c r="L521" s="1">
        <v>28.91</v>
      </c>
      <c r="M521" s="1" t="str">
        <f t="shared" si="16"/>
        <v>Online</v>
      </c>
      <c r="N521" s="1">
        <f t="shared" si="17"/>
        <v>62.01</v>
      </c>
    </row>
    <row r="522" spans="1:14" x14ac:dyDescent="0.3">
      <c r="A522" s="1" t="s">
        <v>1770</v>
      </c>
      <c r="B522" s="1">
        <v>46245</v>
      </c>
      <c r="C522" s="1" t="s">
        <v>14</v>
      </c>
      <c r="D522" s="1" t="s">
        <v>27</v>
      </c>
      <c r="E522" s="1" t="s">
        <v>16</v>
      </c>
      <c r="F522" s="1" t="s">
        <v>36</v>
      </c>
      <c r="G522" s="1" t="s">
        <v>70</v>
      </c>
      <c r="H522" s="1" t="s">
        <v>40</v>
      </c>
      <c r="I522" s="1">
        <v>2</v>
      </c>
      <c r="J522" s="1">
        <v>522</v>
      </c>
      <c r="K522" s="1">
        <v>0.08</v>
      </c>
      <c r="L522" s="1">
        <v>960.48</v>
      </c>
      <c r="M522" s="1" t="str">
        <f t="shared" si="16"/>
        <v>Online</v>
      </c>
      <c r="N522" s="1">
        <f t="shared" si="17"/>
        <v>16.2</v>
      </c>
    </row>
    <row r="523" spans="1:14" x14ac:dyDescent="0.3">
      <c r="A523" s="1" t="s">
        <v>1771</v>
      </c>
      <c r="B523" s="1">
        <v>46245</v>
      </c>
      <c r="C523" s="1" t="s">
        <v>47</v>
      </c>
      <c r="D523" s="1" t="s">
        <v>15</v>
      </c>
      <c r="E523" s="1" t="s">
        <v>28</v>
      </c>
      <c r="F523" s="1" t="s">
        <v>29</v>
      </c>
      <c r="G523" s="1" t="s">
        <v>33</v>
      </c>
      <c r="H523" s="1" t="s">
        <v>49</v>
      </c>
      <c r="I523" s="1">
        <v>5</v>
      </c>
      <c r="J523" s="1">
        <v>13.1</v>
      </c>
      <c r="K523" s="1">
        <v>0.1</v>
      </c>
      <c r="L523" s="1">
        <v>58.93</v>
      </c>
      <c r="M523" s="1" t="str">
        <f t="shared" si="16"/>
        <v>Retail Store</v>
      </c>
      <c r="N523" s="1">
        <f t="shared" si="17"/>
        <v>421.2</v>
      </c>
    </row>
    <row r="524" spans="1:14" x14ac:dyDescent="0.3">
      <c r="A524" s="1" t="s">
        <v>1772</v>
      </c>
      <c r="B524" s="1">
        <v>46245</v>
      </c>
      <c r="C524" s="1" t="s">
        <v>21</v>
      </c>
      <c r="D524" s="1" t="s">
        <v>27</v>
      </c>
      <c r="E524" s="1" t="s">
        <v>28</v>
      </c>
      <c r="F524" s="1" t="s">
        <v>36</v>
      </c>
      <c r="G524" s="1" t="s">
        <v>119</v>
      </c>
      <c r="H524" s="1" t="s">
        <v>86</v>
      </c>
      <c r="I524" s="1">
        <v>2</v>
      </c>
      <c r="J524" s="1">
        <v>611.1</v>
      </c>
      <c r="K524" s="1">
        <v>0.1</v>
      </c>
      <c r="L524" s="1">
        <v>1099.98</v>
      </c>
      <c r="M524" s="1" t="str">
        <f t="shared" si="16"/>
        <v>Online</v>
      </c>
      <c r="N524" s="1">
        <f t="shared" si="17"/>
        <v>405</v>
      </c>
    </row>
    <row r="525" spans="1:14" x14ac:dyDescent="0.3">
      <c r="A525" s="1" t="s">
        <v>1773</v>
      </c>
      <c r="B525" s="1">
        <v>46245</v>
      </c>
      <c r="C525" s="1" t="s">
        <v>54</v>
      </c>
      <c r="D525" s="1" t="s">
        <v>22</v>
      </c>
      <c r="E525" s="1" t="s">
        <v>16</v>
      </c>
      <c r="F525" s="1" t="s">
        <v>29</v>
      </c>
      <c r="G525" s="1" t="s">
        <v>30</v>
      </c>
      <c r="H525" s="1" t="s">
        <v>71</v>
      </c>
      <c r="I525" s="1">
        <v>3</v>
      </c>
      <c r="J525" s="1">
        <v>49.5</v>
      </c>
      <c r="K525" s="1">
        <v>0.15</v>
      </c>
      <c r="L525" s="1">
        <v>126.23</v>
      </c>
      <c r="M525" s="1" t="str">
        <f t="shared" si="16"/>
        <v>Online</v>
      </c>
      <c r="N525" s="1">
        <f t="shared" si="17"/>
        <v>267.12</v>
      </c>
    </row>
    <row r="526" spans="1:14" x14ac:dyDescent="0.3">
      <c r="A526" s="1" t="s">
        <v>1763</v>
      </c>
      <c r="B526" s="1">
        <v>46246</v>
      </c>
      <c r="C526" s="1" t="s">
        <v>61</v>
      </c>
      <c r="D526" s="1" t="s">
        <v>27</v>
      </c>
      <c r="E526" s="1" t="s">
        <v>28</v>
      </c>
      <c r="F526" s="1" t="s">
        <v>17</v>
      </c>
      <c r="G526" s="1" t="s">
        <v>18</v>
      </c>
      <c r="H526" s="1" t="s">
        <v>73</v>
      </c>
      <c r="I526" s="1">
        <v>5</v>
      </c>
      <c r="J526" s="1">
        <v>76.95</v>
      </c>
      <c r="K526" s="1">
        <v>0.15</v>
      </c>
      <c r="L526" s="1">
        <v>327.04000000000002</v>
      </c>
      <c r="M526" s="1" t="str">
        <f t="shared" si="16"/>
        <v>Online</v>
      </c>
      <c r="N526" s="1">
        <f t="shared" si="17"/>
        <v>62.01</v>
      </c>
    </row>
    <row r="527" spans="1:14" x14ac:dyDescent="0.3">
      <c r="A527" s="1" t="s">
        <v>1764</v>
      </c>
      <c r="B527" s="1">
        <v>46246</v>
      </c>
      <c r="C527" s="1" t="s">
        <v>61</v>
      </c>
      <c r="D527" s="1" t="s">
        <v>27</v>
      </c>
      <c r="E527" s="1" t="s">
        <v>16</v>
      </c>
      <c r="F527" s="1" t="s">
        <v>29</v>
      </c>
      <c r="G527" s="1" t="s">
        <v>55</v>
      </c>
      <c r="H527" s="1" t="s">
        <v>73</v>
      </c>
      <c r="I527" s="1">
        <v>8</v>
      </c>
      <c r="J527" s="1">
        <v>34.200000000000003</v>
      </c>
      <c r="K527" s="1">
        <v>0.15</v>
      </c>
      <c r="L527" s="1">
        <v>232.56</v>
      </c>
      <c r="M527" s="1" t="str">
        <f t="shared" si="16"/>
        <v>Online</v>
      </c>
      <c r="N527" s="1">
        <f t="shared" si="17"/>
        <v>62.01</v>
      </c>
    </row>
    <row r="528" spans="1:14" x14ac:dyDescent="0.3">
      <c r="A528" s="1" t="s">
        <v>1765</v>
      </c>
      <c r="B528" s="1">
        <v>46246</v>
      </c>
      <c r="C528" s="1" t="s">
        <v>61</v>
      </c>
      <c r="D528" s="1" t="s">
        <v>22</v>
      </c>
      <c r="E528" s="1" t="s">
        <v>16</v>
      </c>
      <c r="F528" s="1" t="s">
        <v>29</v>
      </c>
      <c r="G528" s="1" t="s">
        <v>51</v>
      </c>
      <c r="H528" s="1" t="s">
        <v>63</v>
      </c>
      <c r="I528" s="1">
        <v>3</v>
      </c>
      <c r="J528" s="1">
        <v>41.31</v>
      </c>
      <c r="K528" s="1">
        <v>0.08</v>
      </c>
      <c r="L528" s="1">
        <v>114.02</v>
      </c>
      <c r="M528" s="1" t="str">
        <f t="shared" si="16"/>
        <v>Retail Store</v>
      </c>
      <c r="N528" s="1">
        <f t="shared" si="17"/>
        <v>62.01</v>
      </c>
    </row>
    <row r="529" spans="1:14" x14ac:dyDescent="0.3">
      <c r="A529" s="1" t="s">
        <v>1766</v>
      </c>
      <c r="B529" s="1">
        <v>46246</v>
      </c>
      <c r="C529" s="1" t="s">
        <v>61</v>
      </c>
      <c r="D529" s="1" t="s">
        <v>27</v>
      </c>
      <c r="E529" s="1" t="s">
        <v>28</v>
      </c>
      <c r="F529" s="1" t="s">
        <v>82</v>
      </c>
      <c r="G529" s="1" t="s">
        <v>114</v>
      </c>
      <c r="H529" s="1" t="s">
        <v>112</v>
      </c>
      <c r="I529" s="1">
        <v>2</v>
      </c>
      <c r="J529" s="1">
        <v>2295</v>
      </c>
      <c r="K529" s="1">
        <v>0.1</v>
      </c>
      <c r="L529" s="1">
        <v>4131</v>
      </c>
      <c r="M529" s="1" t="str">
        <f t="shared" si="16"/>
        <v>Online</v>
      </c>
      <c r="N529" s="1">
        <f t="shared" si="17"/>
        <v>62.01</v>
      </c>
    </row>
    <row r="530" spans="1:14" x14ac:dyDescent="0.3">
      <c r="A530" s="1" t="s">
        <v>1767</v>
      </c>
      <c r="B530" s="1">
        <v>46246</v>
      </c>
      <c r="C530" s="1" t="s">
        <v>21</v>
      </c>
      <c r="D530" s="1" t="s">
        <v>27</v>
      </c>
      <c r="E530" s="1" t="s">
        <v>16</v>
      </c>
      <c r="F530" s="1" t="s">
        <v>17</v>
      </c>
      <c r="G530" s="1" t="s">
        <v>62</v>
      </c>
      <c r="H530" s="1" t="s">
        <v>86</v>
      </c>
      <c r="I530" s="1">
        <v>3</v>
      </c>
      <c r="J530" s="1">
        <v>52.38</v>
      </c>
      <c r="K530" s="1">
        <v>0.05</v>
      </c>
      <c r="L530" s="1">
        <v>149.28</v>
      </c>
      <c r="M530" s="1" t="str">
        <f t="shared" si="16"/>
        <v>Online</v>
      </c>
      <c r="N530" s="1">
        <f t="shared" si="17"/>
        <v>405</v>
      </c>
    </row>
    <row r="531" spans="1:14" x14ac:dyDescent="0.3">
      <c r="A531" s="1" t="s">
        <v>1760</v>
      </c>
      <c r="B531" s="1">
        <v>46266</v>
      </c>
      <c r="C531" s="1" t="s">
        <v>54</v>
      </c>
      <c r="D531" s="1" t="s">
        <v>27</v>
      </c>
      <c r="E531" s="1" t="s">
        <v>28</v>
      </c>
      <c r="F531" s="1" t="s">
        <v>36</v>
      </c>
      <c r="G531" s="1" t="s">
        <v>119</v>
      </c>
      <c r="H531" s="1" t="s">
        <v>80</v>
      </c>
      <c r="I531" s="1">
        <v>2</v>
      </c>
      <c r="J531" s="1">
        <v>611.1</v>
      </c>
      <c r="K531" s="1">
        <v>0</v>
      </c>
      <c r="L531" s="1">
        <v>1222.2</v>
      </c>
      <c r="M531" s="1" t="str">
        <f t="shared" si="16"/>
        <v>Marketplace</v>
      </c>
      <c r="N531" s="1">
        <f t="shared" si="17"/>
        <v>267.12</v>
      </c>
    </row>
    <row r="532" spans="1:14" x14ac:dyDescent="0.3">
      <c r="A532" s="1" t="s">
        <v>1761</v>
      </c>
      <c r="B532" s="1">
        <v>46266</v>
      </c>
      <c r="C532" s="1" t="s">
        <v>61</v>
      </c>
      <c r="D532" s="1" t="s">
        <v>35</v>
      </c>
      <c r="E532" s="1" t="s">
        <v>16</v>
      </c>
      <c r="F532" s="1" t="s">
        <v>36</v>
      </c>
      <c r="G532" s="1" t="s">
        <v>37</v>
      </c>
      <c r="H532" s="1" t="s">
        <v>63</v>
      </c>
      <c r="I532" s="1">
        <v>2</v>
      </c>
      <c r="J532" s="1">
        <v>765</v>
      </c>
      <c r="K532" s="1">
        <v>0.03</v>
      </c>
      <c r="L532" s="1">
        <v>1484.1</v>
      </c>
      <c r="M532" s="1" t="str">
        <f t="shared" si="16"/>
        <v>Retail Store</v>
      </c>
      <c r="N532" s="1">
        <f t="shared" si="17"/>
        <v>62.01</v>
      </c>
    </row>
    <row r="533" spans="1:14" x14ac:dyDescent="0.3">
      <c r="A533" s="1" t="s">
        <v>1762</v>
      </c>
      <c r="B533" s="1">
        <v>46266</v>
      </c>
      <c r="C533" s="1" t="s">
        <v>54</v>
      </c>
      <c r="D533" s="1" t="s">
        <v>27</v>
      </c>
      <c r="E533" s="1" t="s">
        <v>28</v>
      </c>
      <c r="F533" s="1" t="s">
        <v>23</v>
      </c>
      <c r="G533" s="1" t="s">
        <v>142</v>
      </c>
      <c r="H533" s="1" t="s">
        <v>56</v>
      </c>
      <c r="I533" s="1">
        <v>3</v>
      </c>
      <c r="J533" s="1">
        <v>15.39</v>
      </c>
      <c r="K533" s="1">
        <v>0.2</v>
      </c>
      <c r="L533" s="1">
        <v>36.94</v>
      </c>
      <c r="M533" s="1" t="str">
        <f t="shared" si="16"/>
        <v>Online</v>
      </c>
      <c r="N533" s="1">
        <f t="shared" si="17"/>
        <v>267.12</v>
      </c>
    </row>
    <row r="534" spans="1:14" x14ac:dyDescent="0.3">
      <c r="A534" s="1" t="s">
        <v>1755</v>
      </c>
      <c r="B534" s="1">
        <v>46267</v>
      </c>
      <c r="C534" s="1" t="s">
        <v>47</v>
      </c>
      <c r="D534" s="1" t="s">
        <v>22</v>
      </c>
      <c r="E534" s="1" t="s">
        <v>16</v>
      </c>
      <c r="F534" s="1" t="s">
        <v>29</v>
      </c>
      <c r="G534" s="1" t="s">
        <v>88</v>
      </c>
      <c r="H534" s="1" t="s">
        <v>49</v>
      </c>
      <c r="I534" s="1">
        <v>2</v>
      </c>
      <c r="J534" s="1">
        <v>56.75</v>
      </c>
      <c r="K534" s="1">
        <v>0.05</v>
      </c>
      <c r="L534" s="1">
        <v>107.82</v>
      </c>
      <c r="M534" s="1" t="str">
        <f t="shared" si="16"/>
        <v>Retail Store</v>
      </c>
      <c r="N534" s="1">
        <f t="shared" si="17"/>
        <v>421.2</v>
      </c>
    </row>
    <row r="535" spans="1:14" x14ac:dyDescent="0.3">
      <c r="A535" s="1" t="s">
        <v>1756</v>
      </c>
      <c r="B535" s="1">
        <v>46267</v>
      </c>
      <c r="C535" s="1" t="s">
        <v>47</v>
      </c>
      <c r="D535" s="1" t="s">
        <v>35</v>
      </c>
      <c r="E535" s="1" t="s">
        <v>16</v>
      </c>
      <c r="F535" s="1" t="s">
        <v>36</v>
      </c>
      <c r="G535" s="1" t="s">
        <v>37</v>
      </c>
      <c r="H535" s="1" t="s">
        <v>49</v>
      </c>
      <c r="I535" s="1">
        <v>3</v>
      </c>
      <c r="J535" s="1">
        <v>780.3</v>
      </c>
      <c r="K535" s="1">
        <v>0</v>
      </c>
      <c r="L535" s="1">
        <v>2340.9</v>
      </c>
      <c r="M535" s="1" t="str">
        <f t="shared" si="16"/>
        <v>Retail Store</v>
      </c>
      <c r="N535" s="1">
        <f t="shared" si="17"/>
        <v>421.2</v>
      </c>
    </row>
    <row r="536" spans="1:14" x14ac:dyDescent="0.3">
      <c r="A536" s="1" t="s">
        <v>1757</v>
      </c>
      <c r="B536" s="1">
        <v>46267</v>
      </c>
      <c r="C536" s="1" t="s">
        <v>61</v>
      </c>
      <c r="D536" s="1" t="s">
        <v>15</v>
      </c>
      <c r="E536" s="1" t="s">
        <v>28</v>
      </c>
      <c r="F536" s="1" t="s">
        <v>29</v>
      </c>
      <c r="G536" s="1" t="s">
        <v>88</v>
      </c>
      <c r="H536" s="1" t="s">
        <v>73</v>
      </c>
      <c r="I536" s="1">
        <v>2</v>
      </c>
      <c r="J536" s="1">
        <v>59.67</v>
      </c>
      <c r="K536" s="1">
        <v>0.03</v>
      </c>
      <c r="L536" s="1">
        <v>115.76</v>
      </c>
      <c r="M536" s="1" t="str">
        <f t="shared" si="16"/>
        <v>Online</v>
      </c>
      <c r="N536" s="1">
        <f t="shared" si="17"/>
        <v>62.01</v>
      </c>
    </row>
    <row r="537" spans="1:14" x14ac:dyDescent="0.3">
      <c r="A537" s="1" t="s">
        <v>1758</v>
      </c>
      <c r="B537" s="1">
        <v>46267</v>
      </c>
      <c r="C537" s="1" t="s">
        <v>54</v>
      </c>
      <c r="D537" s="1" t="s">
        <v>35</v>
      </c>
      <c r="E537" s="1" t="s">
        <v>28</v>
      </c>
      <c r="F537" s="1" t="s">
        <v>82</v>
      </c>
      <c r="G537" s="1" t="s">
        <v>96</v>
      </c>
      <c r="H537" s="1" t="s">
        <v>56</v>
      </c>
      <c r="I537" s="1">
        <v>3</v>
      </c>
      <c r="J537" s="1">
        <v>2619</v>
      </c>
      <c r="K537" s="1">
        <v>0.08</v>
      </c>
      <c r="L537" s="1">
        <v>7228.44</v>
      </c>
      <c r="M537" s="1" t="str">
        <f t="shared" si="16"/>
        <v>Online</v>
      </c>
      <c r="N537" s="1">
        <f t="shared" si="17"/>
        <v>267.12</v>
      </c>
    </row>
    <row r="538" spans="1:14" x14ac:dyDescent="0.3">
      <c r="A538" s="1" t="s">
        <v>1759</v>
      </c>
      <c r="B538" s="1">
        <v>46267</v>
      </c>
      <c r="C538" s="1" t="s">
        <v>21</v>
      </c>
      <c r="D538" s="1" t="s">
        <v>22</v>
      </c>
      <c r="E538" s="1" t="s">
        <v>28</v>
      </c>
      <c r="F538" s="1" t="s">
        <v>29</v>
      </c>
      <c r="G538" s="1" t="s">
        <v>55</v>
      </c>
      <c r="H538" s="1" t="s">
        <v>86</v>
      </c>
      <c r="I538" s="1">
        <v>7</v>
      </c>
      <c r="J538" s="1">
        <v>34.200000000000003</v>
      </c>
      <c r="K538" s="1">
        <v>0.08</v>
      </c>
      <c r="L538" s="1">
        <v>220.25</v>
      </c>
      <c r="M538" s="1" t="str">
        <f t="shared" si="16"/>
        <v>Online</v>
      </c>
      <c r="N538" s="1">
        <f t="shared" si="17"/>
        <v>405</v>
      </c>
    </row>
    <row r="539" spans="1:14" x14ac:dyDescent="0.3">
      <c r="A539" s="1" t="s">
        <v>1749</v>
      </c>
      <c r="B539" s="1">
        <v>46268</v>
      </c>
      <c r="C539" s="1" t="s">
        <v>14</v>
      </c>
      <c r="D539" s="1" t="s">
        <v>15</v>
      </c>
      <c r="E539" s="1" t="s">
        <v>28</v>
      </c>
      <c r="F539" s="1" t="s">
        <v>17</v>
      </c>
      <c r="G539" s="1" t="s">
        <v>18</v>
      </c>
      <c r="H539" s="1" t="s">
        <v>40</v>
      </c>
      <c r="I539" s="1">
        <v>9</v>
      </c>
      <c r="J539" s="1">
        <v>81</v>
      </c>
      <c r="K539" s="1">
        <v>0.2</v>
      </c>
      <c r="L539" s="1">
        <v>583.20000000000005</v>
      </c>
      <c r="M539" s="1" t="str">
        <f t="shared" si="16"/>
        <v>Online</v>
      </c>
      <c r="N539" s="1">
        <f t="shared" si="17"/>
        <v>16.2</v>
      </c>
    </row>
    <row r="540" spans="1:14" x14ac:dyDescent="0.3">
      <c r="A540" s="1" t="s">
        <v>1750</v>
      </c>
      <c r="B540" s="1">
        <v>46268</v>
      </c>
      <c r="C540" s="1" t="s">
        <v>61</v>
      </c>
      <c r="D540" s="1" t="s">
        <v>15</v>
      </c>
      <c r="E540" s="1" t="s">
        <v>28</v>
      </c>
      <c r="F540" s="1" t="s">
        <v>82</v>
      </c>
      <c r="G540" s="1" t="s">
        <v>96</v>
      </c>
      <c r="H540" s="1" t="s">
        <v>73</v>
      </c>
      <c r="I540" s="1">
        <v>2</v>
      </c>
      <c r="J540" s="1">
        <v>2700</v>
      </c>
      <c r="K540" s="1">
        <v>0.05</v>
      </c>
      <c r="L540" s="1">
        <v>5130</v>
      </c>
      <c r="M540" s="1" t="str">
        <f t="shared" si="16"/>
        <v>Online</v>
      </c>
      <c r="N540" s="1">
        <f t="shared" si="17"/>
        <v>62.01</v>
      </c>
    </row>
    <row r="541" spans="1:14" x14ac:dyDescent="0.3">
      <c r="A541" s="1" t="s">
        <v>1751</v>
      </c>
      <c r="B541" s="1">
        <v>46268</v>
      </c>
      <c r="C541" s="1" t="s">
        <v>21</v>
      </c>
      <c r="D541" s="1" t="s">
        <v>27</v>
      </c>
      <c r="E541" s="1" t="s">
        <v>16</v>
      </c>
      <c r="F541" s="1" t="s">
        <v>29</v>
      </c>
      <c r="G541" s="1" t="s">
        <v>30</v>
      </c>
      <c r="H541" s="1" t="s">
        <v>86</v>
      </c>
      <c r="I541" s="1">
        <v>3</v>
      </c>
      <c r="J541" s="1">
        <v>52.47</v>
      </c>
      <c r="K541" s="1">
        <v>0.1</v>
      </c>
      <c r="L541" s="1">
        <v>141.66999999999999</v>
      </c>
      <c r="M541" s="1" t="str">
        <f t="shared" si="16"/>
        <v>Online</v>
      </c>
      <c r="N541" s="1">
        <f t="shared" si="17"/>
        <v>405</v>
      </c>
    </row>
    <row r="542" spans="1:14" x14ac:dyDescent="0.3">
      <c r="A542" s="1" t="s">
        <v>1752</v>
      </c>
      <c r="B542" s="1">
        <v>46268</v>
      </c>
      <c r="C542" s="1" t="s">
        <v>61</v>
      </c>
      <c r="D542" s="1" t="s">
        <v>15</v>
      </c>
      <c r="E542" s="1" t="s">
        <v>28</v>
      </c>
      <c r="F542" s="1" t="s">
        <v>17</v>
      </c>
      <c r="G542" s="1" t="s">
        <v>189</v>
      </c>
      <c r="H542" s="1" t="s">
        <v>73</v>
      </c>
      <c r="I542" s="1">
        <v>6</v>
      </c>
      <c r="J542" s="1">
        <v>293.76</v>
      </c>
      <c r="K542" s="1">
        <v>0.03</v>
      </c>
      <c r="L542" s="1">
        <v>1709.68</v>
      </c>
      <c r="M542" s="1" t="str">
        <f t="shared" si="16"/>
        <v>Online</v>
      </c>
      <c r="N542" s="1">
        <f t="shared" si="17"/>
        <v>62.01</v>
      </c>
    </row>
    <row r="543" spans="1:14" x14ac:dyDescent="0.3">
      <c r="A543" s="1" t="s">
        <v>1753</v>
      </c>
      <c r="B543" s="1">
        <v>46268</v>
      </c>
      <c r="C543" s="1" t="s">
        <v>54</v>
      </c>
      <c r="D543" s="1" t="s">
        <v>35</v>
      </c>
      <c r="E543" s="1" t="s">
        <v>16</v>
      </c>
      <c r="F543" s="1" t="s">
        <v>23</v>
      </c>
      <c r="G543" s="1" t="s">
        <v>24</v>
      </c>
      <c r="H543" s="1" t="s">
        <v>80</v>
      </c>
      <c r="I543" s="1">
        <v>6</v>
      </c>
      <c r="J543" s="1">
        <v>23.85</v>
      </c>
      <c r="K543" s="1">
        <v>0.1</v>
      </c>
      <c r="L543" s="1">
        <v>128.79</v>
      </c>
      <c r="M543" s="1" t="str">
        <f t="shared" si="16"/>
        <v>Marketplace</v>
      </c>
      <c r="N543" s="1">
        <f t="shared" si="17"/>
        <v>267.12</v>
      </c>
    </row>
    <row r="544" spans="1:14" x14ac:dyDescent="0.3">
      <c r="A544" s="1" t="s">
        <v>1754</v>
      </c>
      <c r="B544" s="1">
        <v>46268</v>
      </c>
      <c r="C544" s="1" t="s">
        <v>61</v>
      </c>
      <c r="D544" s="1" t="s">
        <v>27</v>
      </c>
      <c r="E544" s="1" t="s">
        <v>28</v>
      </c>
      <c r="F544" s="1" t="s">
        <v>36</v>
      </c>
      <c r="G544" s="1" t="s">
        <v>37</v>
      </c>
      <c r="H544" s="1" t="s">
        <v>73</v>
      </c>
      <c r="I544" s="1">
        <v>3</v>
      </c>
      <c r="J544" s="1">
        <v>726.75</v>
      </c>
      <c r="K544" s="1">
        <v>0.08</v>
      </c>
      <c r="L544" s="1">
        <v>2005.83</v>
      </c>
      <c r="M544" s="1" t="str">
        <f t="shared" si="16"/>
        <v>Online</v>
      </c>
      <c r="N544" s="1">
        <f t="shared" si="17"/>
        <v>62.01</v>
      </c>
    </row>
    <row r="545" spans="1:14" x14ac:dyDescent="0.3">
      <c r="A545" s="1" t="s">
        <v>1747</v>
      </c>
      <c r="B545" s="1">
        <v>46269</v>
      </c>
      <c r="C545" s="1" t="s">
        <v>21</v>
      </c>
      <c r="D545" s="1" t="s">
        <v>35</v>
      </c>
      <c r="E545" s="1" t="s">
        <v>28</v>
      </c>
      <c r="F545" s="1" t="s">
        <v>82</v>
      </c>
      <c r="G545" s="1" t="s">
        <v>83</v>
      </c>
      <c r="H545" s="1" t="s">
        <v>25</v>
      </c>
      <c r="I545" s="1">
        <v>2</v>
      </c>
      <c r="J545" s="1">
        <v>3931.2</v>
      </c>
      <c r="K545" s="1">
        <v>0.1</v>
      </c>
      <c r="L545" s="1">
        <v>7076.16</v>
      </c>
      <c r="M545" s="1" t="str">
        <f t="shared" si="16"/>
        <v>Marketplace</v>
      </c>
      <c r="N545" s="1">
        <f t="shared" si="17"/>
        <v>405</v>
      </c>
    </row>
    <row r="546" spans="1:14" x14ac:dyDescent="0.3">
      <c r="A546" s="1" t="s">
        <v>1748</v>
      </c>
      <c r="B546" s="1">
        <v>46269</v>
      </c>
      <c r="C546" s="1" t="s">
        <v>21</v>
      </c>
      <c r="D546" s="1" t="s">
        <v>15</v>
      </c>
      <c r="E546" s="1" t="s">
        <v>28</v>
      </c>
      <c r="F546" s="1" t="s">
        <v>42</v>
      </c>
      <c r="G546" s="1" t="s">
        <v>48</v>
      </c>
      <c r="H546" s="1" t="s">
        <v>44</v>
      </c>
      <c r="I546" s="1">
        <v>3</v>
      </c>
      <c r="J546" s="1">
        <v>18.72</v>
      </c>
      <c r="K546" s="1">
        <v>0.05</v>
      </c>
      <c r="L546" s="1">
        <v>53.35</v>
      </c>
      <c r="M546" s="1" t="str">
        <f t="shared" si="16"/>
        <v>Retail Store</v>
      </c>
      <c r="N546" s="1">
        <f t="shared" si="17"/>
        <v>405</v>
      </c>
    </row>
    <row r="547" spans="1:14" x14ac:dyDescent="0.3">
      <c r="A547" s="1" t="s">
        <v>1743</v>
      </c>
      <c r="B547" s="1">
        <v>46270</v>
      </c>
      <c r="C547" s="1" t="s">
        <v>61</v>
      </c>
      <c r="D547" s="1" t="s">
        <v>15</v>
      </c>
      <c r="E547" s="1" t="s">
        <v>16</v>
      </c>
      <c r="F547" s="1" t="s">
        <v>29</v>
      </c>
      <c r="G547" s="1" t="s">
        <v>33</v>
      </c>
      <c r="H547" s="1" t="s">
        <v>63</v>
      </c>
      <c r="I547" s="1">
        <v>3</v>
      </c>
      <c r="J547" s="1">
        <v>14.31</v>
      </c>
      <c r="K547" s="1">
        <v>0</v>
      </c>
      <c r="L547" s="1">
        <v>42.93</v>
      </c>
      <c r="M547" s="1" t="str">
        <f t="shared" si="16"/>
        <v>Retail Store</v>
      </c>
      <c r="N547" s="1">
        <f t="shared" si="17"/>
        <v>62.01</v>
      </c>
    </row>
    <row r="548" spans="1:14" x14ac:dyDescent="0.3">
      <c r="A548" s="1" t="s">
        <v>1744</v>
      </c>
      <c r="B548" s="1">
        <v>46270</v>
      </c>
      <c r="C548" s="1" t="s">
        <v>21</v>
      </c>
      <c r="D548" s="1" t="s">
        <v>22</v>
      </c>
      <c r="E548" s="1" t="s">
        <v>16</v>
      </c>
      <c r="F548" s="1" t="s">
        <v>29</v>
      </c>
      <c r="G548" s="1" t="s">
        <v>51</v>
      </c>
      <c r="H548" s="1" t="s">
        <v>86</v>
      </c>
      <c r="I548" s="1">
        <v>2</v>
      </c>
      <c r="J548" s="1">
        <v>40.5</v>
      </c>
      <c r="K548" s="1">
        <v>0.1</v>
      </c>
      <c r="L548" s="1">
        <v>72.900000000000006</v>
      </c>
      <c r="M548" s="1" t="str">
        <f t="shared" si="16"/>
        <v>Online</v>
      </c>
      <c r="N548" s="1">
        <f t="shared" si="17"/>
        <v>405</v>
      </c>
    </row>
    <row r="549" spans="1:14" x14ac:dyDescent="0.3">
      <c r="A549" s="1" t="s">
        <v>1745</v>
      </c>
      <c r="B549" s="1">
        <v>46270</v>
      </c>
      <c r="C549" s="1" t="s">
        <v>21</v>
      </c>
      <c r="D549" s="1" t="s">
        <v>35</v>
      </c>
      <c r="E549" s="1" t="s">
        <v>16</v>
      </c>
      <c r="F549" s="1" t="s">
        <v>82</v>
      </c>
      <c r="G549" s="1" t="s">
        <v>114</v>
      </c>
      <c r="H549" s="1" t="s">
        <v>25</v>
      </c>
      <c r="I549" s="1">
        <v>3</v>
      </c>
      <c r="J549" s="1">
        <v>2250</v>
      </c>
      <c r="K549" s="1">
        <v>0.15</v>
      </c>
      <c r="L549" s="1">
        <v>5737.5</v>
      </c>
      <c r="M549" s="1" t="str">
        <f t="shared" si="16"/>
        <v>Marketplace</v>
      </c>
      <c r="N549" s="1">
        <f t="shared" si="17"/>
        <v>405</v>
      </c>
    </row>
    <row r="550" spans="1:14" x14ac:dyDescent="0.3">
      <c r="A550" s="1" t="s">
        <v>1746</v>
      </c>
      <c r="B550" s="1">
        <v>46270</v>
      </c>
      <c r="C550" s="1" t="s">
        <v>21</v>
      </c>
      <c r="D550" s="1" t="s">
        <v>15</v>
      </c>
      <c r="E550" s="1" t="s">
        <v>16</v>
      </c>
      <c r="F550" s="1" t="s">
        <v>23</v>
      </c>
      <c r="G550" s="1" t="s">
        <v>24</v>
      </c>
      <c r="H550" s="1" t="s">
        <v>44</v>
      </c>
      <c r="I550" s="1">
        <v>3</v>
      </c>
      <c r="J550" s="1">
        <v>21.83</v>
      </c>
      <c r="K550" s="1">
        <v>0</v>
      </c>
      <c r="L550" s="1">
        <v>65.48</v>
      </c>
      <c r="M550" s="1" t="str">
        <f t="shared" si="16"/>
        <v>Retail Store</v>
      </c>
      <c r="N550" s="1">
        <f t="shared" si="17"/>
        <v>405</v>
      </c>
    </row>
    <row r="551" spans="1:14" x14ac:dyDescent="0.3">
      <c r="A551" s="1" t="s">
        <v>1735</v>
      </c>
      <c r="B551" s="1">
        <v>46271</v>
      </c>
      <c r="C551" s="1" t="s">
        <v>21</v>
      </c>
      <c r="D551" s="1" t="s">
        <v>35</v>
      </c>
      <c r="E551" s="1" t="s">
        <v>16</v>
      </c>
      <c r="F551" s="1" t="s">
        <v>42</v>
      </c>
      <c r="G551" s="1" t="s">
        <v>43</v>
      </c>
      <c r="H551" s="1" t="s">
        <v>86</v>
      </c>
      <c r="I551" s="1">
        <v>9</v>
      </c>
      <c r="J551" s="1">
        <v>165.24</v>
      </c>
      <c r="K551" s="1">
        <v>0.15</v>
      </c>
      <c r="L551" s="1">
        <v>1264.0899999999999</v>
      </c>
      <c r="M551" s="1" t="str">
        <f t="shared" si="16"/>
        <v>Online</v>
      </c>
      <c r="N551" s="1">
        <f t="shared" si="17"/>
        <v>405</v>
      </c>
    </row>
    <row r="552" spans="1:14" x14ac:dyDescent="0.3">
      <c r="A552" s="1" t="s">
        <v>1736</v>
      </c>
      <c r="B552" s="1">
        <v>46271</v>
      </c>
      <c r="C552" s="1" t="s">
        <v>14</v>
      </c>
      <c r="D552" s="1" t="s">
        <v>35</v>
      </c>
      <c r="E552" s="1" t="s">
        <v>16</v>
      </c>
      <c r="F552" s="1" t="s">
        <v>36</v>
      </c>
      <c r="G552" s="1" t="s">
        <v>77</v>
      </c>
      <c r="H552" s="1" t="s">
        <v>19</v>
      </c>
      <c r="I552" s="1">
        <v>2</v>
      </c>
      <c r="J552" s="1">
        <v>1350</v>
      </c>
      <c r="K552" s="1">
        <v>0.2</v>
      </c>
      <c r="L552" s="1">
        <v>2160</v>
      </c>
      <c r="M552" s="1" t="str">
        <f t="shared" si="16"/>
        <v>Retail Store</v>
      </c>
      <c r="N552" s="1">
        <f t="shared" si="17"/>
        <v>16.2</v>
      </c>
    </row>
    <row r="553" spans="1:14" x14ac:dyDescent="0.3">
      <c r="A553" s="1" t="s">
        <v>1737</v>
      </c>
      <c r="B553" s="1">
        <v>46271</v>
      </c>
      <c r="C553" s="1" t="s">
        <v>54</v>
      </c>
      <c r="D553" s="1" t="s">
        <v>15</v>
      </c>
      <c r="E553" s="1" t="s">
        <v>28</v>
      </c>
      <c r="F553" s="1" t="s">
        <v>29</v>
      </c>
      <c r="G553" s="1" t="s">
        <v>30</v>
      </c>
      <c r="H553" s="1" t="s">
        <v>80</v>
      </c>
      <c r="I553" s="1">
        <v>6</v>
      </c>
      <c r="J553" s="1">
        <v>48.02</v>
      </c>
      <c r="K553" s="1">
        <v>0.1</v>
      </c>
      <c r="L553" s="1">
        <v>259.27999999999997</v>
      </c>
      <c r="M553" s="1" t="str">
        <f t="shared" si="16"/>
        <v>Marketplace</v>
      </c>
      <c r="N553" s="1">
        <f t="shared" si="17"/>
        <v>267.12</v>
      </c>
    </row>
    <row r="554" spans="1:14" x14ac:dyDescent="0.3">
      <c r="A554" s="1" t="s">
        <v>1738</v>
      </c>
      <c r="B554" s="1">
        <v>46271</v>
      </c>
      <c r="C554" s="1" t="s">
        <v>47</v>
      </c>
      <c r="D554" s="1" t="s">
        <v>15</v>
      </c>
      <c r="E554" s="1" t="s">
        <v>16</v>
      </c>
      <c r="F554" s="1" t="s">
        <v>17</v>
      </c>
      <c r="G554" s="1" t="s">
        <v>98</v>
      </c>
      <c r="H554" s="1" t="s">
        <v>58</v>
      </c>
      <c r="I554" s="1">
        <v>8</v>
      </c>
      <c r="J554" s="1">
        <v>405</v>
      </c>
      <c r="K554" s="1">
        <v>0.03</v>
      </c>
      <c r="L554" s="1">
        <v>3142.8</v>
      </c>
      <c r="M554" s="1" t="str">
        <f t="shared" si="16"/>
        <v>Corporate Sales</v>
      </c>
      <c r="N554" s="1">
        <f t="shared" si="17"/>
        <v>421.2</v>
      </c>
    </row>
    <row r="555" spans="1:14" x14ac:dyDescent="0.3">
      <c r="A555" s="1" t="s">
        <v>1739</v>
      </c>
      <c r="B555" s="1">
        <v>46271</v>
      </c>
      <c r="C555" s="1" t="s">
        <v>54</v>
      </c>
      <c r="D555" s="1" t="s">
        <v>27</v>
      </c>
      <c r="E555" s="1" t="s">
        <v>28</v>
      </c>
      <c r="F555" s="1" t="s">
        <v>29</v>
      </c>
      <c r="G555" s="1" t="s">
        <v>30</v>
      </c>
      <c r="H555" s="1" t="s">
        <v>80</v>
      </c>
      <c r="I555" s="1">
        <v>4</v>
      </c>
      <c r="J555" s="1">
        <v>51.48</v>
      </c>
      <c r="K555" s="1">
        <v>0</v>
      </c>
      <c r="L555" s="1">
        <v>205.92</v>
      </c>
      <c r="M555" s="1" t="str">
        <f t="shared" si="16"/>
        <v>Marketplace</v>
      </c>
      <c r="N555" s="1">
        <f t="shared" si="17"/>
        <v>267.12</v>
      </c>
    </row>
    <row r="556" spans="1:14" x14ac:dyDescent="0.3">
      <c r="A556" s="1" t="s">
        <v>1740</v>
      </c>
      <c r="B556" s="1">
        <v>46271</v>
      </c>
      <c r="C556" s="1" t="s">
        <v>14</v>
      </c>
      <c r="D556" s="1" t="s">
        <v>22</v>
      </c>
      <c r="E556" s="1" t="s">
        <v>28</v>
      </c>
      <c r="F556" s="1" t="s">
        <v>23</v>
      </c>
      <c r="G556" s="1" t="s">
        <v>116</v>
      </c>
      <c r="H556" s="1" t="s">
        <v>31</v>
      </c>
      <c r="I556" s="1">
        <v>2</v>
      </c>
      <c r="J556" s="1">
        <v>6.98</v>
      </c>
      <c r="K556" s="1">
        <v>0.2</v>
      </c>
      <c r="L556" s="1">
        <v>11.17</v>
      </c>
      <c r="M556" s="1" t="str">
        <f t="shared" si="16"/>
        <v>Online</v>
      </c>
      <c r="N556" s="1">
        <f t="shared" si="17"/>
        <v>16.2</v>
      </c>
    </row>
    <row r="557" spans="1:14" x14ac:dyDescent="0.3">
      <c r="A557" s="1" t="s">
        <v>1741</v>
      </c>
      <c r="B557" s="1">
        <v>46271</v>
      </c>
      <c r="C557" s="1" t="s">
        <v>54</v>
      </c>
      <c r="D557" s="1" t="s">
        <v>35</v>
      </c>
      <c r="E557" s="1" t="s">
        <v>16</v>
      </c>
      <c r="F557" s="1" t="s">
        <v>42</v>
      </c>
      <c r="G557" s="1" t="s">
        <v>67</v>
      </c>
      <c r="H557" s="1" t="s">
        <v>56</v>
      </c>
      <c r="I557" s="1">
        <v>3</v>
      </c>
      <c r="J557" s="1">
        <v>252</v>
      </c>
      <c r="K557" s="1">
        <v>0.08</v>
      </c>
      <c r="L557" s="1">
        <v>695.52</v>
      </c>
      <c r="M557" s="1" t="str">
        <f t="shared" si="16"/>
        <v>Online</v>
      </c>
      <c r="N557" s="1">
        <f t="shared" si="17"/>
        <v>267.12</v>
      </c>
    </row>
    <row r="558" spans="1:14" x14ac:dyDescent="0.3">
      <c r="A558" s="1" t="s">
        <v>1742</v>
      </c>
      <c r="B558" s="1">
        <v>46271</v>
      </c>
      <c r="C558" s="1" t="s">
        <v>61</v>
      </c>
      <c r="D558" s="1" t="s">
        <v>15</v>
      </c>
      <c r="E558" s="1" t="s">
        <v>16</v>
      </c>
      <c r="F558" s="1" t="s">
        <v>17</v>
      </c>
      <c r="G558" s="1" t="s">
        <v>98</v>
      </c>
      <c r="H558" s="1" t="s">
        <v>112</v>
      </c>
      <c r="I558" s="1">
        <v>4</v>
      </c>
      <c r="J558" s="1">
        <v>413.1</v>
      </c>
      <c r="K558" s="1">
        <v>0.08</v>
      </c>
      <c r="L558" s="1">
        <v>1520.21</v>
      </c>
      <c r="M558" s="1" t="str">
        <f t="shared" si="16"/>
        <v>Online</v>
      </c>
      <c r="N558" s="1">
        <f t="shared" si="17"/>
        <v>62.01</v>
      </c>
    </row>
    <row r="559" spans="1:14" x14ac:dyDescent="0.3">
      <c r="A559" s="1" t="s">
        <v>1732</v>
      </c>
      <c r="B559" s="1">
        <v>46272</v>
      </c>
      <c r="C559" s="1" t="s">
        <v>54</v>
      </c>
      <c r="D559" s="1" t="s">
        <v>15</v>
      </c>
      <c r="E559" s="1" t="s">
        <v>28</v>
      </c>
      <c r="F559" s="1" t="s">
        <v>29</v>
      </c>
      <c r="G559" s="1" t="s">
        <v>88</v>
      </c>
      <c r="H559" s="1" t="s">
        <v>80</v>
      </c>
      <c r="I559" s="1">
        <v>3</v>
      </c>
      <c r="J559" s="1">
        <v>58.5</v>
      </c>
      <c r="K559" s="1">
        <v>0.08</v>
      </c>
      <c r="L559" s="1">
        <v>161.46</v>
      </c>
      <c r="M559" s="1" t="str">
        <f t="shared" si="16"/>
        <v>Marketplace</v>
      </c>
      <c r="N559" s="1">
        <f t="shared" si="17"/>
        <v>267.12</v>
      </c>
    </row>
    <row r="560" spans="1:14" x14ac:dyDescent="0.3">
      <c r="A560" s="1" t="s">
        <v>1733</v>
      </c>
      <c r="B560" s="1">
        <v>46272</v>
      </c>
      <c r="C560" s="1" t="s">
        <v>14</v>
      </c>
      <c r="D560" s="1" t="s">
        <v>15</v>
      </c>
      <c r="E560" s="1" t="s">
        <v>28</v>
      </c>
      <c r="F560" s="1" t="s">
        <v>17</v>
      </c>
      <c r="G560" s="1" t="s">
        <v>189</v>
      </c>
      <c r="H560" s="1" t="s">
        <v>31</v>
      </c>
      <c r="I560" s="1">
        <v>4</v>
      </c>
      <c r="J560" s="1">
        <v>288</v>
      </c>
      <c r="K560" s="1">
        <v>0.1</v>
      </c>
      <c r="L560" s="1">
        <v>1036.8</v>
      </c>
      <c r="M560" s="1" t="str">
        <f t="shared" si="16"/>
        <v>Online</v>
      </c>
      <c r="N560" s="1">
        <f t="shared" si="17"/>
        <v>16.2</v>
      </c>
    </row>
    <row r="561" spans="1:14" x14ac:dyDescent="0.3">
      <c r="A561" s="1" t="s">
        <v>1734</v>
      </c>
      <c r="B561" s="1">
        <v>46272</v>
      </c>
      <c r="C561" s="1" t="s">
        <v>61</v>
      </c>
      <c r="D561" s="1" t="s">
        <v>15</v>
      </c>
      <c r="E561" s="1" t="s">
        <v>16</v>
      </c>
      <c r="F561" s="1" t="s">
        <v>17</v>
      </c>
      <c r="G561" s="1" t="s">
        <v>98</v>
      </c>
      <c r="H561" s="1" t="s">
        <v>73</v>
      </c>
      <c r="I561" s="1">
        <v>4</v>
      </c>
      <c r="J561" s="1">
        <v>405</v>
      </c>
      <c r="K561" s="1">
        <v>0.03</v>
      </c>
      <c r="L561" s="1">
        <v>1571.4</v>
      </c>
      <c r="M561" s="1" t="str">
        <f t="shared" si="16"/>
        <v>Online</v>
      </c>
      <c r="N561" s="1">
        <f t="shared" si="17"/>
        <v>62.01</v>
      </c>
    </row>
    <row r="562" spans="1:14" x14ac:dyDescent="0.3">
      <c r="A562" s="1" t="s">
        <v>1728</v>
      </c>
      <c r="B562" s="1">
        <v>46273</v>
      </c>
      <c r="C562" s="1" t="s">
        <v>61</v>
      </c>
      <c r="D562" s="1" t="s">
        <v>22</v>
      </c>
      <c r="E562" s="1" t="s">
        <v>16</v>
      </c>
      <c r="F562" s="1" t="s">
        <v>23</v>
      </c>
      <c r="G562" s="1" t="s">
        <v>103</v>
      </c>
      <c r="H562" s="1" t="s">
        <v>63</v>
      </c>
      <c r="I562" s="1">
        <v>5</v>
      </c>
      <c r="J562" s="1">
        <v>10.48</v>
      </c>
      <c r="K562" s="1">
        <v>0.1</v>
      </c>
      <c r="L562" s="1">
        <v>47.14</v>
      </c>
      <c r="M562" s="1" t="str">
        <f t="shared" si="16"/>
        <v>Retail Store</v>
      </c>
      <c r="N562" s="1">
        <f t="shared" si="17"/>
        <v>62.01</v>
      </c>
    </row>
    <row r="563" spans="1:14" x14ac:dyDescent="0.3">
      <c r="A563" s="1" t="s">
        <v>1729</v>
      </c>
      <c r="B563" s="1">
        <v>46273</v>
      </c>
      <c r="C563" s="1" t="s">
        <v>47</v>
      </c>
      <c r="D563" s="1" t="s">
        <v>15</v>
      </c>
      <c r="E563" s="1" t="s">
        <v>28</v>
      </c>
      <c r="F563" s="1" t="s">
        <v>29</v>
      </c>
      <c r="G563" s="1" t="s">
        <v>51</v>
      </c>
      <c r="H563" s="1" t="s">
        <v>78</v>
      </c>
      <c r="I563" s="1">
        <v>3</v>
      </c>
      <c r="J563" s="1">
        <v>42.12</v>
      </c>
      <c r="K563" s="1">
        <v>0.05</v>
      </c>
      <c r="L563" s="1">
        <v>120.04</v>
      </c>
      <c r="M563" s="1" t="str">
        <f t="shared" si="16"/>
        <v>Retail Store</v>
      </c>
      <c r="N563" s="1">
        <f t="shared" si="17"/>
        <v>421.2</v>
      </c>
    </row>
    <row r="564" spans="1:14" x14ac:dyDescent="0.3">
      <c r="A564" s="1" t="s">
        <v>1730</v>
      </c>
      <c r="B564" s="1">
        <v>46273</v>
      </c>
      <c r="C564" s="1" t="s">
        <v>54</v>
      </c>
      <c r="D564" s="1" t="s">
        <v>22</v>
      </c>
      <c r="E564" s="1" t="s">
        <v>16</v>
      </c>
      <c r="F564" s="1" t="s">
        <v>29</v>
      </c>
      <c r="G564" s="1" t="s">
        <v>55</v>
      </c>
      <c r="H564" s="1" t="s">
        <v>56</v>
      </c>
      <c r="I564" s="1">
        <v>7</v>
      </c>
      <c r="J564" s="1">
        <v>34.200000000000003</v>
      </c>
      <c r="K564" s="1">
        <v>0.08</v>
      </c>
      <c r="L564" s="1">
        <v>220.25</v>
      </c>
      <c r="M564" s="1" t="str">
        <f t="shared" si="16"/>
        <v>Online</v>
      </c>
      <c r="N564" s="1">
        <f t="shared" si="17"/>
        <v>267.12</v>
      </c>
    </row>
    <row r="565" spans="1:14" x14ac:dyDescent="0.3">
      <c r="A565" s="1" t="s">
        <v>1731</v>
      </c>
      <c r="B565" s="1">
        <v>46273</v>
      </c>
      <c r="C565" s="1" t="s">
        <v>61</v>
      </c>
      <c r="D565" s="1" t="s">
        <v>15</v>
      </c>
      <c r="E565" s="1" t="s">
        <v>16</v>
      </c>
      <c r="F565" s="1" t="s">
        <v>17</v>
      </c>
      <c r="G565" s="1" t="s">
        <v>189</v>
      </c>
      <c r="H565" s="1" t="s">
        <v>63</v>
      </c>
      <c r="I565" s="1">
        <v>2</v>
      </c>
      <c r="J565" s="1">
        <v>288</v>
      </c>
      <c r="K565" s="1">
        <v>0.08</v>
      </c>
      <c r="L565" s="1">
        <v>529.91999999999996</v>
      </c>
      <c r="M565" s="1" t="str">
        <f t="shared" si="16"/>
        <v>Retail Store</v>
      </c>
      <c r="N565" s="1">
        <f t="shared" si="17"/>
        <v>62.01</v>
      </c>
    </row>
    <row r="566" spans="1:14" x14ac:dyDescent="0.3">
      <c r="A566" s="1" t="s">
        <v>1719</v>
      </c>
      <c r="B566" s="1">
        <v>46274</v>
      </c>
      <c r="C566" s="1" t="s">
        <v>21</v>
      </c>
      <c r="D566" s="1" t="s">
        <v>27</v>
      </c>
      <c r="E566" s="1" t="s">
        <v>16</v>
      </c>
      <c r="F566" s="1" t="s">
        <v>82</v>
      </c>
      <c r="G566" s="1" t="s">
        <v>114</v>
      </c>
      <c r="H566" s="1" t="s">
        <v>44</v>
      </c>
      <c r="I566" s="1">
        <v>2</v>
      </c>
      <c r="J566" s="1">
        <v>2250</v>
      </c>
      <c r="K566" s="1">
        <v>0.03</v>
      </c>
      <c r="L566" s="1">
        <v>4365</v>
      </c>
      <c r="M566" s="1" t="str">
        <f t="shared" si="16"/>
        <v>Retail Store</v>
      </c>
      <c r="N566" s="1">
        <f t="shared" si="17"/>
        <v>405</v>
      </c>
    </row>
    <row r="567" spans="1:14" x14ac:dyDescent="0.3">
      <c r="A567" s="1" t="s">
        <v>1720</v>
      </c>
      <c r="B567" s="1">
        <v>46274</v>
      </c>
      <c r="C567" s="1" t="s">
        <v>47</v>
      </c>
      <c r="D567" s="1" t="s">
        <v>27</v>
      </c>
      <c r="E567" s="1" t="s">
        <v>16</v>
      </c>
      <c r="F567" s="1" t="s">
        <v>82</v>
      </c>
      <c r="G567" s="1" t="s">
        <v>150</v>
      </c>
      <c r="H567" s="1" t="s">
        <v>78</v>
      </c>
      <c r="I567" s="1">
        <v>3</v>
      </c>
      <c r="J567" s="1">
        <v>2937.6</v>
      </c>
      <c r="K567" s="1">
        <v>0.1</v>
      </c>
      <c r="L567" s="1">
        <v>7931.52</v>
      </c>
      <c r="M567" s="1" t="str">
        <f t="shared" si="16"/>
        <v>Retail Store</v>
      </c>
      <c r="N567" s="1">
        <f t="shared" si="17"/>
        <v>421.2</v>
      </c>
    </row>
    <row r="568" spans="1:14" x14ac:dyDescent="0.3">
      <c r="A568" s="1" t="s">
        <v>1721</v>
      </c>
      <c r="B568" s="1">
        <v>46274</v>
      </c>
      <c r="C568" s="1" t="s">
        <v>61</v>
      </c>
      <c r="D568" s="1" t="s">
        <v>35</v>
      </c>
      <c r="E568" s="1" t="s">
        <v>16</v>
      </c>
      <c r="F568" s="1" t="s">
        <v>36</v>
      </c>
      <c r="G568" s="1" t="s">
        <v>37</v>
      </c>
      <c r="H568" s="1" t="s">
        <v>73</v>
      </c>
      <c r="I568" s="1">
        <v>5</v>
      </c>
      <c r="J568" s="1">
        <v>765</v>
      </c>
      <c r="K568" s="1">
        <v>0.05</v>
      </c>
      <c r="L568" s="1">
        <v>3633.75</v>
      </c>
      <c r="M568" s="1" t="str">
        <f t="shared" si="16"/>
        <v>Online</v>
      </c>
      <c r="N568" s="1">
        <f t="shared" si="17"/>
        <v>62.01</v>
      </c>
    </row>
    <row r="569" spans="1:14" x14ac:dyDescent="0.3">
      <c r="A569" s="1" t="s">
        <v>1722</v>
      </c>
      <c r="B569" s="1">
        <v>46274</v>
      </c>
      <c r="C569" s="1" t="s">
        <v>21</v>
      </c>
      <c r="D569" s="1" t="s">
        <v>15</v>
      </c>
      <c r="E569" s="1" t="s">
        <v>28</v>
      </c>
      <c r="F569" s="1" t="s">
        <v>17</v>
      </c>
      <c r="G569" s="1" t="s">
        <v>18</v>
      </c>
      <c r="H569" s="1" t="s">
        <v>44</v>
      </c>
      <c r="I569" s="1">
        <v>2</v>
      </c>
      <c r="J569" s="1">
        <v>81</v>
      </c>
      <c r="K569" s="1">
        <v>0</v>
      </c>
      <c r="L569" s="1">
        <v>162</v>
      </c>
      <c r="M569" s="1" t="str">
        <f t="shared" si="16"/>
        <v>Retail Store</v>
      </c>
      <c r="N569" s="1">
        <f t="shared" si="17"/>
        <v>405</v>
      </c>
    </row>
    <row r="570" spans="1:14" x14ac:dyDescent="0.3">
      <c r="A570" s="1" t="s">
        <v>1723</v>
      </c>
      <c r="B570" s="1">
        <v>46274</v>
      </c>
      <c r="C570" s="1" t="s">
        <v>47</v>
      </c>
      <c r="D570" s="1" t="s">
        <v>22</v>
      </c>
      <c r="E570" s="1" t="s">
        <v>16</v>
      </c>
      <c r="F570" s="1" t="s">
        <v>42</v>
      </c>
      <c r="G570" s="1" t="s">
        <v>43</v>
      </c>
      <c r="H570" s="1" t="s">
        <v>78</v>
      </c>
      <c r="I570" s="1">
        <v>7</v>
      </c>
      <c r="J570" s="1">
        <v>153.9</v>
      </c>
      <c r="K570" s="1">
        <v>0.1</v>
      </c>
      <c r="L570" s="1">
        <v>969.57</v>
      </c>
      <c r="M570" s="1" t="str">
        <f t="shared" si="16"/>
        <v>Retail Store</v>
      </c>
      <c r="N570" s="1">
        <f t="shared" si="17"/>
        <v>421.2</v>
      </c>
    </row>
    <row r="571" spans="1:14" x14ac:dyDescent="0.3">
      <c r="A571" s="1" t="s">
        <v>1724</v>
      </c>
      <c r="B571" s="1">
        <v>46274</v>
      </c>
      <c r="C571" s="1" t="s">
        <v>14</v>
      </c>
      <c r="D571" s="1" t="s">
        <v>15</v>
      </c>
      <c r="E571" s="1" t="s">
        <v>16</v>
      </c>
      <c r="F571" s="1" t="s">
        <v>29</v>
      </c>
      <c r="G571" s="1" t="s">
        <v>51</v>
      </c>
      <c r="H571" s="1" t="s">
        <v>31</v>
      </c>
      <c r="I571" s="1">
        <v>3</v>
      </c>
      <c r="J571" s="1">
        <v>42.93</v>
      </c>
      <c r="K571" s="1">
        <v>0.15</v>
      </c>
      <c r="L571" s="1">
        <v>109.47</v>
      </c>
      <c r="M571" s="1" t="str">
        <f t="shared" si="16"/>
        <v>Online</v>
      </c>
      <c r="N571" s="1">
        <f t="shared" si="17"/>
        <v>16.2</v>
      </c>
    </row>
    <row r="572" spans="1:14" x14ac:dyDescent="0.3">
      <c r="A572" s="1" t="s">
        <v>1725</v>
      </c>
      <c r="B572" s="1">
        <v>46274</v>
      </c>
      <c r="C572" s="1" t="s">
        <v>14</v>
      </c>
      <c r="D572" s="1" t="s">
        <v>27</v>
      </c>
      <c r="E572" s="1" t="s">
        <v>28</v>
      </c>
      <c r="F572" s="1" t="s">
        <v>29</v>
      </c>
      <c r="G572" s="1" t="s">
        <v>30</v>
      </c>
      <c r="H572" s="1" t="s">
        <v>31</v>
      </c>
      <c r="I572" s="1">
        <v>4</v>
      </c>
      <c r="J572" s="1">
        <v>50.49</v>
      </c>
      <c r="K572" s="1">
        <v>0</v>
      </c>
      <c r="L572" s="1">
        <v>201.96</v>
      </c>
      <c r="M572" s="1" t="str">
        <f t="shared" si="16"/>
        <v>Online</v>
      </c>
      <c r="N572" s="1">
        <f t="shared" si="17"/>
        <v>16.2</v>
      </c>
    </row>
    <row r="573" spans="1:14" x14ac:dyDescent="0.3">
      <c r="A573" s="1" t="s">
        <v>1726</v>
      </c>
      <c r="B573" s="1">
        <v>46274</v>
      </c>
      <c r="C573" s="1" t="s">
        <v>54</v>
      </c>
      <c r="D573" s="1" t="s">
        <v>27</v>
      </c>
      <c r="E573" s="1" t="s">
        <v>16</v>
      </c>
      <c r="F573" s="1" t="s">
        <v>36</v>
      </c>
      <c r="G573" s="1" t="s">
        <v>70</v>
      </c>
      <c r="H573" s="1" t="s">
        <v>71</v>
      </c>
      <c r="I573" s="1">
        <v>5</v>
      </c>
      <c r="J573" s="1">
        <v>506.34</v>
      </c>
      <c r="K573" s="1">
        <v>0.08</v>
      </c>
      <c r="L573" s="1">
        <v>2329.16</v>
      </c>
      <c r="M573" s="1" t="str">
        <f t="shared" si="16"/>
        <v>Online</v>
      </c>
      <c r="N573" s="1">
        <f t="shared" si="17"/>
        <v>267.12</v>
      </c>
    </row>
    <row r="574" spans="1:14" x14ac:dyDescent="0.3">
      <c r="A574" s="1" t="s">
        <v>1727</v>
      </c>
      <c r="B574" s="1">
        <v>46274</v>
      </c>
      <c r="C574" s="1" t="s">
        <v>47</v>
      </c>
      <c r="D574" s="1" t="s">
        <v>15</v>
      </c>
      <c r="E574" s="1" t="s">
        <v>28</v>
      </c>
      <c r="F574" s="1" t="s">
        <v>29</v>
      </c>
      <c r="G574" s="1" t="s">
        <v>51</v>
      </c>
      <c r="H574" s="1" t="s">
        <v>78</v>
      </c>
      <c r="I574" s="1">
        <v>6</v>
      </c>
      <c r="J574" s="1">
        <v>40.5</v>
      </c>
      <c r="K574" s="1">
        <v>0.03</v>
      </c>
      <c r="L574" s="1">
        <v>235.71</v>
      </c>
      <c r="M574" s="1" t="str">
        <f t="shared" si="16"/>
        <v>Retail Store</v>
      </c>
      <c r="N574" s="1">
        <f t="shared" si="17"/>
        <v>421.2</v>
      </c>
    </row>
    <row r="575" spans="1:14" x14ac:dyDescent="0.3">
      <c r="A575" s="1" t="s">
        <v>1711</v>
      </c>
      <c r="B575" s="1">
        <v>46276</v>
      </c>
      <c r="C575" s="1" t="s">
        <v>54</v>
      </c>
      <c r="D575" s="1" t="s">
        <v>27</v>
      </c>
      <c r="E575" s="1" t="s">
        <v>16</v>
      </c>
      <c r="F575" s="1" t="s">
        <v>82</v>
      </c>
      <c r="G575" s="1" t="s">
        <v>83</v>
      </c>
      <c r="H575" s="1" t="s">
        <v>71</v>
      </c>
      <c r="I575" s="1">
        <v>3</v>
      </c>
      <c r="J575" s="1">
        <v>3780</v>
      </c>
      <c r="K575" s="1">
        <v>0.1</v>
      </c>
      <c r="L575" s="1">
        <v>10206</v>
      </c>
      <c r="M575" s="1" t="str">
        <f t="shared" si="16"/>
        <v>Online</v>
      </c>
      <c r="N575" s="1">
        <f t="shared" si="17"/>
        <v>267.12</v>
      </c>
    </row>
    <row r="576" spans="1:14" x14ac:dyDescent="0.3">
      <c r="A576" s="1" t="s">
        <v>1712</v>
      </c>
      <c r="B576" s="1">
        <v>46276</v>
      </c>
      <c r="C576" s="1" t="s">
        <v>61</v>
      </c>
      <c r="D576" s="1" t="s">
        <v>35</v>
      </c>
      <c r="E576" s="1" t="s">
        <v>16</v>
      </c>
      <c r="F576" s="1" t="s">
        <v>82</v>
      </c>
      <c r="G576" s="1" t="s">
        <v>85</v>
      </c>
      <c r="H576" s="1" t="s">
        <v>63</v>
      </c>
      <c r="I576" s="1">
        <v>2</v>
      </c>
      <c r="J576" s="1">
        <v>1620</v>
      </c>
      <c r="K576" s="1">
        <v>0.15</v>
      </c>
      <c r="L576" s="1">
        <v>2754</v>
      </c>
      <c r="M576" s="1" t="str">
        <f t="shared" si="16"/>
        <v>Retail Store</v>
      </c>
      <c r="N576" s="1">
        <f t="shared" si="17"/>
        <v>62.01</v>
      </c>
    </row>
    <row r="577" spans="1:14" x14ac:dyDescent="0.3">
      <c r="A577" s="1" t="s">
        <v>1713</v>
      </c>
      <c r="B577" s="1">
        <v>46276</v>
      </c>
      <c r="C577" s="1" t="s">
        <v>21</v>
      </c>
      <c r="D577" s="1" t="s">
        <v>35</v>
      </c>
      <c r="E577" s="1" t="s">
        <v>16</v>
      </c>
      <c r="F577" s="1" t="s">
        <v>36</v>
      </c>
      <c r="G577" s="1" t="s">
        <v>70</v>
      </c>
      <c r="H577" s="1" t="s">
        <v>25</v>
      </c>
      <c r="I577" s="1">
        <v>2</v>
      </c>
      <c r="J577" s="1">
        <v>553.32000000000005</v>
      </c>
      <c r="K577" s="1">
        <v>0.2</v>
      </c>
      <c r="L577" s="1">
        <v>885.31</v>
      </c>
      <c r="M577" s="1" t="str">
        <f t="shared" si="16"/>
        <v>Marketplace</v>
      </c>
      <c r="N577" s="1">
        <f t="shared" si="17"/>
        <v>405</v>
      </c>
    </row>
    <row r="578" spans="1:14" x14ac:dyDescent="0.3">
      <c r="A578" s="1" t="s">
        <v>1714</v>
      </c>
      <c r="B578" s="1">
        <v>46276</v>
      </c>
      <c r="C578" s="1" t="s">
        <v>21</v>
      </c>
      <c r="D578" s="1" t="s">
        <v>27</v>
      </c>
      <c r="E578" s="1" t="s">
        <v>28</v>
      </c>
      <c r="F578" s="1" t="s">
        <v>17</v>
      </c>
      <c r="G578" s="1" t="s">
        <v>189</v>
      </c>
      <c r="H578" s="1" t="s">
        <v>44</v>
      </c>
      <c r="I578" s="1">
        <v>5</v>
      </c>
      <c r="J578" s="1">
        <v>293.76</v>
      </c>
      <c r="K578" s="1">
        <v>0.08</v>
      </c>
      <c r="L578" s="1">
        <v>1351.3</v>
      </c>
      <c r="M578" s="1" t="str">
        <f t="shared" ref="M578:M641" si="18">INDEX(D:D,MATCH(H578,H:H,0))</f>
        <v>Retail Store</v>
      </c>
      <c r="N578" s="1">
        <f t="shared" ref="N578:N641" si="19">VLOOKUP(C:C,C:J,8,FALSE)</f>
        <v>405</v>
      </c>
    </row>
    <row r="579" spans="1:14" x14ac:dyDescent="0.3">
      <c r="A579" s="1" t="s">
        <v>1715</v>
      </c>
      <c r="B579" s="1">
        <v>46276</v>
      </c>
      <c r="C579" s="1" t="s">
        <v>61</v>
      </c>
      <c r="D579" s="1" t="s">
        <v>15</v>
      </c>
      <c r="E579" s="1" t="s">
        <v>28</v>
      </c>
      <c r="F579" s="1" t="s">
        <v>36</v>
      </c>
      <c r="G579" s="1" t="s">
        <v>37</v>
      </c>
      <c r="H579" s="1" t="s">
        <v>112</v>
      </c>
      <c r="I579" s="1">
        <v>2</v>
      </c>
      <c r="J579" s="1">
        <v>742.05</v>
      </c>
      <c r="K579" s="1">
        <v>0.1</v>
      </c>
      <c r="L579" s="1">
        <v>1335.69</v>
      </c>
      <c r="M579" s="1" t="str">
        <f t="shared" si="18"/>
        <v>Online</v>
      </c>
      <c r="N579" s="1">
        <f t="shared" si="19"/>
        <v>62.01</v>
      </c>
    </row>
    <row r="580" spans="1:14" x14ac:dyDescent="0.3">
      <c r="A580" s="1" t="s">
        <v>1716</v>
      </c>
      <c r="B580" s="1">
        <v>46276</v>
      </c>
      <c r="C580" s="1" t="s">
        <v>14</v>
      </c>
      <c r="D580" s="1" t="s">
        <v>27</v>
      </c>
      <c r="E580" s="1" t="s">
        <v>16</v>
      </c>
      <c r="F580" s="1" t="s">
        <v>29</v>
      </c>
      <c r="G580" s="1" t="s">
        <v>88</v>
      </c>
      <c r="H580" s="1" t="s">
        <v>31</v>
      </c>
      <c r="I580" s="1">
        <v>4</v>
      </c>
      <c r="J580" s="1">
        <v>55.58</v>
      </c>
      <c r="K580" s="1">
        <v>0</v>
      </c>
      <c r="L580" s="1">
        <v>222.3</v>
      </c>
      <c r="M580" s="1" t="str">
        <f t="shared" si="18"/>
        <v>Online</v>
      </c>
      <c r="N580" s="1">
        <f t="shared" si="19"/>
        <v>16.2</v>
      </c>
    </row>
    <row r="581" spans="1:14" x14ac:dyDescent="0.3">
      <c r="A581" s="1" t="s">
        <v>1717</v>
      </c>
      <c r="B581" s="1">
        <v>46276</v>
      </c>
      <c r="C581" s="1" t="s">
        <v>61</v>
      </c>
      <c r="D581" s="1" t="s">
        <v>22</v>
      </c>
      <c r="E581" s="1" t="s">
        <v>28</v>
      </c>
      <c r="F581" s="1" t="s">
        <v>17</v>
      </c>
      <c r="G581" s="1" t="s">
        <v>189</v>
      </c>
      <c r="H581" s="1" t="s">
        <v>63</v>
      </c>
      <c r="I581" s="1">
        <v>5</v>
      </c>
      <c r="J581" s="1">
        <v>299.52</v>
      </c>
      <c r="K581" s="1">
        <v>0.08</v>
      </c>
      <c r="L581" s="1">
        <v>1377.79</v>
      </c>
      <c r="M581" s="1" t="str">
        <f t="shared" si="18"/>
        <v>Retail Store</v>
      </c>
      <c r="N581" s="1">
        <f t="shared" si="19"/>
        <v>62.01</v>
      </c>
    </row>
    <row r="582" spans="1:14" x14ac:dyDescent="0.3">
      <c r="A582" s="1" t="s">
        <v>1718</v>
      </c>
      <c r="B582" s="1">
        <v>46276</v>
      </c>
      <c r="C582" s="1" t="s">
        <v>47</v>
      </c>
      <c r="D582" s="1" t="s">
        <v>15</v>
      </c>
      <c r="E582" s="1" t="s">
        <v>28</v>
      </c>
      <c r="F582" s="1" t="s">
        <v>17</v>
      </c>
      <c r="G582" s="1" t="s">
        <v>98</v>
      </c>
      <c r="H582" s="1" t="s">
        <v>78</v>
      </c>
      <c r="I582" s="1">
        <v>3</v>
      </c>
      <c r="J582" s="1">
        <v>429.3</v>
      </c>
      <c r="K582" s="1">
        <v>0.1</v>
      </c>
      <c r="L582" s="1">
        <v>1159.1099999999999</v>
      </c>
      <c r="M582" s="1" t="str">
        <f t="shared" si="18"/>
        <v>Retail Store</v>
      </c>
      <c r="N582" s="1">
        <f t="shared" si="19"/>
        <v>421.2</v>
      </c>
    </row>
    <row r="583" spans="1:14" x14ac:dyDescent="0.3">
      <c r="A583" s="1" t="s">
        <v>1705</v>
      </c>
      <c r="B583" s="1">
        <v>46277</v>
      </c>
      <c r="C583" s="1" t="s">
        <v>61</v>
      </c>
      <c r="D583" s="1" t="s">
        <v>15</v>
      </c>
      <c r="E583" s="1" t="s">
        <v>16</v>
      </c>
      <c r="F583" s="1" t="s">
        <v>82</v>
      </c>
      <c r="G583" s="1" t="s">
        <v>114</v>
      </c>
      <c r="H583" s="1" t="s">
        <v>73</v>
      </c>
      <c r="I583" s="1">
        <v>2</v>
      </c>
      <c r="J583" s="1">
        <v>2385</v>
      </c>
      <c r="K583" s="1">
        <v>0.1</v>
      </c>
      <c r="L583" s="1">
        <v>4293</v>
      </c>
      <c r="M583" s="1" t="str">
        <f t="shared" si="18"/>
        <v>Online</v>
      </c>
      <c r="N583" s="1">
        <f t="shared" si="19"/>
        <v>62.01</v>
      </c>
    </row>
    <row r="584" spans="1:14" x14ac:dyDescent="0.3">
      <c r="A584" s="1" t="s">
        <v>1706</v>
      </c>
      <c r="B584" s="1">
        <v>46277</v>
      </c>
      <c r="C584" s="1" t="s">
        <v>54</v>
      </c>
      <c r="D584" s="1" t="s">
        <v>15</v>
      </c>
      <c r="E584" s="1" t="s">
        <v>28</v>
      </c>
      <c r="F584" s="1" t="s">
        <v>29</v>
      </c>
      <c r="G584" s="1" t="s">
        <v>39</v>
      </c>
      <c r="H584" s="1" t="s">
        <v>56</v>
      </c>
      <c r="I584" s="1">
        <v>4</v>
      </c>
      <c r="J584" s="1">
        <v>72</v>
      </c>
      <c r="K584" s="1">
        <v>0.1</v>
      </c>
      <c r="L584" s="1">
        <v>259.2</v>
      </c>
      <c r="M584" s="1" t="str">
        <f t="shared" si="18"/>
        <v>Online</v>
      </c>
      <c r="N584" s="1">
        <f t="shared" si="19"/>
        <v>267.12</v>
      </c>
    </row>
    <row r="585" spans="1:14" x14ac:dyDescent="0.3">
      <c r="A585" s="1" t="s">
        <v>1707</v>
      </c>
      <c r="B585" s="1">
        <v>46277</v>
      </c>
      <c r="C585" s="1" t="s">
        <v>54</v>
      </c>
      <c r="D585" s="1" t="s">
        <v>15</v>
      </c>
      <c r="E585" s="1" t="s">
        <v>16</v>
      </c>
      <c r="F585" s="1" t="s">
        <v>36</v>
      </c>
      <c r="G585" s="1" t="s">
        <v>37</v>
      </c>
      <c r="H585" s="1" t="s">
        <v>56</v>
      </c>
      <c r="I585" s="1">
        <v>2</v>
      </c>
      <c r="J585" s="1">
        <v>765</v>
      </c>
      <c r="K585" s="1">
        <v>0.1</v>
      </c>
      <c r="L585" s="1">
        <v>1377</v>
      </c>
      <c r="M585" s="1" t="str">
        <f t="shared" si="18"/>
        <v>Online</v>
      </c>
      <c r="N585" s="1">
        <f t="shared" si="19"/>
        <v>267.12</v>
      </c>
    </row>
    <row r="586" spans="1:14" x14ac:dyDescent="0.3">
      <c r="A586" s="1" t="s">
        <v>1708</v>
      </c>
      <c r="B586" s="1">
        <v>46277</v>
      </c>
      <c r="C586" s="1" t="s">
        <v>61</v>
      </c>
      <c r="D586" s="1" t="s">
        <v>15</v>
      </c>
      <c r="E586" s="1" t="s">
        <v>16</v>
      </c>
      <c r="F586" s="1" t="s">
        <v>42</v>
      </c>
      <c r="G586" s="1" t="s">
        <v>65</v>
      </c>
      <c r="H586" s="1" t="s">
        <v>63</v>
      </c>
      <c r="I586" s="1">
        <v>2</v>
      </c>
      <c r="J586" s="1">
        <v>654.75</v>
      </c>
      <c r="K586" s="1">
        <v>0.05</v>
      </c>
      <c r="L586" s="1">
        <v>1244.03</v>
      </c>
      <c r="M586" s="1" t="str">
        <f t="shared" si="18"/>
        <v>Retail Store</v>
      </c>
      <c r="N586" s="1">
        <f t="shared" si="19"/>
        <v>62.01</v>
      </c>
    </row>
    <row r="587" spans="1:14" x14ac:dyDescent="0.3">
      <c r="A587" s="1" t="s">
        <v>1709</v>
      </c>
      <c r="B587" s="1">
        <v>46277</v>
      </c>
      <c r="C587" s="1" t="s">
        <v>61</v>
      </c>
      <c r="D587" s="1" t="s">
        <v>27</v>
      </c>
      <c r="E587" s="1" t="s">
        <v>16</v>
      </c>
      <c r="F587" s="1" t="s">
        <v>23</v>
      </c>
      <c r="G587" s="1" t="s">
        <v>142</v>
      </c>
      <c r="H587" s="1" t="s">
        <v>112</v>
      </c>
      <c r="I587" s="1">
        <v>4</v>
      </c>
      <c r="J587" s="1">
        <v>15.39</v>
      </c>
      <c r="K587" s="1">
        <v>0.08</v>
      </c>
      <c r="L587" s="1">
        <v>56.64</v>
      </c>
      <c r="M587" s="1" t="str">
        <f t="shared" si="18"/>
        <v>Online</v>
      </c>
      <c r="N587" s="1">
        <f t="shared" si="19"/>
        <v>62.01</v>
      </c>
    </row>
    <row r="588" spans="1:14" x14ac:dyDescent="0.3">
      <c r="A588" s="1" t="s">
        <v>1710</v>
      </c>
      <c r="B588" s="1">
        <v>46277</v>
      </c>
      <c r="C588" s="1" t="s">
        <v>47</v>
      </c>
      <c r="D588" s="1" t="s">
        <v>15</v>
      </c>
      <c r="E588" s="1" t="s">
        <v>28</v>
      </c>
      <c r="F588" s="1" t="s">
        <v>29</v>
      </c>
      <c r="G588" s="1" t="s">
        <v>33</v>
      </c>
      <c r="H588" s="1" t="s">
        <v>78</v>
      </c>
      <c r="I588" s="1">
        <v>5</v>
      </c>
      <c r="J588" s="1">
        <v>13.1</v>
      </c>
      <c r="K588" s="1">
        <v>0.1</v>
      </c>
      <c r="L588" s="1">
        <v>58.93</v>
      </c>
      <c r="M588" s="1" t="str">
        <f t="shared" si="18"/>
        <v>Retail Store</v>
      </c>
      <c r="N588" s="1">
        <f t="shared" si="19"/>
        <v>421.2</v>
      </c>
    </row>
    <row r="589" spans="1:14" x14ac:dyDescent="0.3">
      <c r="A589" s="1" t="s">
        <v>1702</v>
      </c>
      <c r="B589" s="1">
        <v>46296</v>
      </c>
      <c r="C589" s="1" t="s">
        <v>47</v>
      </c>
      <c r="D589" s="1" t="s">
        <v>35</v>
      </c>
      <c r="E589" s="1" t="s">
        <v>16</v>
      </c>
      <c r="F589" s="1" t="s">
        <v>17</v>
      </c>
      <c r="G589" s="1" t="s">
        <v>62</v>
      </c>
      <c r="H589" s="1" t="s">
        <v>49</v>
      </c>
      <c r="I589" s="1">
        <v>7</v>
      </c>
      <c r="J589" s="1">
        <v>54</v>
      </c>
      <c r="K589" s="1">
        <v>0.08</v>
      </c>
      <c r="L589" s="1">
        <v>347.76</v>
      </c>
      <c r="M589" s="1" t="str">
        <f t="shared" si="18"/>
        <v>Retail Store</v>
      </c>
      <c r="N589" s="1">
        <f t="shared" si="19"/>
        <v>421.2</v>
      </c>
    </row>
    <row r="590" spans="1:14" x14ac:dyDescent="0.3">
      <c r="A590" s="1" t="s">
        <v>1703</v>
      </c>
      <c r="B590" s="1">
        <v>46296</v>
      </c>
      <c r="C590" s="1" t="s">
        <v>21</v>
      </c>
      <c r="D590" s="1" t="s">
        <v>27</v>
      </c>
      <c r="E590" s="1" t="s">
        <v>16</v>
      </c>
      <c r="F590" s="1" t="s">
        <v>29</v>
      </c>
      <c r="G590" s="1" t="s">
        <v>33</v>
      </c>
      <c r="H590" s="1" t="s">
        <v>86</v>
      </c>
      <c r="I590" s="1">
        <v>2</v>
      </c>
      <c r="J590" s="1">
        <v>13.5</v>
      </c>
      <c r="K590" s="1">
        <v>0.1</v>
      </c>
      <c r="L590" s="1">
        <v>24.3</v>
      </c>
      <c r="M590" s="1" t="str">
        <f t="shared" si="18"/>
        <v>Online</v>
      </c>
      <c r="N590" s="1">
        <f t="shared" si="19"/>
        <v>405</v>
      </c>
    </row>
    <row r="591" spans="1:14" x14ac:dyDescent="0.3">
      <c r="A591" s="1" t="s">
        <v>1704</v>
      </c>
      <c r="B591" s="1">
        <v>46296</v>
      </c>
      <c r="C591" s="1" t="s">
        <v>54</v>
      </c>
      <c r="D591" s="1" t="s">
        <v>22</v>
      </c>
      <c r="E591" s="1" t="s">
        <v>28</v>
      </c>
      <c r="F591" s="1" t="s">
        <v>82</v>
      </c>
      <c r="G591" s="1" t="s">
        <v>114</v>
      </c>
      <c r="H591" s="1" t="s">
        <v>80</v>
      </c>
      <c r="I591" s="1">
        <v>2</v>
      </c>
      <c r="J591" s="1">
        <v>2250</v>
      </c>
      <c r="K591" s="1">
        <v>0.08</v>
      </c>
      <c r="L591" s="1">
        <v>4140</v>
      </c>
      <c r="M591" s="1" t="str">
        <f t="shared" si="18"/>
        <v>Marketplace</v>
      </c>
      <c r="N591" s="1">
        <f t="shared" si="19"/>
        <v>267.12</v>
      </c>
    </row>
    <row r="592" spans="1:14" x14ac:dyDescent="0.3">
      <c r="A592" s="1" t="s">
        <v>1696</v>
      </c>
      <c r="B592" s="1">
        <v>46297</v>
      </c>
      <c r="C592" s="1" t="s">
        <v>54</v>
      </c>
      <c r="D592" s="1" t="s">
        <v>27</v>
      </c>
      <c r="E592" s="1" t="s">
        <v>16</v>
      </c>
      <c r="F592" s="1" t="s">
        <v>36</v>
      </c>
      <c r="G592" s="1" t="s">
        <v>77</v>
      </c>
      <c r="H592" s="1" t="s">
        <v>71</v>
      </c>
      <c r="I592" s="1">
        <v>3</v>
      </c>
      <c r="J592" s="1">
        <v>1282.5</v>
      </c>
      <c r="K592" s="1">
        <v>0.03</v>
      </c>
      <c r="L592" s="1">
        <v>3732.08</v>
      </c>
      <c r="M592" s="1" t="str">
        <f t="shared" si="18"/>
        <v>Online</v>
      </c>
      <c r="N592" s="1">
        <f t="shared" si="19"/>
        <v>267.12</v>
      </c>
    </row>
    <row r="593" spans="1:14" x14ac:dyDescent="0.3">
      <c r="A593" s="1" t="s">
        <v>1697</v>
      </c>
      <c r="B593" s="1">
        <v>46297</v>
      </c>
      <c r="C593" s="1" t="s">
        <v>21</v>
      </c>
      <c r="D593" s="1" t="s">
        <v>15</v>
      </c>
      <c r="E593" s="1" t="s">
        <v>28</v>
      </c>
      <c r="F593" s="1" t="s">
        <v>23</v>
      </c>
      <c r="G593" s="1" t="s">
        <v>103</v>
      </c>
      <c r="H593" s="1" t="s">
        <v>86</v>
      </c>
      <c r="I593" s="1">
        <v>2</v>
      </c>
      <c r="J593" s="1">
        <v>11.23</v>
      </c>
      <c r="K593" s="1">
        <v>0.08</v>
      </c>
      <c r="L593" s="1">
        <v>20.67</v>
      </c>
      <c r="M593" s="1" t="str">
        <f t="shared" si="18"/>
        <v>Online</v>
      </c>
      <c r="N593" s="1">
        <f t="shared" si="19"/>
        <v>405</v>
      </c>
    </row>
    <row r="594" spans="1:14" x14ac:dyDescent="0.3">
      <c r="A594" s="1" t="s">
        <v>1698</v>
      </c>
      <c r="B594" s="1">
        <v>46297</v>
      </c>
      <c r="C594" s="1" t="s">
        <v>54</v>
      </c>
      <c r="D594" s="1" t="s">
        <v>15</v>
      </c>
      <c r="E594" s="1" t="s">
        <v>16</v>
      </c>
      <c r="F594" s="1" t="s">
        <v>23</v>
      </c>
      <c r="G594" s="1" t="s">
        <v>103</v>
      </c>
      <c r="H594" s="1" t="s">
        <v>80</v>
      </c>
      <c r="I594" s="1">
        <v>6</v>
      </c>
      <c r="J594" s="1">
        <v>11.23</v>
      </c>
      <c r="K594" s="1">
        <v>0.05</v>
      </c>
      <c r="L594" s="1">
        <v>64.02</v>
      </c>
      <c r="M594" s="1" t="str">
        <f t="shared" si="18"/>
        <v>Marketplace</v>
      </c>
      <c r="N594" s="1">
        <f t="shared" si="19"/>
        <v>267.12</v>
      </c>
    </row>
    <row r="595" spans="1:14" x14ac:dyDescent="0.3">
      <c r="A595" s="1" t="s">
        <v>1699</v>
      </c>
      <c r="B595" s="1">
        <v>46297</v>
      </c>
      <c r="C595" s="1" t="s">
        <v>47</v>
      </c>
      <c r="D595" s="1" t="s">
        <v>35</v>
      </c>
      <c r="E595" s="1" t="s">
        <v>16</v>
      </c>
      <c r="F595" s="1" t="s">
        <v>82</v>
      </c>
      <c r="G595" s="1" t="s">
        <v>114</v>
      </c>
      <c r="H595" s="1" t="s">
        <v>78</v>
      </c>
      <c r="I595" s="1">
        <v>3</v>
      </c>
      <c r="J595" s="1">
        <v>2250</v>
      </c>
      <c r="K595" s="1">
        <v>0.08</v>
      </c>
      <c r="L595" s="1">
        <v>6210</v>
      </c>
      <c r="M595" s="1" t="str">
        <f t="shared" si="18"/>
        <v>Retail Store</v>
      </c>
      <c r="N595" s="1">
        <f t="shared" si="19"/>
        <v>421.2</v>
      </c>
    </row>
    <row r="596" spans="1:14" x14ac:dyDescent="0.3">
      <c r="A596" s="1" t="s">
        <v>1700</v>
      </c>
      <c r="B596" s="1">
        <v>46297</v>
      </c>
      <c r="C596" s="1" t="s">
        <v>14</v>
      </c>
      <c r="D596" s="1" t="s">
        <v>27</v>
      </c>
      <c r="E596" s="1" t="s">
        <v>16</v>
      </c>
      <c r="F596" s="1" t="s">
        <v>82</v>
      </c>
      <c r="G596" s="1" t="s">
        <v>150</v>
      </c>
      <c r="H596" s="1" t="s">
        <v>40</v>
      </c>
      <c r="I596" s="1">
        <v>2</v>
      </c>
      <c r="J596" s="1">
        <v>2880</v>
      </c>
      <c r="K596" s="1">
        <v>0</v>
      </c>
      <c r="L596" s="1">
        <v>5760</v>
      </c>
      <c r="M596" s="1" t="str">
        <f t="shared" si="18"/>
        <v>Online</v>
      </c>
      <c r="N596" s="1">
        <f t="shared" si="19"/>
        <v>16.2</v>
      </c>
    </row>
    <row r="597" spans="1:14" x14ac:dyDescent="0.3">
      <c r="A597" s="1" t="s">
        <v>1701</v>
      </c>
      <c r="B597" s="1">
        <v>46297</v>
      </c>
      <c r="C597" s="1" t="s">
        <v>54</v>
      </c>
      <c r="D597" s="1" t="s">
        <v>27</v>
      </c>
      <c r="E597" s="1" t="s">
        <v>16</v>
      </c>
      <c r="F597" s="1" t="s">
        <v>23</v>
      </c>
      <c r="G597" s="1" t="s">
        <v>103</v>
      </c>
      <c r="H597" s="1" t="s">
        <v>71</v>
      </c>
      <c r="I597" s="1">
        <v>4</v>
      </c>
      <c r="J597" s="1">
        <v>11.23</v>
      </c>
      <c r="K597" s="1">
        <v>0.1</v>
      </c>
      <c r="L597" s="1">
        <v>40.44</v>
      </c>
      <c r="M597" s="1" t="str">
        <f t="shared" si="18"/>
        <v>Online</v>
      </c>
      <c r="N597" s="1">
        <f t="shared" si="19"/>
        <v>267.12</v>
      </c>
    </row>
    <row r="598" spans="1:14" x14ac:dyDescent="0.3">
      <c r="A598" s="1" t="s">
        <v>1693</v>
      </c>
      <c r="B598" s="1">
        <v>46298</v>
      </c>
      <c r="C598" s="1" t="s">
        <v>21</v>
      </c>
      <c r="D598" s="1" t="s">
        <v>35</v>
      </c>
      <c r="E598" s="1" t="s">
        <v>16</v>
      </c>
      <c r="F598" s="1" t="s">
        <v>36</v>
      </c>
      <c r="G598" s="1" t="s">
        <v>37</v>
      </c>
      <c r="H598" s="1" t="s">
        <v>25</v>
      </c>
      <c r="I598" s="1">
        <v>2</v>
      </c>
      <c r="J598" s="1">
        <v>765</v>
      </c>
      <c r="K598" s="1">
        <v>0.03</v>
      </c>
      <c r="L598" s="1">
        <v>1484.1</v>
      </c>
      <c r="M598" s="1" t="str">
        <f t="shared" si="18"/>
        <v>Marketplace</v>
      </c>
      <c r="N598" s="1">
        <f t="shared" si="19"/>
        <v>405</v>
      </c>
    </row>
    <row r="599" spans="1:14" x14ac:dyDescent="0.3">
      <c r="A599" s="1" t="s">
        <v>1694</v>
      </c>
      <c r="B599" s="1">
        <v>46298</v>
      </c>
      <c r="C599" s="1" t="s">
        <v>21</v>
      </c>
      <c r="D599" s="1" t="s">
        <v>15</v>
      </c>
      <c r="E599" s="1" t="s">
        <v>16</v>
      </c>
      <c r="F599" s="1" t="s">
        <v>29</v>
      </c>
      <c r="G599" s="1" t="s">
        <v>55</v>
      </c>
      <c r="H599" s="1" t="s">
        <v>44</v>
      </c>
      <c r="I599" s="1">
        <v>5</v>
      </c>
      <c r="J599" s="1">
        <v>34.880000000000003</v>
      </c>
      <c r="K599" s="1">
        <v>0.1</v>
      </c>
      <c r="L599" s="1">
        <v>156.97999999999999</v>
      </c>
      <c r="M599" s="1" t="str">
        <f t="shared" si="18"/>
        <v>Retail Store</v>
      </c>
      <c r="N599" s="1">
        <f t="shared" si="19"/>
        <v>405</v>
      </c>
    </row>
    <row r="600" spans="1:14" x14ac:dyDescent="0.3">
      <c r="A600" s="1" t="s">
        <v>1695</v>
      </c>
      <c r="B600" s="1">
        <v>46298</v>
      </c>
      <c r="C600" s="1" t="s">
        <v>14</v>
      </c>
      <c r="D600" s="1" t="s">
        <v>27</v>
      </c>
      <c r="E600" s="1" t="s">
        <v>16</v>
      </c>
      <c r="F600" s="1" t="s">
        <v>82</v>
      </c>
      <c r="G600" s="1" t="s">
        <v>114</v>
      </c>
      <c r="H600" s="1" t="s">
        <v>40</v>
      </c>
      <c r="I600" s="1">
        <v>2</v>
      </c>
      <c r="J600" s="1">
        <v>2137.5</v>
      </c>
      <c r="K600" s="1">
        <v>0.03</v>
      </c>
      <c r="L600" s="1">
        <v>4146.75</v>
      </c>
      <c r="M600" s="1" t="str">
        <f t="shared" si="18"/>
        <v>Online</v>
      </c>
      <c r="N600" s="1">
        <f t="shared" si="19"/>
        <v>16.2</v>
      </c>
    </row>
    <row r="601" spans="1:14" x14ac:dyDescent="0.3">
      <c r="A601" s="1" t="s">
        <v>1691</v>
      </c>
      <c r="B601" s="1">
        <v>46299</v>
      </c>
      <c r="C601" s="1" t="s">
        <v>14</v>
      </c>
      <c r="D601" s="1" t="s">
        <v>22</v>
      </c>
      <c r="E601" s="1" t="s">
        <v>16</v>
      </c>
      <c r="F601" s="1" t="s">
        <v>82</v>
      </c>
      <c r="G601" s="1" t="s">
        <v>114</v>
      </c>
      <c r="H601" s="1" t="s">
        <v>40</v>
      </c>
      <c r="I601" s="1">
        <v>3</v>
      </c>
      <c r="J601" s="1">
        <v>2182.5</v>
      </c>
      <c r="K601" s="1">
        <v>0.05</v>
      </c>
      <c r="L601" s="1">
        <v>6220.13</v>
      </c>
      <c r="M601" s="1" t="str">
        <f t="shared" si="18"/>
        <v>Online</v>
      </c>
      <c r="N601" s="1">
        <f t="shared" si="19"/>
        <v>16.2</v>
      </c>
    </row>
    <row r="602" spans="1:14" x14ac:dyDescent="0.3">
      <c r="A602" s="1" t="s">
        <v>1692</v>
      </c>
      <c r="B602" s="1">
        <v>46299</v>
      </c>
      <c r="C602" s="1" t="s">
        <v>54</v>
      </c>
      <c r="D602" s="1" t="s">
        <v>22</v>
      </c>
      <c r="E602" s="1" t="s">
        <v>28</v>
      </c>
      <c r="F602" s="1" t="s">
        <v>29</v>
      </c>
      <c r="G602" s="1" t="s">
        <v>88</v>
      </c>
      <c r="H602" s="1" t="s">
        <v>56</v>
      </c>
      <c r="I602" s="1">
        <v>3</v>
      </c>
      <c r="J602" s="1">
        <v>62.01</v>
      </c>
      <c r="K602" s="1">
        <v>0.05</v>
      </c>
      <c r="L602" s="1">
        <v>176.73</v>
      </c>
      <c r="M602" s="1" t="str">
        <f t="shared" si="18"/>
        <v>Online</v>
      </c>
      <c r="N602" s="1">
        <f t="shared" si="19"/>
        <v>267.12</v>
      </c>
    </row>
    <row r="603" spans="1:14" x14ac:dyDescent="0.3">
      <c r="A603" s="1" t="s">
        <v>1684</v>
      </c>
      <c r="B603" s="1">
        <v>46300</v>
      </c>
      <c r="C603" s="1" t="s">
        <v>14</v>
      </c>
      <c r="D603" s="1" t="s">
        <v>27</v>
      </c>
      <c r="E603" s="1" t="s">
        <v>28</v>
      </c>
      <c r="F603" s="1" t="s">
        <v>29</v>
      </c>
      <c r="G603" s="1" t="s">
        <v>55</v>
      </c>
      <c r="H603" s="1" t="s">
        <v>31</v>
      </c>
      <c r="I603" s="1">
        <v>5</v>
      </c>
      <c r="J603" s="1">
        <v>34.200000000000003</v>
      </c>
      <c r="K603" s="1">
        <v>0.1</v>
      </c>
      <c r="L603" s="1">
        <v>153.9</v>
      </c>
      <c r="M603" s="1" t="str">
        <f t="shared" si="18"/>
        <v>Online</v>
      </c>
      <c r="N603" s="1">
        <f t="shared" si="19"/>
        <v>16.2</v>
      </c>
    </row>
    <row r="604" spans="1:14" x14ac:dyDescent="0.3">
      <c r="A604" s="1" t="s">
        <v>1685</v>
      </c>
      <c r="B604" s="1">
        <v>46300</v>
      </c>
      <c r="C604" s="1" t="s">
        <v>54</v>
      </c>
      <c r="D604" s="1" t="s">
        <v>35</v>
      </c>
      <c r="E604" s="1" t="s">
        <v>16</v>
      </c>
      <c r="F604" s="1" t="s">
        <v>82</v>
      </c>
      <c r="G604" s="1" t="s">
        <v>83</v>
      </c>
      <c r="H604" s="1" t="s">
        <v>56</v>
      </c>
      <c r="I604" s="1">
        <v>3</v>
      </c>
      <c r="J604" s="1">
        <v>3780</v>
      </c>
      <c r="K604" s="1">
        <v>0.03</v>
      </c>
      <c r="L604" s="1">
        <v>10999.8</v>
      </c>
      <c r="M604" s="1" t="str">
        <f t="shared" si="18"/>
        <v>Online</v>
      </c>
      <c r="N604" s="1">
        <f t="shared" si="19"/>
        <v>267.12</v>
      </c>
    </row>
    <row r="605" spans="1:14" x14ac:dyDescent="0.3">
      <c r="A605" s="1" t="s">
        <v>1686</v>
      </c>
      <c r="B605" s="1">
        <v>46300</v>
      </c>
      <c r="C605" s="1" t="s">
        <v>47</v>
      </c>
      <c r="D605" s="1" t="s">
        <v>15</v>
      </c>
      <c r="E605" s="1" t="s">
        <v>28</v>
      </c>
      <c r="F605" s="1" t="s">
        <v>29</v>
      </c>
      <c r="G605" s="1" t="s">
        <v>33</v>
      </c>
      <c r="H605" s="1" t="s">
        <v>49</v>
      </c>
      <c r="I605" s="1">
        <v>5</v>
      </c>
      <c r="J605" s="1">
        <v>14.31</v>
      </c>
      <c r="K605" s="1">
        <v>0.1</v>
      </c>
      <c r="L605" s="1">
        <v>64.400000000000006</v>
      </c>
      <c r="M605" s="1" t="str">
        <f t="shared" si="18"/>
        <v>Retail Store</v>
      </c>
      <c r="N605" s="1">
        <f t="shared" si="19"/>
        <v>421.2</v>
      </c>
    </row>
    <row r="606" spans="1:14" x14ac:dyDescent="0.3">
      <c r="A606" s="1" t="s">
        <v>1687</v>
      </c>
      <c r="B606" s="1">
        <v>46300</v>
      </c>
      <c r="C606" s="1" t="s">
        <v>47</v>
      </c>
      <c r="D606" s="1" t="s">
        <v>35</v>
      </c>
      <c r="E606" s="1" t="s">
        <v>16</v>
      </c>
      <c r="F606" s="1" t="s">
        <v>36</v>
      </c>
      <c r="G606" s="1" t="s">
        <v>37</v>
      </c>
      <c r="H606" s="1" t="s">
        <v>78</v>
      </c>
      <c r="I606" s="1">
        <v>2</v>
      </c>
      <c r="J606" s="1">
        <v>765</v>
      </c>
      <c r="K606" s="1">
        <v>0</v>
      </c>
      <c r="L606" s="1">
        <v>1530</v>
      </c>
      <c r="M606" s="1" t="str">
        <f t="shared" si="18"/>
        <v>Retail Store</v>
      </c>
      <c r="N606" s="1">
        <f t="shared" si="19"/>
        <v>421.2</v>
      </c>
    </row>
    <row r="607" spans="1:14" x14ac:dyDescent="0.3">
      <c r="A607" s="1" t="s">
        <v>1688</v>
      </c>
      <c r="B607" s="1">
        <v>46300</v>
      </c>
      <c r="C607" s="1" t="s">
        <v>21</v>
      </c>
      <c r="D607" s="1" t="s">
        <v>15</v>
      </c>
      <c r="E607" s="1" t="s">
        <v>16</v>
      </c>
      <c r="F607" s="1" t="s">
        <v>36</v>
      </c>
      <c r="G607" s="1" t="s">
        <v>119</v>
      </c>
      <c r="H607" s="1" t="s">
        <v>86</v>
      </c>
      <c r="I607" s="1">
        <v>3</v>
      </c>
      <c r="J607" s="1">
        <v>655.20000000000005</v>
      </c>
      <c r="K607" s="1">
        <v>0</v>
      </c>
      <c r="L607" s="1">
        <v>1965.6</v>
      </c>
      <c r="M607" s="1" t="str">
        <f t="shared" si="18"/>
        <v>Online</v>
      </c>
      <c r="N607" s="1">
        <f t="shared" si="19"/>
        <v>405</v>
      </c>
    </row>
    <row r="608" spans="1:14" x14ac:dyDescent="0.3">
      <c r="A608" s="1" t="s">
        <v>1689</v>
      </c>
      <c r="B608" s="1">
        <v>46300</v>
      </c>
      <c r="C608" s="1" t="s">
        <v>21</v>
      </c>
      <c r="D608" s="1" t="s">
        <v>22</v>
      </c>
      <c r="E608" s="1" t="s">
        <v>28</v>
      </c>
      <c r="F608" s="1" t="s">
        <v>82</v>
      </c>
      <c r="G608" s="1" t="s">
        <v>96</v>
      </c>
      <c r="H608" s="1" t="s">
        <v>44</v>
      </c>
      <c r="I608" s="1">
        <v>2</v>
      </c>
      <c r="J608" s="1">
        <v>2700</v>
      </c>
      <c r="K608" s="1">
        <v>0.08</v>
      </c>
      <c r="L608" s="1">
        <v>4968</v>
      </c>
      <c r="M608" s="1" t="str">
        <f t="shared" si="18"/>
        <v>Retail Store</v>
      </c>
      <c r="N608" s="1">
        <f t="shared" si="19"/>
        <v>405</v>
      </c>
    </row>
    <row r="609" spans="1:14" x14ac:dyDescent="0.3">
      <c r="A609" s="1" t="s">
        <v>1690</v>
      </c>
      <c r="B609" s="1">
        <v>46300</v>
      </c>
      <c r="C609" s="1" t="s">
        <v>47</v>
      </c>
      <c r="D609" s="1" t="s">
        <v>27</v>
      </c>
      <c r="E609" s="1" t="s">
        <v>16</v>
      </c>
      <c r="F609" s="1" t="s">
        <v>23</v>
      </c>
      <c r="G609" s="1" t="s">
        <v>178</v>
      </c>
      <c r="H609" s="1" t="s">
        <v>58</v>
      </c>
      <c r="I609" s="1">
        <v>3</v>
      </c>
      <c r="J609" s="1">
        <v>33.39</v>
      </c>
      <c r="K609" s="1">
        <v>0.03</v>
      </c>
      <c r="L609" s="1">
        <v>97.16</v>
      </c>
      <c r="M609" s="1" t="str">
        <f t="shared" si="18"/>
        <v>Corporate Sales</v>
      </c>
      <c r="N609" s="1">
        <f t="shared" si="19"/>
        <v>421.2</v>
      </c>
    </row>
    <row r="610" spans="1:14" x14ac:dyDescent="0.3">
      <c r="A610" s="1" t="s">
        <v>1678</v>
      </c>
      <c r="B610" s="1">
        <v>46301</v>
      </c>
      <c r="C610" s="1" t="s">
        <v>21</v>
      </c>
      <c r="D610" s="1" t="s">
        <v>35</v>
      </c>
      <c r="E610" s="1" t="s">
        <v>16</v>
      </c>
      <c r="F610" s="1" t="s">
        <v>82</v>
      </c>
      <c r="G610" s="1" t="s">
        <v>83</v>
      </c>
      <c r="H610" s="1" t="s">
        <v>44</v>
      </c>
      <c r="I610" s="1">
        <v>2</v>
      </c>
      <c r="J610" s="1">
        <v>3780</v>
      </c>
      <c r="K610" s="1">
        <v>0.1</v>
      </c>
      <c r="L610" s="1">
        <v>6804</v>
      </c>
      <c r="M610" s="1" t="str">
        <f t="shared" si="18"/>
        <v>Retail Store</v>
      </c>
      <c r="N610" s="1">
        <f t="shared" si="19"/>
        <v>405</v>
      </c>
    </row>
    <row r="611" spans="1:14" x14ac:dyDescent="0.3">
      <c r="A611" s="1" t="s">
        <v>1679</v>
      </c>
      <c r="B611" s="1">
        <v>46301</v>
      </c>
      <c r="C611" s="1" t="s">
        <v>14</v>
      </c>
      <c r="D611" s="1" t="s">
        <v>15</v>
      </c>
      <c r="E611" s="1" t="s">
        <v>28</v>
      </c>
      <c r="F611" s="1" t="s">
        <v>23</v>
      </c>
      <c r="G611" s="1" t="s">
        <v>178</v>
      </c>
      <c r="H611" s="1" t="s">
        <v>40</v>
      </c>
      <c r="I611" s="1">
        <v>2</v>
      </c>
      <c r="J611" s="1">
        <v>30.56</v>
      </c>
      <c r="K611" s="1">
        <v>0.03</v>
      </c>
      <c r="L611" s="1">
        <v>59.28</v>
      </c>
      <c r="M611" s="1" t="str">
        <f t="shared" si="18"/>
        <v>Online</v>
      </c>
      <c r="N611" s="1">
        <f t="shared" si="19"/>
        <v>16.2</v>
      </c>
    </row>
    <row r="612" spans="1:14" x14ac:dyDescent="0.3">
      <c r="A612" s="1" t="s">
        <v>1680</v>
      </c>
      <c r="B612" s="1">
        <v>46301</v>
      </c>
      <c r="C612" s="1" t="s">
        <v>61</v>
      </c>
      <c r="D612" s="1" t="s">
        <v>35</v>
      </c>
      <c r="E612" s="1" t="s">
        <v>16</v>
      </c>
      <c r="F612" s="1" t="s">
        <v>42</v>
      </c>
      <c r="G612" s="1" t="s">
        <v>48</v>
      </c>
      <c r="H612" s="1" t="s">
        <v>112</v>
      </c>
      <c r="I612" s="1">
        <v>6</v>
      </c>
      <c r="J612" s="1">
        <v>18</v>
      </c>
      <c r="K612" s="1">
        <v>0.05</v>
      </c>
      <c r="L612" s="1">
        <v>102.6</v>
      </c>
      <c r="M612" s="1" t="str">
        <f t="shared" si="18"/>
        <v>Online</v>
      </c>
      <c r="N612" s="1">
        <f t="shared" si="19"/>
        <v>62.01</v>
      </c>
    </row>
    <row r="613" spans="1:14" x14ac:dyDescent="0.3">
      <c r="A613" s="1" t="s">
        <v>1681</v>
      </c>
      <c r="B613" s="1">
        <v>46301</v>
      </c>
      <c r="C613" s="1" t="s">
        <v>47</v>
      </c>
      <c r="D613" s="1" t="s">
        <v>15</v>
      </c>
      <c r="E613" s="1" t="s">
        <v>16</v>
      </c>
      <c r="F613" s="1" t="s">
        <v>29</v>
      </c>
      <c r="G613" s="1" t="s">
        <v>33</v>
      </c>
      <c r="H613" s="1" t="s">
        <v>78</v>
      </c>
      <c r="I613" s="1">
        <v>4</v>
      </c>
      <c r="J613" s="1">
        <v>13.1</v>
      </c>
      <c r="K613" s="1">
        <v>0.05</v>
      </c>
      <c r="L613" s="1">
        <v>49.76</v>
      </c>
      <c r="M613" s="1" t="str">
        <f t="shared" si="18"/>
        <v>Retail Store</v>
      </c>
      <c r="N613" s="1">
        <f t="shared" si="19"/>
        <v>421.2</v>
      </c>
    </row>
    <row r="614" spans="1:14" x14ac:dyDescent="0.3">
      <c r="A614" s="1" t="s">
        <v>1682</v>
      </c>
      <c r="B614" s="1">
        <v>46301</v>
      </c>
      <c r="C614" s="1" t="s">
        <v>47</v>
      </c>
      <c r="D614" s="1" t="s">
        <v>27</v>
      </c>
      <c r="E614" s="1" t="s">
        <v>16</v>
      </c>
      <c r="F614" s="1" t="s">
        <v>29</v>
      </c>
      <c r="G614" s="1" t="s">
        <v>88</v>
      </c>
      <c r="H614" s="1" t="s">
        <v>78</v>
      </c>
      <c r="I614" s="1">
        <v>6</v>
      </c>
      <c r="J614" s="1">
        <v>58.5</v>
      </c>
      <c r="K614" s="1">
        <v>0</v>
      </c>
      <c r="L614" s="1">
        <v>351</v>
      </c>
      <c r="M614" s="1" t="str">
        <f t="shared" si="18"/>
        <v>Retail Store</v>
      </c>
      <c r="N614" s="1">
        <f t="shared" si="19"/>
        <v>421.2</v>
      </c>
    </row>
    <row r="615" spans="1:14" x14ac:dyDescent="0.3">
      <c r="A615" s="1" t="s">
        <v>1683</v>
      </c>
      <c r="B615" s="1">
        <v>46301</v>
      </c>
      <c r="C615" s="1" t="s">
        <v>14</v>
      </c>
      <c r="D615" s="1" t="s">
        <v>15</v>
      </c>
      <c r="E615" s="1" t="s">
        <v>16</v>
      </c>
      <c r="F615" s="1" t="s">
        <v>82</v>
      </c>
      <c r="G615" s="1" t="s">
        <v>83</v>
      </c>
      <c r="H615" s="1" t="s">
        <v>40</v>
      </c>
      <c r="I615" s="1">
        <v>2</v>
      </c>
      <c r="J615" s="1">
        <v>4006.8</v>
      </c>
      <c r="K615" s="1">
        <v>0.15</v>
      </c>
      <c r="L615" s="1">
        <v>6811.56</v>
      </c>
      <c r="M615" s="1" t="str">
        <f t="shared" si="18"/>
        <v>Online</v>
      </c>
      <c r="N615" s="1">
        <f t="shared" si="19"/>
        <v>16.2</v>
      </c>
    </row>
    <row r="616" spans="1:14" x14ac:dyDescent="0.3">
      <c r="A616" s="1" t="s">
        <v>1671</v>
      </c>
      <c r="B616" s="1">
        <v>46302</v>
      </c>
      <c r="C616" s="1" t="s">
        <v>47</v>
      </c>
      <c r="D616" s="1" t="s">
        <v>15</v>
      </c>
      <c r="E616" s="1" t="s">
        <v>28</v>
      </c>
      <c r="F616" s="1" t="s">
        <v>23</v>
      </c>
      <c r="G616" s="1" t="s">
        <v>116</v>
      </c>
      <c r="H616" s="1" t="s">
        <v>58</v>
      </c>
      <c r="I616" s="1">
        <v>5</v>
      </c>
      <c r="J616" s="1">
        <v>7.2</v>
      </c>
      <c r="K616" s="1">
        <v>0.05</v>
      </c>
      <c r="L616" s="1">
        <v>34.200000000000003</v>
      </c>
      <c r="M616" s="1" t="str">
        <f t="shared" si="18"/>
        <v>Corporate Sales</v>
      </c>
      <c r="N616" s="1">
        <f t="shared" si="19"/>
        <v>421.2</v>
      </c>
    </row>
    <row r="617" spans="1:14" x14ac:dyDescent="0.3">
      <c r="A617" s="1" t="s">
        <v>1672</v>
      </c>
      <c r="B617" s="1">
        <v>46302</v>
      </c>
      <c r="C617" s="1" t="s">
        <v>61</v>
      </c>
      <c r="D617" s="1" t="s">
        <v>15</v>
      </c>
      <c r="E617" s="1" t="s">
        <v>16</v>
      </c>
      <c r="F617" s="1" t="s">
        <v>29</v>
      </c>
      <c r="G617" s="1" t="s">
        <v>55</v>
      </c>
      <c r="H617" s="1" t="s">
        <v>112</v>
      </c>
      <c r="I617" s="1">
        <v>4</v>
      </c>
      <c r="J617" s="1">
        <v>34.200000000000003</v>
      </c>
      <c r="K617" s="1">
        <v>0</v>
      </c>
      <c r="L617" s="1">
        <v>136.80000000000001</v>
      </c>
      <c r="M617" s="1" t="str">
        <f t="shared" si="18"/>
        <v>Online</v>
      </c>
      <c r="N617" s="1">
        <f t="shared" si="19"/>
        <v>62.01</v>
      </c>
    </row>
    <row r="618" spans="1:14" x14ac:dyDescent="0.3">
      <c r="A618" s="1" t="s">
        <v>1673</v>
      </c>
      <c r="B618" s="1">
        <v>46302</v>
      </c>
      <c r="C618" s="1" t="s">
        <v>14</v>
      </c>
      <c r="D618" s="1" t="s">
        <v>15</v>
      </c>
      <c r="E618" s="1" t="s">
        <v>16</v>
      </c>
      <c r="F618" s="1" t="s">
        <v>82</v>
      </c>
      <c r="G618" s="1" t="s">
        <v>114</v>
      </c>
      <c r="H618" s="1" t="s">
        <v>40</v>
      </c>
      <c r="I618" s="1">
        <v>3</v>
      </c>
      <c r="J618" s="1">
        <v>2250</v>
      </c>
      <c r="K618" s="1">
        <v>0.05</v>
      </c>
      <c r="L618" s="1">
        <v>6412.5</v>
      </c>
      <c r="M618" s="1" t="str">
        <f t="shared" si="18"/>
        <v>Online</v>
      </c>
      <c r="N618" s="1">
        <f t="shared" si="19"/>
        <v>16.2</v>
      </c>
    </row>
    <row r="619" spans="1:14" x14ac:dyDescent="0.3">
      <c r="A619" s="1" t="s">
        <v>1674</v>
      </c>
      <c r="B619" s="1">
        <v>46302</v>
      </c>
      <c r="C619" s="1" t="s">
        <v>61</v>
      </c>
      <c r="D619" s="1" t="s">
        <v>15</v>
      </c>
      <c r="E619" s="1" t="s">
        <v>16</v>
      </c>
      <c r="F619" s="1" t="s">
        <v>23</v>
      </c>
      <c r="G619" s="1" t="s">
        <v>103</v>
      </c>
      <c r="H619" s="1" t="s">
        <v>112</v>
      </c>
      <c r="I619" s="1">
        <v>4</v>
      </c>
      <c r="J619" s="1">
        <v>10.8</v>
      </c>
      <c r="K619" s="1">
        <v>0.05</v>
      </c>
      <c r="L619" s="1">
        <v>41.04</v>
      </c>
      <c r="M619" s="1" t="str">
        <f t="shared" si="18"/>
        <v>Online</v>
      </c>
      <c r="N619" s="1">
        <f t="shared" si="19"/>
        <v>62.01</v>
      </c>
    </row>
    <row r="620" spans="1:14" x14ac:dyDescent="0.3">
      <c r="A620" s="1" t="s">
        <v>1675</v>
      </c>
      <c r="B620" s="1">
        <v>46302</v>
      </c>
      <c r="C620" s="1" t="s">
        <v>61</v>
      </c>
      <c r="D620" s="1" t="s">
        <v>27</v>
      </c>
      <c r="E620" s="1" t="s">
        <v>16</v>
      </c>
      <c r="F620" s="1" t="s">
        <v>23</v>
      </c>
      <c r="G620" s="1" t="s">
        <v>178</v>
      </c>
      <c r="H620" s="1" t="s">
        <v>73</v>
      </c>
      <c r="I620" s="1">
        <v>6</v>
      </c>
      <c r="J620" s="1">
        <v>30.56</v>
      </c>
      <c r="K620" s="1">
        <v>0.05</v>
      </c>
      <c r="L620" s="1">
        <v>174.16</v>
      </c>
      <c r="M620" s="1" t="str">
        <f t="shared" si="18"/>
        <v>Online</v>
      </c>
      <c r="N620" s="1">
        <f t="shared" si="19"/>
        <v>62.01</v>
      </c>
    </row>
    <row r="621" spans="1:14" x14ac:dyDescent="0.3">
      <c r="A621" s="1" t="s">
        <v>1676</v>
      </c>
      <c r="B621" s="1">
        <v>46302</v>
      </c>
      <c r="C621" s="1" t="s">
        <v>54</v>
      </c>
      <c r="D621" s="1" t="s">
        <v>22</v>
      </c>
      <c r="E621" s="1" t="s">
        <v>16</v>
      </c>
      <c r="F621" s="1" t="s">
        <v>23</v>
      </c>
      <c r="G621" s="1" t="s">
        <v>103</v>
      </c>
      <c r="H621" s="1" t="s">
        <v>71</v>
      </c>
      <c r="I621" s="1">
        <v>7</v>
      </c>
      <c r="J621" s="1">
        <v>10.48</v>
      </c>
      <c r="K621" s="1">
        <v>0.08</v>
      </c>
      <c r="L621" s="1">
        <v>67.47</v>
      </c>
      <c r="M621" s="1" t="str">
        <f t="shared" si="18"/>
        <v>Online</v>
      </c>
      <c r="N621" s="1">
        <f t="shared" si="19"/>
        <v>267.12</v>
      </c>
    </row>
    <row r="622" spans="1:14" x14ac:dyDescent="0.3">
      <c r="A622" s="1" t="s">
        <v>1677</v>
      </c>
      <c r="B622" s="1">
        <v>46302</v>
      </c>
      <c r="C622" s="1" t="s">
        <v>21</v>
      </c>
      <c r="D622" s="1" t="s">
        <v>27</v>
      </c>
      <c r="E622" s="1" t="s">
        <v>16</v>
      </c>
      <c r="F622" s="1" t="s">
        <v>29</v>
      </c>
      <c r="G622" s="1" t="s">
        <v>33</v>
      </c>
      <c r="H622" s="1" t="s">
        <v>25</v>
      </c>
      <c r="I622" s="1">
        <v>5</v>
      </c>
      <c r="J622" s="1">
        <v>13.5</v>
      </c>
      <c r="K622" s="1">
        <v>0.05</v>
      </c>
      <c r="L622" s="1">
        <v>64.13</v>
      </c>
      <c r="M622" s="1" t="str">
        <f t="shared" si="18"/>
        <v>Marketplace</v>
      </c>
      <c r="N622" s="1">
        <f t="shared" si="19"/>
        <v>405</v>
      </c>
    </row>
    <row r="623" spans="1:14" x14ac:dyDescent="0.3">
      <c r="A623" s="1" t="s">
        <v>1669</v>
      </c>
      <c r="B623" s="1">
        <v>46303</v>
      </c>
      <c r="C623" s="1" t="s">
        <v>47</v>
      </c>
      <c r="D623" s="1" t="s">
        <v>35</v>
      </c>
      <c r="E623" s="1" t="s">
        <v>28</v>
      </c>
      <c r="F623" s="1" t="s">
        <v>29</v>
      </c>
      <c r="G623" s="1" t="s">
        <v>88</v>
      </c>
      <c r="H623" s="1" t="s">
        <v>49</v>
      </c>
      <c r="I623" s="1">
        <v>5</v>
      </c>
      <c r="J623" s="1">
        <v>55.58</v>
      </c>
      <c r="K623" s="1">
        <v>0.2</v>
      </c>
      <c r="L623" s="1">
        <v>222.3</v>
      </c>
      <c r="M623" s="1" t="str">
        <f t="shared" si="18"/>
        <v>Retail Store</v>
      </c>
      <c r="N623" s="1">
        <f t="shared" si="19"/>
        <v>421.2</v>
      </c>
    </row>
    <row r="624" spans="1:14" x14ac:dyDescent="0.3">
      <c r="A624" s="1" t="s">
        <v>1670</v>
      </c>
      <c r="B624" s="1">
        <v>46303</v>
      </c>
      <c r="C624" s="1" t="s">
        <v>47</v>
      </c>
      <c r="D624" s="1" t="s">
        <v>15</v>
      </c>
      <c r="E624" s="1" t="s">
        <v>16</v>
      </c>
      <c r="F624" s="1" t="s">
        <v>36</v>
      </c>
      <c r="G624" s="1" t="s">
        <v>70</v>
      </c>
      <c r="H624" s="1" t="s">
        <v>58</v>
      </c>
      <c r="I624" s="1">
        <v>2</v>
      </c>
      <c r="J624" s="1">
        <v>522</v>
      </c>
      <c r="K624" s="1">
        <v>0.15</v>
      </c>
      <c r="L624" s="1">
        <v>887.4</v>
      </c>
      <c r="M624" s="1" t="str">
        <f t="shared" si="18"/>
        <v>Corporate Sales</v>
      </c>
      <c r="N624" s="1">
        <f t="shared" si="19"/>
        <v>421.2</v>
      </c>
    </row>
    <row r="625" spans="1:14" x14ac:dyDescent="0.3">
      <c r="A625" s="1" t="s">
        <v>1666</v>
      </c>
      <c r="B625" s="1">
        <v>46304</v>
      </c>
      <c r="C625" s="1" t="s">
        <v>54</v>
      </c>
      <c r="D625" s="1" t="s">
        <v>22</v>
      </c>
      <c r="E625" s="1" t="s">
        <v>28</v>
      </c>
      <c r="F625" s="1" t="s">
        <v>42</v>
      </c>
      <c r="G625" s="1" t="s">
        <v>67</v>
      </c>
      <c r="H625" s="1" t="s">
        <v>56</v>
      </c>
      <c r="I625" s="1">
        <v>3</v>
      </c>
      <c r="J625" s="1">
        <v>262.08</v>
      </c>
      <c r="K625" s="1">
        <v>0.05</v>
      </c>
      <c r="L625" s="1">
        <v>746.93</v>
      </c>
      <c r="M625" s="1" t="str">
        <f t="shared" si="18"/>
        <v>Online</v>
      </c>
      <c r="N625" s="1">
        <f t="shared" si="19"/>
        <v>267.12</v>
      </c>
    </row>
    <row r="626" spans="1:14" x14ac:dyDescent="0.3">
      <c r="A626" s="1" t="s">
        <v>1667</v>
      </c>
      <c r="B626" s="1">
        <v>46304</v>
      </c>
      <c r="C626" s="1" t="s">
        <v>47</v>
      </c>
      <c r="D626" s="1" t="s">
        <v>15</v>
      </c>
      <c r="E626" s="1" t="s">
        <v>28</v>
      </c>
      <c r="F626" s="1" t="s">
        <v>82</v>
      </c>
      <c r="G626" s="1" t="s">
        <v>96</v>
      </c>
      <c r="H626" s="1" t="s">
        <v>58</v>
      </c>
      <c r="I626" s="1">
        <v>4</v>
      </c>
      <c r="J626" s="1">
        <v>2700</v>
      </c>
      <c r="K626" s="1">
        <v>0.03</v>
      </c>
      <c r="L626" s="1">
        <v>10476</v>
      </c>
      <c r="M626" s="1" t="str">
        <f t="shared" si="18"/>
        <v>Corporate Sales</v>
      </c>
      <c r="N626" s="1">
        <f t="shared" si="19"/>
        <v>421.2</v>
      </c>
    </row>
    <row r="627" spans="1:14" x14ac:dyDescent="0.3">
      <c r="A627" s="1" t="s">
        <v>1668</v>
      </c>
      <c r="B627" s="1">
        <v>46304</v>
      </c>
      <c r="C627" s="1" t="s">
        <v>47</v>
      </c>
      <c r="D627" s="1" t="s">
        <v>22</v>
      </c>
      <c r="E627" s="1" t="s">
        <v>16</v>
      </c>
      <c r="F627" s="1" t="s">
        <v>82</v>
      </c>
      <c r="G627" s="1" t="s">
        <v>85</v>
      </c>
      <c r="H627" s="1" t="s">
        <v>49</v>
      </c>
      <c r="I627" s="1">
        <v>2</v>
      </c>
      <c r="J627" s="1">
        <v>1620</v>
      </c>
      <c r="K627" s="1">
        <v>0.03</v>
      </c>
      <c r="L627" s="1">
        <v>3142.8</v>
      </c>
      <c r="M627" s="1" t="str">
        <f t="shared" si="18"/>
        <v>Retail Store</v>
      </c>
      <c r="N627" s="1">
        <f t="shared" si="19"/>
        <v>421.2</v>
      </c>
    </row>
    <row r="628" spans="1:14" x14ac:dyDescent="0.3">
      <c r="A628" s="1" t="s">
        <v>1659</v>
      </c>
      <c r="B628" s="1">
        <v>46305</v>
      </c>
      <c r="C628" s="1" t="s">
        <v>47</v>
      </c>
      <c r="D628" s="1" t="s">
        <v>22</v>
      </c>
      <c r="E628" s="1" t="s">
        <v>28</v>
      </c>
      <c r="F628" s="1" t="s">
        <v>29</v>
      </c>
      <c r="G628" s="1" t="s">
        <v>30</v>
      </c>
      <c r="H628" s="1" t="s">
        <v>78</v>
      </c>
      <c r="I628" s="1">
        <v>7</v>
      </c>
      <c r="J628" s="1">
        <v>49.5</v>
      </c>
      <c r="K628" s="1">
        <v>0.08</v>
      </c>
      <c r="L628" s="1">
        <v>318.77999999999997</v>
      </c>
      <c r="M628" s="1" t="str">
        <f t="shared" si="18"/>
        <v>Retail Store</v>
      </c>
      <c r="N628" s="1">
        <f t="shared" si="19"/>
        <v>421.2</v>
      </c>
    </row>
    <row r="629" spans="1:14" x14ac:dyDescent="0.3">
      <c r="A629" s="1" t="s">
        <v>1660</v>
      </c>
      <c r="B629" s="1">
        <v>46305</v>
      </c>
      <c r="C629" s="1" t="s">
        <v>54</v>
      </c>
      <c r="D629" s="1" t="s">
        <v>27</v>
      </c>
      <c r="E629" s="1" t="s">
        <v>28</v>
      </c>
      <c r="F629" s="1" t="s">
        <v>36</v>
      </c>
      <c r="G629" s="1" t="s">
        <v>37</v>
      </c>
      <c r="H629" s="1" t="s">
        <v>56</v>
      </c>
      <c r="I629" s="1">
        <v>2</v>
      </c>
      <c r="J629" s="1">
        <v>726.75</v>
      </c>
      <c r="K629" s="1">
        <v>0.05</v>
      </c>
      <c r="L629" s="1">
        <v>1380.83</v>
      </c>
      <c r="M629" s="1" t="str">
        <f t="shared" si="18"/>
        <v>Online</v>
      </c>
      <c r="N629" s="1">
        <f t="shared" si="19"/>
        <v>267.12</v>
      </c>
    </row>
    <row r="630" spans="1:14" x14ac:dyDescent="0.3">
      <c r="A630" s="1" t="s">
        <v>1661</v>
      </c>
      <c r="B630" s="1">
        <v>46305</v>
      </c>
      <c r="C630" s="1" t="s">
        <v>14</v>
      </c>
      <c r="D630" s="1" t="s">
        <v>27</v>
      </c>
      <c r="E630" s="1" t="s">
        <v>16</v>
      </c>
      <c r="F630" s="1" t="s">
        <v>36</v>
      </c>
      <c r="G630" s="1" t="s">
        <v>37</v>
      </c>
      <c r="H630" s="1" t="s">
        <v>31</v>
      </c>
      <c r="I630" s="1">
        <v>2</v>
      </c>
      <c r="J630" s="1">
        <v>765</v>
      </c>
      <c r="K630" s="1">
        <v>0.05</v>
      </c>
      <c r="L630" s="1">
        <v>1453.5</v>
      </c>
      <c r="M630" s="1" t="str">
        <f t="shared" si="18"/>
        <v>Online</v>
      </c>
      <c r="N630" s="1">
        <f t="shared" si="19"/>
        <v>16.2</v>
      </c>
    </row>
    <row r="631" spans="1:14" x14ac:dyDescent="0.3">
      <c r="A631" s="1" t="s">
        <v>1662</v>
      </c>
      <c r="B631" s="1">
        <v>46305</v>
      </c>
      <c r="C631" s="1" t="s">
        <v>61</v>
      </c>
      <c r="D631" s="1" t="s">
        <v>35</v>
      </c>
      <c r="E631" s="1" t="s">
        <v>16</v>
      </c>
      <c r="F631" s="1" t="s">
        <v>42</v>
      </c>
      <c r="G631" s="1" t="s">
        <v>43</v>
      </c>
      <c r="H631" s="1" t="s">
        <v>73</v>
      </c>
      <c r="I631" s="1">
        <v>7</v>
      </c>
      <c r="J631" s="1">
        <v>165.24</v>
      </c>
      <c r="K631" s="1">
        <v>0.08</v>
      </c>
      <c r="L631" s="1">
        <v>1064.1500000000001</v>
      </c>
      <c r="M631" s="1" t="str">
        <f t="shared" si="18"/>
        <v>Online</v>
      </c>
      <c r="N631" s="1">
        <f t="shared" si="19"/>
        <v>62.01</v>
      </c>
    </row>
    <row r="632" spans="1:14" x14ac:dyDescent="0.3">
      <c r="A632" s="1" t="s">
        <v>1663</v>
      </c>
      <c r="B632" s="1">
        <v>46305</v>
      </c>
      <c r="C632" s="1" t="s">
        <v>54</v>
      </c>
      <c r="D632" s="1" t="s">
        <v>27</v>
      </c>
      <c r="E632" s="1" t="s">
        <v>28</v>
      </c>
      <c r="F632" s="1" t="s">
        <v>82</v>
      </c>
      <c r="G632" s="1" t="s">
        <v>150</v>
      </c>
      <c r="H632" s="1" t="s">
        <v>56</v>
      </c>
      <c r="I632" s="1">
        <v>3</v>
      </c>
      <c r="J632" s="1">
        <v>2880</v>
      </c>
      <c r="K632" s="1">
        <v>0.1</v>
      </c>
      <c r="L632" s="1">
        <v>7776</v>
      </c>
      <c r="M632" s="1" t="str">
        <f t="shared" si="18"/>
        <v>Online</v>
      </c>
      <c r="N632" s="1">
        <f t="shared" si="19"/>
        <v>267.12</v>
      </c>
    </row>
    <row r="633" spans="1:14" x14ac:dyDescent="0.3">
      <c r="A633" s="1" t="s">
        <v>1664</v>
      </c>
      <c r="B633" s="1">
        <v>46305</v>
      </c>
      <c r="C633" s="1" t="s">
        <v>14</v>
      </c>
      <c r="D633" s="1" t="s">
        <v>27</v>
      </c>
      <c r="E633" s="1" t="s">
        <v>16</v>
      </c>
      <c r="F633" s="1" t="s">
        <v>29</v>
      </c>
      <c r="G633" s="1" t="s">
        <v>39</v>
      </c>
      <c r="H633" s="1" t="s">
        <v>31</v>
      </c>
      <c r="I633" s="1">
        <v>3</v>
      </c>
      <c r="J633" s="1">
        <v>72</v>
      </c>
      <c r="K633" s="1">
        <v>0.08</v>
      </c>
      <c r="L633" s="1">
        <v>198.72</v>
      </c>
      <c r="M633" s="1" t="str">
        <f t="shared" si="18"/>
        <v>Online</v>
      </c>
      <c r="N633" s="1">
        <f t="shared" si="19"/>
        <v>16.2</v>
      </c>
    </row>
    <row r="634" spans="1:14" x14ac:dyDescent="0.3">
      <c r="A634" s="1" t="s">
        <v>1665</v>
      </c>
      <c r="B634" s="1">
        <v>46305</v>
      </c>
      <c r="C634" s="1" t="s">
        <v>54</v>
      </c>
      <c r="D634" s="1" t="s">
        <v>27</v>
      </c>
      <c r="E634" s="1" t="s">
        <v>28</v>
      </c>
      <c r="F634" s="1" t="s">
        <v>36</v>
      </c>
      <c r="G634" s="1" t="s">
        <v>70</v>
      </c>
      <c r="H634" s="1" t="s">
        <v>80</v>
      </c>
      <c r="I634" s="1">
        <v>4</v>
      </c>
      <c r="J634" s="1">
        <v>522</v>
      </c>
      <c r="K634" s="1">
        <v>0.03</v>
      </c>
      <c r="L634" s="1">
        <v>2025.36</v>
      </c>
      <c r="M634" s="1" t="str">
        <f t="shared" si="18"/>
        <v>Marketplace</v>
      </c>
      <c r="N634" s="1">
        <f t="shared" si="19"/>
        <v>267.12</v>
      </c>
    </row>
    <row r="635" spans="1:14" x14ac:dyDescent="0.3">
      <c r="A635" s="1" t="s">
        <v>1653</v>
      </c>
      <c r="B635" s="1">
        <v>46306</v>
      </c>
      <c r="C635" s="1" t="s">
        <v>54</v>
      </c>
      <c r="D635" s="1" t="s">
        <v>27</v>
      </c>
      <c r="E635" s="1" t="s">
        <v>16</v>
      </c>
      <c r="F635" s="1" t="s">
        <v>29</v>
      </c>
      <c r="G635" s="1" t="s">
        <v>55</v>
      </c>
      <c r="H635" s="1" t="s">
        <v>80</v>
      </c>
      <c r="I635" s="1">
        <v>5</v>
      </c>
      <c r="J635" s="1">
        <v>32.49</v>
      </c>
      <c r="K635" s="1">
        <v>0.05</v>
      </c>
      <c r="L635" s="1">
        <v>154.33000000000001</v>
      </c>
      <c r="M635" s="1" t="str">
        <f t="shared" si="18"/>
        <v>Marketplace</v>
      </c>
      <c r="N635" s="1">
        <f t="shared" si="19"/>
        <v>267.12</v>
      </c>
    </row>
    <row r="636" spans="1:14" x14ac:dyDescent="0.3">
      <c r="A636" s="1" t="s">
        <v>1654</v>
      </c>
      <c r="B636" s="1">
        <v>46306</v>
      </c>
      <c r="C636" s="1" t="s">
        <v>14</v>
      </c>
      <c r="D636" s="1" t="s">
        <v>27</v>
      </c>
      <c r="E636" s="1" t="s">
        <v>28</v>
      </c>
      <c r="F636" s="1" t="s">
        <v>29</v>
      </c>
      <c r="G636" s="1" t="s">
        <v>88</v>
      </c>
      <c r="H636" s="1" t="s">
        <v>40</v>
      </c>
      <c r="I636" s="1">
        <v>6</v>
      </c>
      <c r="J636" s="1">
        <v>59.67</v>
      </c>
      <c r="K636" s="1">
        <v>0.15</v>
      </c>
      <c r="L636" s="1">
        <v>304.32</v>
      </c>
      <c r="M636" s="1" t="str">
        <f t="shared" si="18"/>
        <v>Online</v>
      </c>
      <c r="N636" s="1">
        <f t="shared" si="19"/>
        <v>16.2</v>
      </c>
    </row>
    <row r="637" spans="1:14" x14ac:dyDescent="0.3">
      <c r="A637" s="1" t="s">
        <v>1655</v>
      </c>
      <c r="B637" s="1">
        <v>46306</v>
      </c>
      <c r="C637" s="1" t="s">
        <v>54</v>
      </c>
      <c r="D637" s="1" t="s">
        <v>35</v>
      </c>
      <c r="E637" s="1" t="s">
        <v>16</v>
      </c>
      <c r="F637" s="1" t="s">
        <v>17</v>
      </c>
      <c r="G637" s="1" t="s">
        <v>18</v>
      </c>
      <c r="H637" s="1" t="s">
        <v>71</v>
      </c>
      <c r="I637" s="1">
        <v>12</v>
      </c>
      <c r="J637" s="1">
        <v>81</v>
      </c>
      <c r="K637" s="1">
        <v>0.1</v>
      </c>
      <c r="L637" s="1">
        <v>874.8</v>
      </c>
      <c r="M637" s="1" t="str">
        <f t="shared" si="18"/>
        <v>Online</v>
      </c>
      <c r="N637" s="1">
        <f t="shared" si="19"/>
        <v>267.12</v>
      </c>
    </row>
    <row r="638" spans="1:14" x14ac:dyDescent="0.3">
      <c r="A638" s="1" t="s">
        <v>1656</v>
      </c>
      <c r="B638" s="1">
        <v>46306</v>
      </c>
      <c r="C638" s="1" t="s">
        <v>14</v>
      </c>
      <c r="D638" s="1" t="s">
        <v>35</v>
      </c>
      <c r="E638" s="1" t="s">
        <v>28</v>
      </c>
      <c r="F638" s="1" t="s">
        <v>23</v>
      </c>
      <c r="G638" s="1" t="s">
        <v>103</v>
      </c>
      <c r="H638" s="1" t="s">
        <v>19</v>
      </c>
      <c r="I638" s="1">
        <v>6</v>
      </c>
      <c r="J638" s="1">
        <v>10.8</v>
      </c>
      <c r="K638" s="1">
        <v>0.1</v>
      </c>
      <c r="L638" s="1">
        <v>58.32</v>
      </c>
      <c r="M638" s="1" t="str">
        <f t="shared" si="18"/>
        <v>Retail Store</v>
      </c>
      <c r="N638" s="1">
        <f t="shared" si="19"/>
        <v>16.2</v>
      </c>
    </row>
    <row r="639" spans="1:14" x14ac:dyDescent="0.3">
      <c r="A639" s="1" t="s">
        <v>1657</v>
      </c>
      <c r="B639" s="1">
        <v>46306</v>
      </c>
      <c r="C639" s="1" t="s">
        <v>21</v>
      </c>
      <c r="D639" s="1" t="s">
        <v>35</v>
      </c>
      <c r="E639" s="1" t="s">
        <v>16</v>
      </c>
      <c r="F639" s="1" t="s">
        <v>36</v>
      </c>
      <c r="G639" s="1" t="s">
        <v>77</v>
      </c>
      <c r="H639" s="1" t="s">
        <v>44</v>
      </c>
      <c r="I639" s="1">
        <v>5</v>
      </c>
      <c r="J639" s="1">
        <v>1377</v>
      </c>
      <c r="K639" s="1">
        <v>0.15</v>
      </c>
      <c r="L639" s="1">
        <v>5852.25</v>
      </c>
      <c r="M639" s="1" t="str">
        <f t="shared" si="18"/>
        <v>Retail Store</v>
      </c>
      <c r="N639" s="1">
        <f t="shared" si="19"/>
        <v>405</v>
      </c>
    </row>
    <row r="640" spans="1:14" x14ac:dyDescent="0.3">
      <c r="A640" s="1" t="s">
        <v>1658</v>
      </c>
      <c r="B640" s="1">
        <v>46306</v>
      </c>
      <c r="C640" s="1" t="s">
        <v>21</v>
      </c>
      <c r="D640" s="1" t="s">
        <v>15</v>
      </c>
      <c r="E640" s="1" t="s">
        <v>28</v>
      </c>
      <c r="F640" s="1" t="s">
        <v>17</v>
      </c>
      <c r="G640" s="1" t="s">
        <v>98</v>
      </c>
      <c r="H640" s="1" t="s">
        <v>86</v>
      </c>
      <c r="I640" s="1">
        <v>6</v>
      </c>
      <c r="J640" s="1">
        <v>384.75</v>
      </c>
      <c r="K640" s="1">
        <v>0.03</v>
      </c>
      <c r="L640" s="1">
        <v>2239.25</v>
      </c>
      <c r="M640" s="1" t="str">
        <f t="shared" si="18"/>
        <v>Online</v>
      </c>
      <c r="N640" s="1">
        <f t="shared" si="19"/>
        <v>405</v>
      </c>
    </row>
    <row r="641" spans="1:14" x14ac:dyDescent="0.3">
      <c r="A641" s="1" t="s">
        <v>1647</v>
      </c>
      <c r="B641" s="1">
        <v>46307</v>
      </c>
      <c r="C641" s="1" t="s">
        <v>54</v>
      </c>
      <c r="D641" s="1" t="s">
        <v>22</v>
      </c>
      <c r="E641" s="1" t="s">
        <v>28</v>
      </c>
      <c r="F641" s="1" t="s">
        <v>17</v>
      </c>
      <c r="G641" s="1" t="s">
        <v>62</v>
      </c>
      <c r="H641" s="1" t="s">
        <v>80</v>
      </c>
      <c r="I641" s="1">
        <v>6</v>
      </c>
      <c r="J641" s="1">
        <v>54</v>
      </c>
      <c r="K641" s="1">
        <v>0.05</v>
      </c>
      <c r="L641" s="1">
        <v>307.8</v>
      </c>
      <c r="M641" s="1" t="str">
        <f t="shared" si="18"/>
        <v>Marketplace</v>
      </c>
      <c r="N641" s="1">
        <f t="shared" si="19"/>
        <v>267.12</v>
      </c>
    </row>
    <row r="642" spans="1:14" x14ac:dyDescent="0.3">
      <c r="A642" s="1" t="s">
        <v>1648</v>
      </c>
      <c r="B642" s="1">
        <v>46307</v>
      </c>
      <c r="C642" s="1" t="s">
        <v>47</v>
      </c>
      <c r="D642" s="1" t="s">
        <v>27</v>
      </c>
      <c r="E642" s="1" t="s">
        <v>16</v>
      </c>
      <c r="F642" s="1" t="s">
        <v>23</v>
      </c>
      <c r="G642" s="1" t="s">
        <v>178</v>
      </c>
      <c r="H642" s="1" t="s">
        <v>78</v>
      </c>
      <c r="I642" s="1">
        <v>3</v>
      </c>
      <c r="J642" s="1">
        <v>32.76</v>
      </c>
      <c r="K642" s="1">
        <v>0.15</v>
      </c>
      <c r="L642" s="1">
        <v>83.54</v>
      </c>
      <c r="M642" s="1" t="str">
        <f t="shared" ref="M642:M705" si="20">INDEX(D:D,MATCH(H642,H:H,0))</f>
        <v>Retail Store</v>
      </c>
      <c r="N642" s="1">
        <f t="shared" ref="N642:N705" si="21">VLOOKUP(C:C,C:J,8,FALSE)</f>
        <v>421.2</v>
      </c>
    </row>
    <row r="643" spans="1:14" x14ac:dyDescent="0.3">
      <c r="A643" s="1" t="s">
        <v>1649</v>
      </c>
      <c r="B643" s="1">
        <v>46307</v>
      </c>
      <c r="C643" s="1" t="s">
        <v>61</v>
      </c>
      <c r="D643" s="1" t="s">
        <v>35</v>
      </c>
      <c r="E643" s="1" t="s">
        <v>16</v>
      </c>
      <c r="F643" s="1" t="s">
        <v>36</v>
      </c>
      <c r="G643" s="1" t="s">
        <v>70</v>
      </c>
      <c r="H643" s="1" t="s">
        <v>73</v>
      </c>
      <c r="I643" s="1">
        <v>3</v>
      </c>
      <c r="J643" s="1">
        <v>522</v>
      </c>
      <c r="K643" s="1">
        <v>0.1</v>
      </c>
      <c r="L643" s="1">
        <v>1409.4</v>
      </c>
      <c r="M643" s="1" t="str">
        <f t="shared" si="20"/>
        <v>Online</v>
      </c>
      <c r="N643" s="1">
        <f t="shared" si="21"/>
        <v>62.01</v>
      </c>
    </row>
    <row r="644" spans="1:14" x14ac:dyDescent="0.3">
      <c r="A644" s="1" t="s">
        <v>1650</v>
      </c>
      <c r="B644" s="1">
        <v>46307</v>
      </c>
      <c r="C644" s="1" t="s">
        <v>61</v>
      </c>
      <c r="D644" s="1" t="s">
        <v>15</v>
      </c>
      <c r="E644" s="1" t="s">
        <v>28</v>
      </c>
      <c r="F644" s="1" t="s">
        <v>36</v>
      </c>
      <c r="G644" s="1" t="s">
        <v>119</v>
      </c>
      <c r="H644" s="1" t="s">
        <v>63</v>
      </c>
      <c r="I644" s="1">
        <v>2</v>
      </c>
      <c r="J644" s="1">
        <v>667.8</v>
      </c>
      <c r="K644" s="1">
        <v>0.2</v>
      </c>
      <c r="L644" s="1">
        <v>1068.48</v>
      </c>
      <c r="M644" s="1" t="str">
        <f t="shared" si="20"/>
        <v>Retail Store</v>
      </c>
      <c r="N644" s="1">
        <f t="shared" si="21"/>
        <v>62.01</v>
      </c>
    </row>
    <row r="645" spans="1:14" x14ac:dyDescent="0.3">
      <c r="A645" s="1" t="s">
        <v>1651</v>
      </c>
      <c r="B645" s="1">
        <v>46307</v>
      </c>
      <c r="C645" s="1" t="s">
        <v>61</v>
      </c>
      <c r="D645" s="1" t="s">
        <v>15</v>
      </c>
      <c r="E645" s="1" t="s">
        <v>28</v>
      </c>
      <c r="F645" s="1" t="s">
        <v>82</v>
      </c>
      <c r="G645" s="1" t="s">
        <v>83</v>
      </c>
      <c r="H645" s="1" t="s">
        <v>112</v>
      </c>
      <c r="I645" s="1">
        <v>2</v>
      </c>
      <c r="J645" s="1">
        <v>3591</v>
      </c>
      <c r="K645" s="1">
        <v>0.05</v>
      </c>
      <c r="L645" s="1">
        <v>6822.9</v>
      </c>
      <c r="M645" s="1" t="str">
        <f t="shared" si="20"/>
        <v>Online</v>
      </c>
      <c r="N645" s="1">
        <f t="shared" si="21"/>
        <v>62.01</v>
      </c>
    </row>
    <row r="646" spans="1:14" x14ac:dyDescent="0.3">
      <c r="A646" s="1" t="s">
        <v>1652</v>
      </c>
      <c r="B646" s="1">
        <v>46307</v>
      </c>
      <c r="C646" s="1" t="s">
        <v>61</v>
      </c>
      <c r="D646" s="1" t="s">
        <v>22</v>
      </c>
      <c r="E646" s="1" t="s">
        <v>28</v>
      </c>
      <c r="F646" s="1" t="s">
        <v>82</v>
      </c>
      <c r="G646" s="1" t="s">
        <v>150</v>
      </c>
      <c r="H646" s="1" t="s">
        <v>73</v>
      </c>
      <c r="I646" s="1">
        <v>2</v>
      </c>
      <c r="J646" s="1">
        <v>2937.6</v>
      </c>
      <c r="K646" s="1">
        <v>0.05</v>
      </c>
      <c r="L646" s="1">
        <v>5581.44</v>
      </c>
      <c r="M646" s="1" t="str">
        <f t="shared" si="20"/>
        <v>Online</v>
      </c>
      <c r="N646" s="1">
        <f t="shared" si="21"/>
        <v>62.01</v>
      </c>
    </row>
    <row r="647" spans="1:14" x14ac:dyDescent="0.3">
      <c r="A647" s="1" t="s">
        <v>1643</v>
      </c>
      <c r="B647" s="1">
        <v>46327</v>
      </c>
      <c r="C647" s="1" t="s">
        <v>54</v>
      </c>
      <c r="D647" s="1" t="s">
        <v>35</v>
      </c>
      <c r="E647" s="1" t="s">
        <v>16</v>
      </c>
      <c r="F647" s="1" t="s">
        <v>36</v>
      </c>
      <c r="G647" s="1" t="s">
        <v>119</v>
      </c>
      <c r="H647" s="1" t="s">
        <v>71</v>
      </c>
      <c r="I647" s="1">
        <v>2</v>
      </c>
      <c r="J647" s="1">
        <v>630</v>
      </c>
      <c r="K647" s="1">
        <v>0.08</v>
      </c>
      <c r="L647" s="1">
        <v>1159.2</v>
      </c>
      <c r="M647" s="1" t="str">
        <f t="shared" si="20"/>
        <v>Online</v>
      </c>
      <c r="N647" s="1">
        <f t="shared" si="21"/>
        <v>267.12</v>
      </c>
    </row>
    <row r="648" spans="1:14" x14ac:dyDescent="0.3">
      <c r="A648" s="1" t="s">
        <v>1644</v>
      </c>
      <c r="B648" s="1">
        <v>46327</v>
      </c>
      <c r="C648" s="1" t="s">
        <v>61</v>
      </c>
      <c r="D648" s="1" t="s">
        <v>27</v>
      </c>
      <c r="E648" s="1" t="s">
        <v>16</v>
      </c>
      <c r="F648" s="1" t="s">
        <v>82</v>
      </c>
      <c r="G648" s="1" t="s">
        <v>96</v>
      </c>
      <c r="H648" s="1" t="s">
        <v>73</v>
      </c>
      <c r="I648" s="1">
        <v>2</v>
      </c>
      <c r="J648" s="1">
        <v>2619</v>
      </c>
      <c r="K648" s="1">
        <v>0.05</v>
      </c>
      <c r="L648" s="1">
        <v>4976.1000000000004</v>
      </c>
      <c r="M648" s="1" t="str">
        <f t="shared" si="20"/>
        <v>Online</v>
      </c>
      <c r="N648" s="1">
        <f t="shared" si="21"/>
        <v>62.01</v>
      </c>
    </row>
    <row r="649" spans="1:14" x14ac:dyDescent="0.3">
      <c r="A649" s="1" t="s">
        <v>1645</v>
      </c>
      <c r="B649" s="1">
        <v>46327</v>
      </c>
      <c r="C649" s="1" t="s">
        <v>61</v>
      </c>
      <c r="D649" s="1" t="s">
        <v>15</v>
      </c>
      <c r="E649" s="1" t="s">
        <v>16</v>
      </c>
      <c r="F649" s="1" t="s">
        <v>42</v>
      </c>
      <c r="G649" s="1" t="s">
        <v>43</v>
      </c>
      <c r="H649" s="1" t="s">
        <v>63</v>
      </c>
      <c r="I649" s="1">
        <v>4</v>
      </c>
      <c r="J649" s="1">
        <v>171.72</v>
      </c>
      <c r="K649" s="1">
        <v>0.15</v>
      </c>
      <c r="L649" s="1">
        <v>583.85</v>
      </c>
      <c r="M649" s="1" t="str">
        <f t="shared" si="20"/>
        <v>Retail Store</v>
      </c>
      <c r="N649" s="1">
        <f t="shared" si="21"/>
        <v>62.01</v>
      </c>
    </row>
    <row r="650" spans="1:14" x14ac:dyDescent="0.3">
      <c r="A650" s="1" t="s">
        <v>1646</v>
      </c>
      <c r="B650" s="1">
        <v>46327</v>
      </c>
      <c r="C650" s="1" t="s">
        <v>21</v>
      </c>
      <c r="D650" s="1" t="s">
        <v>22</v>
      </c>
      <c r="E650" s="1" t="s">
        <v>28</v>
      </c>
      <c r="F650" s="1" t="s">
        <v>42</v>
      </c>
      <c r="G650" s="1" t="s">
        <v>43</v>
      </c>
      <c r="H650" s="1" t="s">
        <v>86</v>
      </c>
      <c r="I650" s="1">
        <v>4</v>
      </c>
      <c r="J650" s="1">
        <v>162</v>
      </c>
      <c r="K650" s="1">
        <v>0.1</v>
      </c>
      <c r="L650" s="1">
        <v>583.20000000000005</v>
      </c>
      <c r="M650" s="1" t="str">
        <f t="shared" si="20"/>
        <v>Online</v>
      </c>
      <c r="N650" s="1">
        <f t="shared" si="21"/>
        <v>405</v>
      </c>
    </row>
    <row r="651" spans="1:14" x14ac:dyDescent="0.3">
      <c r="A651" s="1" t="s">
        <v>1639</v>
      </c>
      <c r="B651" s="1">
        <v>46328</v>
      </c>
      <c r="C651" s="1" t="s">
        <v>47</v>
      </c>
      <c r="D651" s="1" t="s">
        <v>27</v>
      </c>
      <c r="E651" s="1" t="s">
        <v>28</v>
      </c>
      <c r="F651" s="1" t="s">
        <v>82</v>
      </c>
      <c r="G651" s="1" t="s">
        <v>114</v>
      </c>
      <c r="H651" s="1" t="s">
        <v>49</v>
      </c>
      <c r="I651" s="1">
        <v>3</v>
      </c>
      <c r="J651" s="1">
        <v>2385</v>
      </c>
      <c r="K651" s="1">
        <v>0.1</v>
      </c>
      <c r="L651" s="1">
        <v>6439.5</v>
      </c>
      <c r="M651" s="1" t="str">
        <f t="shared" si="20"/>
        <v>Retail Store</v>
      </c>
      <c r="N651" s="1">
        <f t="shared" si="21"/>
        <v>421.2</v>
      </c>
    </row>
    <row r="652" spans="1:14" x14ac:dyDescent="0.3">
      <c r="A652" s="1" t="s">
        <v>1640</v>
      </c>
      <c r="B652" s="1">
        <v>46328</v>
      </c>
      <c r="C652" s="1" t="s">
        <v>61</v>
      </c>
      <c r="D652" s="1" t="s">
        <v>15</v>
      </c>
      <c r="E652" s="1" t="s">
        <v>28</v>
      </c>
      <c r="F652" s="1" t="s">
        <v>82</v>
      </c>
      <c r="G652" s="1" t="s">
        <v>83</v>
      </c>
      <c r="H652" s="1" t="s">
        <v>63</v>
      </c>
      <c r="I652" s="1">
        <v>2</v>
      </c>
      <c r="J652" s="1">
        <v>3931.2</v>
      </c>
      <c r="K652" s="1">
        <v>0.08</v>
      </c>
      <c r="L652" s="1">
        <v>7233.41</v>
      </c>
      <c r="M652" s="1" t="str">
        <f t="shared" si="20"/>
        <v>Retail Store</v>
      </c>
      <c r="N652" s="1">
        <f t="shared" si="21"/>
        <v>62.01</v>
      </c>
    </row>
    <row r="653" spans="1:14" x14ac:dyDescent="0.3">
      <c r="A653" s="1" t="s">
        <v>1641</v>
      </c>
      <c r="B653" s="1">
        <v>46328</v>
      </c>
      <c r="C653" s="1" t="s">
        <v>47</v>
      </c>
      <c r="D653" s="1" t="s">
        <v>22</v>
      </c>
      <c r="E653" s="1" t="s">
        <v>16</v>
      </c>
      <c r="F653" s="1" t="s">
        <v>42</v>
      </c>
      <c r="G653" s="1" t="s">
        <v>65</v>
      </c>
      <c r="H653" s="1" t="s">
        <v>78</v>
      </c>
      <c r="I653" s="1">
        <v>2</v>
      </c>
      <c r="J653" s="1">
        <v>675</v>
      </c>
      <c r="K653" s="1">
        <v>0.08</v>
      </c>
      <c r="L653" s="1">
        <v>1242</v>
      </c>
      <c r="M653" s="1" t="str">
        <f t="shared" si="20"/>
        <v>Retail Store</v>
      </c>
      <c r="N653" s="1">
        <f t="shared" si="21"/>
        <v>421.2</v>
      </c>
    </row>
    <row r="654" spans="1:14" x14ac:dyDescent="0.3">
      <c r="A654" s="1" t="s">
        <v>1642</v>
      </c>
      <c r="B654" s="1">
        <v>46328</v>
      </c>
      <c r="C654" s="1" t="s">
        <v>21</v>
      </c>
      <c r="D654" s="1" t="s">
        <v>15</v>
      </c>
      <c r="E654" s="1" t="s">
        <v>16</v>
      </c>
      <c r="F654" s="1" t="s">
        <v>29</v>
      </c>
      <c r="G654" s="1" t="s">
        <v>55</v>
      </c>
      <c r="H654" s="1" t="s">
        <v>44</v>
      </c>
      <c r="I654" s="1">
        <v>4</v>
      </c>
      <c r="J654" s="1">
        <v>34.200000000000003</v>
      </c>
      <c r="K654" s="1">
        <v>0.1</v>
      </c>
      <c r="L654" s="1">
        <v>123.12</v>
      </c>
      <c r="M654" s="1" t="str">
        <f t="shared" si="20"/>
        <v>Retail Store</v>
      </c>
      <c r="N654" s="1">
        <f t="shared" si="21"/>
        <v>405</v>
      </c>
    </row>
    <row r="655" spans="1:14" x14ac:dyDescent="0.3">
      <c r="A655" s="1" t="s">
        <v>1631</v>
      </c>
      <c r="B655" s="1">
        <v>46329</v>
      </c>
      <c r="C655" s="1" t="s">
        <v>47</v>
      </c>
      <c r="D655" s="1" t="s">
        <v>22</v>
      </c>
      <c r="E655" s="1" t="s">
        <v>16</v>
      </c>
      <c r="F655" s="1" t="s">
        <v>17</v>
      </c>
      <c r="G655" s="1" t="s">
        <v>18</v>
      </c>
      <c r="H655" s="1" t="s">
        <v>78</v>
      </c>
      <c r="I655" s="1">
        <v>4</v>
      </c>
      <c r="J655" s="1">
        <v>81</v>
      </c>
      <c r="K655" s="1">
        <v>0.08</v>
      </c>
      <c r="L655" s="1">
        <v>298.08</v>
      </c>
      <c r="M655" s="1" t="str">
        <f t="shared" si="20"/>
        <v>Retail Store</v>
      </c>
      <c r="N655" s="1">
        <f t="shared" si="21"/>
        <v>421.2</v>
      </c>
    </row>
    <row r="656" spans="1:14" x14ac:dyDescent="0.3">
      <c r="A656" s="1" t="s">
        <v>1632</v>
      </c>
      <c r="B656" s="1">
        <v>46329</v>
      </c>
      <c r="C656" s="1" t="s">
        <v>54</v>
      </c>
      <c r="D656" s="1" t="s">
        <v>27</v>
      </c>
      <c r="E656" s="1" t="s">
        <v>16</v>
      </c>
      <c r="F656" s="1" t="s">
        <v>29</v>
      </c>
      <c r="G656" s="1" t="s">
        <v>39</v>
      </c>
      <c r="H656" s="1" t="s">
        <v>56</v>
      </c>
      <c r="I656" s="1">
        <v>3</v>
      </c>
      <c r="J656" s="1">
        <v>74.88</v>
      </c>
      <c r="K656" s="1">
        <v>0.03</v>
      </c>
      <c r="L656" s="1">
        <v>217.9</v>
      </c>
      <c r="M656" s="1" t="str">
        <f t="shared" si="20"/>
        <v>Online</v>
      </c>
      <c r="N656" s="1">
        <f t="shared" si="21"/>
        <v>267.12</v>
      </c>
    </row>
    <row r="657" spans="1:14" x14ac:dyDescent="0.3">
      <c r="A657" s="1" t="s">
        <v>1633</v>
      </c>
      <c r="B657" s="1">
        <v>46329</v>
      </c>
      <c r="C657" s="1" t="s">
        <v>61</v>
      </c>
      <c r="D657" s="1" t="s">
        <v>27</v>
      </c>
      <c r="E657" s="1" t="s">
        <v>16</v>
      </c>
      <c r="F657" s="1" t="s">
        <v>42</v>
      </c>
      <c r="G657" s="1" t="s">
        <v>43</v>
      </c>
      <c r="H657" s="1" t="s">
        <v>112</v>
      </c>
      <c r="I657" s="1">
        <v>3</v>
      </c>
      <c r="J657" s="1">
        <v>171.72</v>
      </c>
      <c r="K657" s="1">
        <v>0.1</v>
      </c>
      <c r="L657" s="1">
        <v>463.64</v>
      </c>
      <c r="M657" s="1" t="str">
        <f t="shared" si="20"/>
        <v>Online</v>
      </c>
      <c r="N657" s="1">
        <f t="shared" si="21"/>
        <v>62.01</v>
      </c>
    </row>
    <row r="658" spans="1:14" x14ac:dyDescent="0.3">
      <c r="A658" s="1" t="s">
        <v>1634</v>
      </c>
      <c r="B658" s="1">
        <v>46329</v>
      </c>
      <c r="C658" s="1" t="s">
        <v>47</v>
      </c>
      <c r="D658" s="1" t="s">
        <v>15</v>
      </c>
      <c r="E658" s="1" t="s">
        <v>28</v>
      </c>
      <c r="F658" s="1" t="s">
        <v>17</v>
      </c>
      <c r="G658" s="1" t="s">
        <v>18</v>
      </c>
      <c r="H658" s="1" t="s">
        <v>58</v>
      </c>
      <c r="I658" s="1">
        <v>2</v>
      </c>
      <c r="J658" s="1">
        <v>82.62</v>
      </c>
      <c r="K658" s="1">
        <v>0.05</v>
      </c>
      <c r="L658" s="1">
        <v>156.97999999999999</v>
      </c>
      <c r="M658" s="1" t="str">
        <f t="shared" si="20"/>
        <v>Corporate Sales</v>
      </c>
      <c r="N658" s="1">
        <f t="shared" si="21"/>
        <v>421.2</v>
      </c>
    </row>
    <row r="659" spans="1:14" x14ac:dyDescent="0.3">
      <c r="A659" s="1" t="s">
        <v>1635</v>
      </c>
      <c r="B659" s="1">
        <v>46329</v>
      </c>
      <c r="C659" s="1" t="s">
        <v>14</v>
      </c>
      <c r="D659" s="1" t="s">
        <v>22</v>
      </c>
      <c r="E659" s="1" t="s">
        <v>28</v>
      </c>
      <c r="F659" s="1" t="s">
        <v>23</v>
      </c>
      <c r="G659" s="1" t="s">
        <v>103</v>
      </c>
      <c r="H659" s="1" t="s">
        <v>40</v>
      </c>
      <c r="I659" s="1">
        <v>6</v>
      </c>
      <c r="J659" s="1">
        <v>10.8</v>
      </c>
      <c r="K659" s="1">
        <v>0.05</v>
      </c>
      <c r="L659" s="1">
        <v>61.56</v>
      </c>
      <c r="M659" s="1" t="str">
        <f t="shared" si="20"/>
        <v>Online</v>
      </c>
      <c r="N659" s="1">
        <f t="shared" si="21"/>
        <v>16.2</v>
      </c>
    </row>
    <row r="660" spans="1:14" x14ac:dyDescent="0.3">
      <c r="A660" s="1" t="s">
        <v>1636</v>
      </c>
      <c r="B660" s="1">
        <v>46329</v>
      </c>
      <c r="C660" s="1" t="s">
        <v>54</v>
      </c>
      <c r="D660" s="1" t="s">
        <v>35</v>
      </c>
      <c r="E660" s="1" t="s">
        <v>28</v>
      </c>
      <c r="F660" s="1" t="s">
        <v>36</v>
      </c>
      <c r="G660" s="1" t="s">
        <v>119</v>
      </c>
      <c r="H660" s="1" t="s">
        <v>56</v>
      </c>
      <c r="I660" s="1">
        <v>2</v>
      </c>
      <c r="J660" s="1">
        <v>598.5</v>
      </c>
      <c r="K660" s="1">
        <v>0.05</v>
      </c>
      <c r="L660" s="1">
        <v>1137.1500000000001</v>
      </c>
      <c r="M660" s="1" t="str">
        <f t="shared" si="20"/>
        <v>Online</v>
      </c>
      <c r="N660" s="1">
        <f t="shared" si="21"/>
        <v>267.12</v>
      </c>
    </row>
    <row r="661" spans="1:14" x14ac:dyDescent="0.3">
      <c r="A661" s="1" t="s">
        <v>1637</v>
      </c>
      <c r="B661" s="1">
        <v>46329</v>
      </c>
      <c r="C661" s="1" t="s">
        <v>61</v>
      </c>
      <c r="D661" s="1" t="s">
        <v>15</v>
      </c>
      <c r="E661" s="1" t="s">
        <v>16</v>
      </c>
      <c r="F661" s="1" t="s">
        <v>36</v>
      </c>
      <c r="G661" s="1" t="s">
        <v>70</v>
      </c>
      <c r="H661" s="1" t="s">
        <v>112</v>
      </c>
      <c r="I661" s="1">
        <v>2</v>
      </c>
      <c r="J661" s="1">
        <v>495.9</v>
      </c>
      <c r="K661" s="1">
        <v>0.03</v>
      </c>
      <c r="L661" s="1">
        <v>962.05</v>
      </c>
      <c r="M661" s="1" t="str">
        <f t="shared" si="20"/>
        <v>Online</v>
      </c>
      <c r="N661" s="1">
        <f t="shared" si="21"/>
        <v>62.01</v>
      </c>
    </row>
    <row r="662" spans="1:14" x14ac:dyDescent="0.3">
      <c r="A662" s="1" t="s">
        <v>1638</v>
      </c>
      <c r="B662" s="1">
        <v>46329</v>
      </c>
      <c r="C662" s="1" t="s">
        <v>21</v>
      </c>
      <c r="D662" s="1" t="s">
        <v>27</v>
      </c>
      <c r="E662" s="1" t="s">
        <v>16</v>
      </c>
      <c r="F662" s="1" t="s">
        <v>36</v>
      </c>
      <c r="G662" s="1" t="s">
        <v>77</v>
      </c>
      <c r="H662" s="1" t="s">
        <v>44</v>
      </c>
      <c r="I662" s="1">
        <v>2</v>
      </c>
      <c r="J662" s="1">
        <v>1309.5</v>
      </c>
      <c r="K662" s="1">
        <v>0</v>
      </c>
      <c r="L662" s="1">
        <v>2619</v>
      </c>
      <c r="M662" s="1" t="str">
        <f t="shared" si="20"/>
        <v>Retail Store</v>
      </c>
      <c r="N662" s="1">
        <f t="shared" si="21"/>
        <v>405</v>
      </c>
    </row>
    <row r="663" spans="1:14" x14ac:dyDescent="0.3">
      <c r="A663" s="1" t="s">
        <v>1623</v>
      </c>
      <c r="B663" s="1">
        <v>46330</v>
      </c>
      <c r="C663" s="1" t="s">
        <v>54</v>
      </c>
      <c r="D663" s="1" t="s">
        <v>15</v>
      </c>
      <c r="E663" s="1" t="s">
        <v>16</v>
      </c>
      <c r="F663" s="1" t="s">
        <v>17</v>
      </c>
      <c r="G663" s="1" t="s">
        <v>98</v>
      </c>
      <c r="H663" s="1" t="s">
        <v>56</v>
      </c>
      <c r="I663" s="1">
        <v>3</v>
      </c>
      <c r="J663" s="1">
        <v>384.75</v>
      </c>
      <c r="K663" s="1">
        <v>0.2</v>
      </c>
      <c r="L663" s="1">
        <v>923.4</v>
      </c>
      <c r="M663" s="1" t="str">
        <f t="shared" si="20"/>
        <v>Online</v>
      </c>
      <c r="N663" s="1">
        <f t="shared" si="21"/>
        <v>267.12</v>
      </c>
    </row>
    <row r="664" spans="1:14" x14ac:dyDescent="0.3">
      <c r="A664" s="1" t="s">
        <v>1624</v>
      </c>
      <c r="B664" s="1">
        <v>46330</v>
      </c>
      <c r="C664" s="1" t="s">
        <v>61</v>
      </c>
      <c r="D664" s="1" t="s">
        <v>27</v>
      </c>
      <c r="E664" s="1" t="s">
        <v>28</v>
      </c>
      <c r="F664" s="1" t="s">
        <v>23</v>
      </c>
      <c r="G664" s="1" t="s">
        <v>142</v>
      </c>
      <c r="H664" s="1" t="s">
        <v>73</v>
      </c>
      <c r="I664" s="1">
        <v>3</v>
      </c>
      <c r="J664" s="1">
        <v>15.71</v>
      </c>
      <c r="K664" s="1">
        <v>0.03</v>
      </c>
      <c r="L664" s="1">
        <v>45.73</v>
      </c>
      <c r="M664" s="1" t="str">
        <f t="shared" si="20"/>
        <v>Online</v>
      </c>
      <c r="N664" s="1">
        <f t="shared" si="21"/>
        <v>62.01</v>
      </c>
    </row>
    <row r="665" spans="1:14" x14ac:dyDescent="0.3">
      <c r="A665" s="1" t="s">
        <v>1625</v>
      </c>
      <c r="B665" s="1">
        <v>46330</v>
      </c>
      <c r="C665" s="1" t="s">
        <v>61</v>
      </c>
      <c r="D665" s="1" t="s">
        <v>27</v>
      </c>
      <c r="E665" s="1" t="s">
        <v>16</v>
      </c>
      <c r="F665" s="1" t="s">
        <v>82</v>
      </c>
      <c r="G665" s="1" t="s">
        <v>83</v>
      </c>
      <c r="H665" s="1" t="s">
        <v>112</v>
      </c>
      <c r="I665" s="1">
        <v>2</v>
      </c>
      <c r="J665" s="1">
        <v>3780</v>
      </c>
      <c r="K665" s="1">
        <v>0.15</v>
      </c>
      <c r="L665" s="1">
        <v>6426</v>
      </c>
      <c r="M665" s="1" t="str">
        <f t="shared" si="20"/>
        <v>Online</v>
      </c>
      <c r="N665" s="1">
        <f t="shared" si="21"/>
        <v>62.01</v>
      </c>
    </row>
    <row r="666" spans="1:14" x14ac:dyDescent="0.3">
      <c r="A666" s="1" t="s">
        <v>1626</v>
      </c>
      <c r="B666" s="1">
        <v>46330</v>
      </c>
      <c r="C666" s="1" t="s">
        <v>21</v>
      </c>
      <c r="D666" s="1" t="s">
        <v>15</v>
      </c>
      <c r="E666" s="1" t="s">
        <v>28</v>
      </c>
      <c r="F666" s="1" t="s">
        <v>23</v>
      </c>
      <c r="G666" s="1" t="s">
        <v>103</v>
      </c>
      <c r="H666" s="1" t="s">
        <v>44</v>
      </c>
      <c r="I666" s="1">
        <v>4</v>
      </c>
      <c r="J666" s="1">
        <v>10.48</v>
      </c>
      <c r="K666" s="1">
        <v>0.1</v>
      </c>
      <c r="L666" s="1">
        <v>37.71</v>
      </c>
      <c r="M666" s="1" t="str">
        <f t="shared" si="20"/>
        <v>Retail Store</v>
      </c>
      <c r="N666" s="1">
        <f t="shared" si="21"/>
        <v>405</v>
      </c>
    </row>
    <row r="667" spans="1:14" x14ac:dyDescent="0.3">
      <c r="A667" s="1" t="s">
        <v>1627</v>
      </c>
      <c r="B667" s="1">
        <v>46330</v>
      </c>
      <c r="C667" s="1" t="s">
        <v>47</v>
      </c>
      <c r="D667" s="1" t="s">
        <v>15</v>
      </c>
      <c r="E667" s="1" t="s">
        <v>28</v>
      </c>
      <c r="F667" s="1" t="s">
        <v>36</v>
      </c>
      <c r="G667" s="1" t="s">
        <v>70</v>
      </c>
      <c r="H667" s="1" t="s">
        <v>78</v>
      </c>
      <c r="I667" s="1">
        <v>2</v>
      </c>
      <c r="J667" s="1">
        <v>553.32000000000005</v>
      </c>
      <c r="K667" s="1">
        <v>0</v>
      </c>
      <c r="L667" s="1">
        <v>1106.6400000000001</v>
      </c>
      <c r="M667" s="1" t="str">
        <f t="shared" si="20"/>
        <v>Retail Store</v>
      </c>
      <c r="N667" s="1">
        <f t="shared" si="21"/>
        <v>421.2</v>
      </c>
    </row>
    <row r="668" spans="1:14" x14ac:dyDescent="0.3">
      <c r="A668" s="1" t="s">
        <v>1628</v>
      </c>
      <c r="B668" s="1">
        <v>46330</v>
      </c>
      <c r="C668" s="1" t="s">
        <v>14</v>
      </c>
      <c r="D668" s="1" t="s">
        <v>15</v>
      </c>
      <c r="E668" s="1" t="s">
        <v>16</v>
      </c>
      <c r="F668" s="1" t="s">
        <v>29</v>
      </c>
      <c r="G668" s="1" t="s">
        <v>39</v>
      </c>
      <c r="H668" s="1" t="s">
        <v>40</v>
      </c>
      <c r="I668" s="1">
        <v>6</v>
      </c>
      <c r="J668" s="1">
        <v>72</v>
      </c>
      <c r="K668" s="1">
        <v>0.2</v>
      </c>
      <c r="L668" s="1">
        <v>345.6</v>
      </c>
      <c r="M668" s="1" t="str">
        <f t="shared" si="20"/>
        <v>Online</v>
      </c>
      <c r="N668" s="1">
        <f t="shared" si="21"/>
        <v>16.2</v>
      </c>
    </row>
    <row r="669" spans="1:14" x14ac:dyDescent="0.3">
      <c r="A669" s="1" t="s">
        <v>1629</v>
      </c>
      <c r="B669" s="1">
        <v>46330</v>
      </c>
      <c r="C669" s="1" t="s">
        <v>21</v>
      </c>
      <c r="D669" s="1" t="s">
        <v>35</v>
      </c>
      <c r="E669" s="1" t="s">
        <v>16</v>
      </c>
      <c r="F669" s="1" t="s">
        <v>82</v>
      </c>
      <c r="G669" s="1" t="s">
        <v>150</v>
      </c>
      <c r="H669" s="1" t="s">
        <v>44</v>
      </c>
      <c r="I669" s="1">
        <v>4</v>
      </c>
      <c r="J669" s="1">
        <v>3052.8</v>
      </c>
      <c r="K669" s="1">
        <v>0.05</v>
      </c>
      <c r="L669" s="1">
        <v>11600.64</v>
      </c>
      <c r="M669" s="1" t="str">
        <f t="shared" si="20"/>
        <v>Retail Store</v>
      </c>
      <c r="N669" s="1">
        <f t="shared" si="21"/>
        <v>405</v>
      </c>
    </row>
    <row r="670" spans="1:14" x14ac:dyDescent="0.3">
      <c r="A670" s="1" t="s">
        <v>1630</v>
      </c>
      <c r="B670" s="1">
        <v>46330</v>
      </c>
      <c r="C670" s="1" t="s">
        <v>54</v>
      </c>
      <c r="D670" s="1" t="s">
        <v>27</v>
      </c>
      <c r="E670" s="1" t="s">
        <v>16</v>
      </c>
      <c r="F670" s="1" t="s">
        <v>36</v>
      </c>
      <c r="G670" s="1" t="s">
        <v>119</v>
      </c>
      <c r="H670" s="1" t="s">
        <v>71</v>
      </c>
      <c r="I670" s="1">
        <v>2</v>
      </c>
      <c r="J670" s="1">
        <v>598.5</v>
      </c>
      <c r="K670" s="1">
        <v>0</v>
      </c>
      <c r="L670" s="1">
        <v>1197</v>
      </c>
      <c r="M670" s="1" t="str">
        <f t="shared" si="20"/>
        <v>Online</v>
      </c>
      <c r="N670" s="1">
        <f t="shared" si="21"/>
        <v>267.12</v>
      </c>
    </row>
    <row r="671" spans="1:14" x14ac:dyDescent="0.3">
      <c r="A671" s="1" t="s">
        <v>1621</v>
      </c>
      <c r="B671" s="1">
        <v>46331</v>
      </c>
      <c r="C671" s="1" t="s">
        <v>61</v>
      </c>
      <c r="D671" s="1" t="s">
        <v>15</v>
      </c>
      <c r="E671" s="1" t="s">
        <v>16</v>
      </c>
      <c r="F671" s="1" t="s">
        <v>36</v>
      </c>
      <c r="G671" s="1" t="s">
        <v>70</v>
      </c>
      <c r="H671" s="1" t="s">
        <v>73</v>
      </c>
      <c r="I671" s="1">
        <v>3</v>
      </c>
      <c r="J671" s="1">
        <v>522</v>
      </c>
      <c r="K671" s="1">
        <v>0.1</v>
      </c>
      <c r="L671" s="1">
        <v>1409.4</v>
      </c>
      <c r="M671" s="1" t="str">
        <f t="shared" si="20"/>
        <v>Online</v>
      </c>
      <c r="N671" s="1">
        <f t="shared" si="21"/>
        <v>62.01</v>
      </c>
    </row>
    <row r="672" spans="1:14" x14ac:dyDescent="0.3">
      <c r="A672" s="1" t="s">
        <v>1622</v>
      </c>
      <c r="B672" s="1">
        <v>46331</v>
      </c>
      <c r="C672" s="1" t="s">
        <v>47</v>
      </c>
      <c r="D672" s="1" t="s">
        <v>22</v>
      </c>
      <c r="E672" s="1" t="s">
        <v>16</v>
      </c>
      <c r="F672" s="1" t="s">
        <v>36</v>
      </c>
      <c r="G672" s="1" t="s">
        <v>119</v>
      </c>
      <c r="H672" s="1" t="s">
        <v>58</v>
      </c>
      <c r="I672" s="1">
        <v>5</v>
      </c>
      <c r="J672" s="1">
        <v>611.1</v>
      </c>
      <c r="K672" s="1">
        <v>0.08</v>
      </c>
      <c r="L672" s="1">
        <v>2811.06</v>
      </c>
      <c r="M672" s="1" t="str">
        <f t="shared" si="20"/>
        <v>Corporate Sales</v>
      </c>
      <c r="N672" s="1">
        <f t="shared" si="21"/>
        <v>421.2</v>
      </c>
    </row>
    <row r="673" spans="1:14" x14ac:dyDescent="0.3">
      <c r="A673" s="1" t="s">
        <v>1614</v>
      </c>
      <c r="B673" s="1">
        <v>46332</v>
      </c>
      <c r="C673" s="1" t="s">
        <v>54</v>
      </c>
      <c r="D673" s="1" t="s">
        <v>15</v>
      </c>
      <c r="E673" s="1" t="s">
        <v>28</v>
      </c>
      <c r="F673" s="1" t="s">
        <v>29</v>
      </c>
      <c r="G673" s="1" t="s">
        <v>55</v>
      </c>
      <c r="H673" s="1" t="s">
        <v>56</v>
      </c>
      <c r="I673" s="1">
        <v>2</v>
      </c>
      <c r="J673" s="1">
        <v>34.200000000000003</v>
      </c>
      <c r="K673" s="1">
        <v>0.08</v>
      </c>
      <c r="L673" s="1">
        <v>62.93</v>
      </c>
      <c r="M673" s="1" t="str">
        <f t="shared" si="20"/>
        <v>Online</v>
      </c>
      <c r="N673" s="1">
        <f t="shared" si="21"/>
        <v>267.12</v>
      </c>
    </row>
    <row r="674" spans="1:14" x14ac:dyDescent="0.3">
      <c r="A674" s="1" t="s">
        <v>1615</v>
      </c>
      <c r="B674" s="1">
        <v>46332</v>
      </c>
      <c r="C674" s="1" t="s">
        <v>14</v>
      </c>
      <c r="D674" s="1" t="s">
        <v>27</v>
      </c>
      <c r="E674" s="1" t="s">
        <v>28</v>
      </c>
      <c r="F674" s="1" t="s">
        <v>36</v>
      </c>
      <c r="G674" s="1" t="s">
        <v>70</v>
      </c>
      <c r="H674" s="1" t="s">
        <v>40</v>
      </c>
      <c r="I674" s="1">
        <v>2</v>
      </c>
      <c r="J674" s="1">
        <v>542.88</v>
      </c>
      <c r="K674" s="1">
        <v>0.2</v>
      </c>
      <c r="L674" s="1">
        <v>868.61</v>
      </c>
      <c r="M674" s="1" t="str">
        <f t="shared" si="20"/>
        <v>Online</v>
      </c>
      <c r="N674" s="1">
        <f t="shared" si="21"/>
        <v>16.2</v>
      </c>
    </row>
    <row r="675" spans="1:14" x14ac:dyDescent="0.3">
      <c r="A675" s="1" t="s">
        <v>1616</v>
      </c>
      <c r="B675" s="1">
        <v>46332</v>
      </c>
      <c r="C675" s="1" t="s">
        <v>47</v>
      </c>
      <c r="D675" s="1" t="s">
        <v>15</v>
      </c>
      <c r="E675" s="1" t="s">
        <v>16</v>
      </c>
      <c r="F675" s="1" t="s">
        <v>23</v>
      </c>
      <c r="G675" s="1" t="s">
        <v>178</v>
      </c>
      <c r="H675" s="1" t="s">
        <v>78</v>
      </c>
      <c r="I675" s="1">
        <v>6</v>
      </c>
      <c r="J675" s="1">
        <v>32.76</v>
      </c>
      <c r="K675" s="1">
        <v>0</v>
      </c>
      <c r="L675" s="1">
        <v>196.56</v>
      </c>
      <c r="M675" s="1" t="str">
        <f t="shared" si="20"/>
        <v>Retail Store</v>
      </c>
      <c r="N675" s="1">
        <f t="shared" si="21"/>
        <v>421.2</v>
      </c>
    </row>
    <row r="676" spans="1:14" x14ac:dyDescent="0.3">
      <c r="A676" s="1" t="s">
        <v>1617</v>
      </c>
      <c r="B676" s="1">
        <v>46332</v>
      </c>
      <c r="C676" s="1" t="s">
        <v>47</v>
      </c>
      <c r="D676" s="1" t="s">
        <v>35</v>
      </c>
      <c r="E676" s="1" t="s">
        <v>16</v>
      </c>
      <c r="F676" s="1" t="s">
        <v>42</v>
      </c>
      <c r="G676" s="1" t="s">
        <v>48</v>
      </c>
      <c r="H676" s="1" t="s">
        <v>49</v>
      </c>
      <c r="I676" s="1">
        <v>7</v>
      </c>
      <c r="J676" s="1">
        <v>18.72</v>
      </c>
      <c r="K676" s="1">
        <v>0.1</v>
      </c>
      <c r="L676" s="1">
        <v>117.94</v>
      </c>
      <c r="M676" s="1" t="str">
        <f t="shared" si="20"/>
        <v>Retail Store</v>
      </c>
      <c r="N676" s="1">
        <f t="shared" si="21"/>
        <v>421.2</v>
      </c>
    </row>
    <row r="677" spans="1:14" x14ac:dyDescent="0.3">
      <c r="A677" s="1" t="s">
        <v>1618</v>
      </c>
      <c r="B677" s="1">
        <v>46332</v>
      </c>
      <c r="C677" s="1" t="s">
        <v>47</v>
      </c>
      <c r="D677" s="1" t="s">
        <v>22</v>
      </c>
      <c r="E677" s="1" t="s">
        <v>28</v>
      </c>
      <c r="F677" s="1" t="s">
        <v>29</v>
      </c>
      <c r="G677" s="1" t="s">
        <v>33</v>
      </c>
      <c r="H677" s="1" t="s">
        <v>78</v>
      </c>
      <c r="I677" s="1">
        <v>2</v>
      </c>
      <c r="J677" s="1">
        <v>13.5</v>
      </c>
      <c r="K677" s="1">
        <v>0.05</v>
      </c>
      <c r="L677" s="1">
        <v>25.65</v>
      </c>
      <c r="M677" s="1" t="str">
        <f t="shared" si="20"/>
        <v>Retail Store</v>
      </c>
      <c r="N677" s="1">
        <f t="shared" si="21"/>
        <v>421.2</v>
      </c>
    </row>
    <row r="678" spans="1:14" x14ac:dyDescent="0.3">
      <c r="A678" s="1" t="s">
        <v>1619</v>
      </c>
      <c r="B678" s="1">
        <v>46332</v>
      </c>
      <c r="C678" s="1" t="s">
        <v>54</v>
      </c>
      <c r="D678" s="1" t="s">
        <v>15</v>
      </c>
      <c r="E678" s="1" t="s">
        <v>16</v>
      </c>
      <c r="F678" s="1" t="s">
        <v>36</v>
      </c>
      <c r="G678" s="1" t="s">
        <v>70</v>
      </c>
      <c r="H678" s="1" t="s">
        <v>56</v>
      </c>
      <c r="I678" s="1">
        <v>2</v>
      </c>
      <c r="J678" s="1">
        <v>542.88</v>
      </c>
      <c r="K678" s="1">
        <v>0.1</v>
      </c>
      <c r="L678" s="1">
        <v>977.18</v>
      </c>
      <c r="M678" s="1" t="str">
        <f t="shared" si="20"/>
        <v>Online</v>
      </c>
      <c r="N678" s="1">
        <f t="shared" si="21"/>
        <v>267.12</v>
      </c>
    </row>
    <row r="679" spans="1:14" x14ac:dyDescent="0.3">
      <c r="A679" s="1" t="s">
        <v>1620</v>
      </c>
      <c r="B679" s="1">
        <v>46332</v>
      </c>
      <c r="C679" s="1" t="s">
        <v>14</v>
      </c>
      <c r="D679" s="1" t="s">
        <v>15</v>
      </c>
      <c r="E679" s="1" t="s">
        <v>28</v>
      </c>
      <c r="F679" s="1" t="s">
        <v>17</v>
      </c>
      <c r="G679" s="1" t="s">
        <v>189</v>
      </c>
      <c r="H679" s="1" t="s">
        <v>40</v>
      </c>
      <c r="I679" s="1">
        <v>4</v>
      </c>
      <c r="J679" s="1">
        <v>288</v>
      </c>
      <c r="K679" s="1">
        <v>0.05</v>
      </c>
      <c r="L679" s="1">
        <v>1094.4000000000001</v>
      </c>
      <c r="M679" s="1" t="str">
        <f t="shared" si="20"/>
        <v>Online</v>
      </c>
      <c r="N679" s="1">
        <f t="shared" si="21"/>
        <v>16.2</v>
      </c>
    </row>
    <row r="680" spans="1:14" x14ac:dyDescent="0.3">
      <c r="A680" s="1" t="s">
        <v>1609</v>
      </c>
      <c r="B680" s="1">
        <v>46333</v>
      </c>
      <c r="C680" s="1" t="s">
        <v>61</v>
      </c>
      <c r="D680" s="1" t="s">
        <v>15</v>
      </c>
      <c r="E680" s="1" t="s">
        <v>16</v>
      </c>
      <c r="F680" s="1" t="s">
        <v>36</v>
      </c>
      <c r="G680" s="1" t="s">
        <v>70</v>
      </c>
      <c r="H680" s="1" t="s">
        <v>112</v>
      </c>
      <c r="I680" s="1">
        <v>2</v>
      </c>
      <c r="J680" s="1">
        <v>506.34</v>
      </c>
      <c r="K680" s="1">
        <v>0</v>
      </c>
      <c r="L680" s="1">
        <v>1012.68</v>
      </c>
      <c r="M680" s="1" t="str">
        <f t="shared" si="20"/>
        <v>Online</v>
      </c>
      <c r="N680" s="1">
        <f t="shared" si="21"/>
        <v>62.01</v>
      </c>
    </row>
    <row r="681" spans="1:14" x14ac:dyDescent="0.3">
      <c r="A681" s="1" t="s">
        <v>1610</v>
      </c>
      <c r="B681" s="1">
        <v>46333</v>
      </c>
      <c r="C681" s="1" t="s">
        <v>47</v>
      </c>
      <c r="D681" s="1" t="s">
        <v>35</v>
      </c>
      <c r="E681" s="1" t="s">
        <v>16</v>
      </c>
      <c r="F681" s="1" t="s">
        <v>36</v>
      </c>
      <c r="G681" s="1" t="s">
        <v>119</v>
      </c>
      <c r="H681" s="1" t="s">
        <v>49</v>
      </c>
      <c r="I681" s="1">
        <v>3</v>
      </c>
      <c r="J681" s="1">
        <v>630</v>
      </c>
      <c r="K681" s="1">
        <v>0.1</v>
      </c>
      <c r="L681" s="1">
        <v>1701</v>
      </c>
      <c r="M681" s="1" t="str">
        <f t="shared" si="20"/>
        <v>Retail Store</v>
      </c>
      <c r="N681" s="1">
        <f t="shared" si="21"/>
        <v>421.2</v>
      </c>
    </row>
    <row r="682" spans="1:14" x14ac:dyDescent="0.3">
      <c r="A682" s="1" t="s">
        <v>1611</v>
      </c>
      <c r="B682" s="1">
        <v>46333</v>
      </c>
      <c r="C682" s="1" t="s">
        <v>61</v>
      </c>
      <c r="D682" s="1" t="s">
        <v>22</v>
      </c>
      <c r="E682" s="1" t="s">
        <v>16</v>
      </c>
      <c r="F682" s="1" t="s">
        <v>42</v>
      </c>
      <c r="G682" s="1" t="s">
        <v>48</v>
      </c>
      <c r="H682" s="1" t="s">
        <v>63</v>
      </c>
      <c r="I682" s="1">
        <v>2</v>
      </c>
      <c r="J682" s="1">
        <v>17.100000000000001</v>
      </c>
      <c r="K682" s="1">
        <v>0.08</v>
      </c>
      <c r="L682" s="1">
        <v>31.46</v>
      </c>
      <c r="M682" s="1" t="str">
        <f t="shared" si="20"/>
        <v>Retail Store</v>
      </c>
      <c r="N682" s="1">
        <f t="shared" si="21"/>
        <v>62.01</v>
      </c>
    </row>
    <row r="683" spans="1:14" x14ac:dyDescent="0.3">
      <c r="A683" s="1" t="s">
        <v>1612</v>
      </c>
      <c r="B683" s="1">
        <v>46333</v>
      </c>
      <c r="C683" s="1" t="s">
        <v>21</v>
      </c>
      <c r="D683" s="1" t="s">
        <v>15</v>
      </c>
      <c r="E683" s="1" t="s">
        <v>16</v>
      </c>
      <c r="F683" s="1" t="s">
        <v>36</v>
      </c>
      <c r="G683" s="1" t="s">
        <v>70</v>
      </c>
      <c r="H683" s="1" t="s">
        <v>25</v>
      </c>
      <c r="I683" s="1">
        <v>4</v>
      </c>
      <c r="J683" s="1">
        <v>553.32000000000005</v>
      </c>
      <c r="K683" s="1">
        <v>0.08</v>
      </c>
      <c r="L683" s="1">
        <v>2036.22</v>
      </c>
      <c r="M683" s="1" t="str">
        <f t="shared" si="20"/>
        <v>Marketplace</v>
      </c>
      <c r="N683" s="1">
        <f t="shared" si="21"/>
        <v>405</v>
      </c>
    </row>
    <row r="684" spans="1:14" x14ac:dyDescent="0.3">
      <c r="A684" s="1" t="s">
        <v>1613</v>
      </c>
      <c r="B684" s="1">
        <v>46333</v>
      </c>
      <c r="C684" s="1" t="s">
        <v>61</v>
      </c>
      <c r="D684" s="1" t="s">
        <v>27</v>
      </c>
      <c r="E684" s="1" t="s">
        <v>16</v>
      </c>
      <c r="F684" s="1" t="s">
        <v>29</v>
      </c>
      <c r="G684" s="1" t="s">
        <v>30</v>
      </c>
      <c r="H684" s="1" t="s">
        <v>73</v>
      </c>
      <c r="I684" s="1">
        <v>2</v>
      </c>
      <c r="J684" s="1">
        <v>49.5</v>
      </c>
      <c r="K684" s="1">
        <v>0.15</v>
      </c>
      <c r="L684" s="1">
        <v>84.15</v>
      </c>
      <c r="M684" s="1" t="str">
        <f t="shared" si="20"/>
        <v>Online</v>
      </c>
      <c r="N684" s="1">
        <f t="shared" si="21"/>
        <v>62.01</v>
      </c>
    </row>
    <row r="685" spans="1:14" x14ac:dyDescent="0.3">
      <c r="A685" s="1" t="s">
        <v>1605</v>
      </c>
      <c r="B685" s="1">
        <v>46334</v>
      </c>
      <c r="C685" s="1" t="s">
        <v>61</v>
      </c>
      <c r="D685" s="1" t="s">
        <v>15</v>
      </c>
      <c r="E685" s="1" t="s">
        <v>16</v>
      </c>
      <c r="F685" s="1" t="s">
        <v>29</v>
      </c>
      <c r="G685" s="1" t="s">
        <v>30</v>
      </c>
      <c r="H685" s="1" t="s">
        <v>73</v>
      </c>
      <c r="I685" s="1">
        <v>5</v>
      </c>
      <c r="J685" s="1">
        <v>49.5</v>
      </c>
      <c r="K685" s="1">
        <v>0.03</v>
      </c>
      <c r="L685" s="1">
        <v>240.08</v>
      </c>
      <c r="M685" s="1" t="str">
        <f t="shared" si="20"/>
        <v>Online</v>
      </c>
      <c r="N685" s="1">
        <f t="shared" si="21"/>
        <v>62.01</v>
      </c>
    </row>
    <row r="686" spans="1:14" x14ac:dyDescent="0.3">
      <c r="A686" s="1" t="s">
        <v>1606</v>
      </c>
      <c r="B686" s="1">
        <v>46334</v>
      </c>
      <c r="C686" s="1" t="s">
        <v>47</v>
      </c>
      <c r="D686" s="1" t="s">
        <v>15</v>
      </c>
      <c r="E686" s="1" t="s">
        <v>28</v>
      </c>
      <c r="F686" s="1" t="s">
        <v>36</v>
      </c>
      <c r="G686" s="1" t="s">
        <v>70</v>
      </c>
      <c r="H686" s="1" t="s">
        <v>49</v>
      </c>
      <c r="I686" s="1">
        <v>3</v>
      </c>
      <c r="J686" s="1">
        <v>522</v>
      </c>
      <c r="K686" s="1">
        <v>0.03</v>
      </c>
      <c r="L686" s="1">
        <v>1519.02</v>
      </c>
      <c r="M686" s="1" t="str">
        <f t="shared" si="20"/>
        <v>Retail Store</v>
      </c>
      <c r="N686" s="1">
        <f t="shared" si="21"/>
        <v>421.2</v>
      </c>
    </row>
    <row r="687" spans="1:14" x14ac:dyDescent="0.3">
      <c r="A687" s="1" t="s">
        <v>1607</v>
      </c>
      <c r="B687" s="1">
        <v>46334</v>
      </c>
      <c r="C687" s="1" t="s">
        <v>21</v>
      </c>
      <c r="D687" s="1" t="s">
        <v>15</v>
      </c>
      <c r="E687" s="1" t="s">
        <v>28</v>
      </c>
      <c r="F687" s="1" t="s">
        <v>42</v>
      </c>
      <c r="G687" s="1" t="s">
        <v>43</v>
      </c>
      <c r="H687" s="1" t="s">
        <v>25</v>
      </c>
      <c r="I687" s="1">
        <v>2</v>
      </c>
      <c r="J687" s="1">
        <v>165.24</v>
      </c>
      <c r="K687" s="1">
        <v>0.15</v>
      </c>
      <c r="L687" s="1">
        <v>280.91000000000003</v>
      </c>
      <c r="M687" s="1" t="str">
        <f t="shared" si="20"/>
        <v>Marketplace</v>
      </c>
      <c r="N687" s="1">
        <f t="shared" si="21"/>
        <v>405</v>
      </c>
    </row>
    <row r="688" spans="1:14" x14ac:dyDescent="0.3">
      <c r="A688" s="1" t="s">
        <v>1608</v>
      </c>
      <c r="B688" s="1">
        <v>46334</v>
      </c>
      <c r="C688" s="1" t="s">
        <v>47</v>
      </c>
      <c r="D688" s="1" t="s">
        <v>15</v>
      </c>
      <c r="E688" s="1" t="s">
        <v>16</v>
      </c>
      <c r="F688" s="1" t="s">
        <v>36</v>
      </c>
      <c r="G688" s="1" t="s">
        <v>119</v>
      </c>
      <c r="H688" s="1" t="s">
        <v>49</v>
      </c>
      <c r="I688" s="1">
        <v>2</v>
      </c>
      <c r="J688" s="1">
        <v>630</v>
      </c>
      <c r="K688" s="1">
        <v>0</v>
      </c>
      <c r="L688" s="1">
        <v>1260</v>
      </c>
      <c r="M688" s="1" t="str">
        <f t="shared" si="20"/>
        <v>Retail Store</v>
      </c>
      <c r="N688" s="1">
        <f t="shared" si="21"/>
        <v>421.2</v>
      </c>
    </row>
    <row r="689" spans="1:14" x14ac:dyDescent="0.3">
      <c r="A689" s="1" t="s">
        <v>1597</v>
      </c>
      <c r="B689" s="1">
        <v>46335</v>
      </c>
      <c r="C689" s="1" t="s">
        <v>47</v>
      </c>
      <c r="D689" s="1" t="s">
        <v>15</v>
      </c>
      <c r="E689" s="1" t="s">
        <v>28</v>
      </c>
      <c r="F689" s="1" t="s">
        <v>23</v>
      </c>
      <c r="G689" s="1" t="s">
        <v>178</v>
      </c>
      <c r="H689" s="1" t="s">
        <v>49</v>
      </c>
      <c r="I689" s="1">
        <v>6</v>
      </c>
      <c r="J689" s="1">
        <v>33.39</v>
      </c>
      <c r="K689" s="1">
        <v>0.03</v>
      </c>
      <c r="L689" s="1">
        <v>194.33</v>
      </c>
      <c r="M689" s="1" t="str">
        <f t="shared" si="20"/>
        <v>Retail Store</v>
      </c>
      <c r="N689" s="1">
        <f t="shared" si="21"/>
        <v>421.2</v>
      </c>
    </row>
    <row r="690" spans="1:14" x14ac:dyDescent="0.3">
      <c r="A690" s="1" t="s">
        <v>1598</v>
      </c>
      <c r="B690" s="1">
        <v>46335</v>
      </c>
      <c r="C690" s="1" t="s">
        <v>21</v>
      </c>
      <c r="D690" s="1" t="s">
        <v>15</v>
      </c>
      <c r="E690" s="1" t="s">
        <v>28</v>
      </c>
      <c r="F690" s="1" t="s">
        <v>36</v>
      </c>
      <c r="G690" s="1" t="s">
        <v>119</v>
      </c>
      <c r="H690" s="1" t="s">
        <v>25</v>
      </c>
      <c r="I690" s="1">
        <v>3</v>
      </c>
      <c r="J690" s="1">
        <v>642.6</v>
      </c>
      <c r="K690" s="1">
        <v>0</v>
      </c>
      <c r="L690" s="1">
        <v>1927.8</v>
      </c>
      <c r="M690" s="1" t="str">
        <f t="shared" si="20"/>
        <v>Marketplace</v>
      </c>
      <c r="N690" s="1">
        <f t="shared" si="21"/>
        <v>405</v>
      </c>
    </row>
    <row r="691" spans="1:14" x14ac:dyDescent="0.3">
      <c r="A691" s="1" t="s">
        <v>1599</v>
      </c>
      <c r="B691" s="1">
        <v>46335</v>
      </c>
      <c r="C691" s="1" t="s">
        <v>54</v>
      </c>
      <c r="D691" s="1" t="s">
        <v>35</v>
      </c>
      <c r="E691" s="1" t="s">
        <v>16</v>
      </c>
      <c r="F691" s="1" t="s">
        <v>82</v>
      </c>
      <c r="G691" s="1" t="s">
        <v>114</v>
      </c>
      <c r="H691" s="1" t="s">
        <v>71</v>
      </c>
      <c r="I691" s="1">
        <v>2</v>
      </c>
      <c r="J691" s="1">
        <v>2137.5</v>
      </c>
      <c r="K691" s="1">
        <v>0.05</v>
      </c>
      <c r="L691" s="1">
        <v>4061.25</v>
      </c>
      <c r="M691" s="1" t="str">
        <f t="shared" si="20"/>
        <v>Online</v>
      </c>
      <c r="N691" s="1">
        <f t="shared" si="21"/>
        <v>267.12</v>
      </c>
    </row>
    <row r="692" spans="1:14" x14ac:dyDescent="0.3">
      <c r="A692" s="1" t="s">
        <v>1600</v>
      </c>
      <c r="B692" s="1">
        <v>46335</v>
      </c>
      <c r="C692" s="1" t="s">
        <v>21</v>
      </c>
      <c r="D692" s="1" t="s">
        <v>15</v>
      </c>
      <c r="E692" s="1" t="s">
        <v>16</v>
      </c>
      <c r="F692" s="1" t="s">
        <v>36</v>
      </c>
      <c r="G692" s="1" t="s">
        <v>77</v>
      </c>
      <c r="H692" s="1" t="s">
        <v>25</v>
      </c>
      <c r="I692" s="1">
        <v>3</v>
      </c>
      <c r="J692" s="1">
        <v>1404</v>
      </c>
      <c r="K692" s="1">
        <v>0.08</v>
      </c>
      <c r="L692" s="1">
        <v>3875.04</v>
      </c>
      <c r="M692" s="1" t="str">
        <f t="shared" si="20"/>
        <v>Marketplace</v>
      </c>
      <c r="N692" s="1">
        <f t="shared" si="21"/>
        <v>405</v>
      </c>
    </row>
    <row r="693" spans="1:14" x14ac:dyDescent="0.3">
      <c r="A693" s="1" t="s">
        <v>1601</v>
      </c>
      <c r="B693" s="1">
        <v>46335</v>
      </c>
      <c r="C693" s="1" t="s">
        <v>61</v>
      </c>
      <c r="D693" s="1" t="s">
        <v>15</v>
      </c>
      <c r="E693" s="1" t="s">
        <v>16</v>
      </c>
      <c r="F693" s="1" t="s">
        <v>17</v>
      </c>
      <c r="G693" s="1" t="s">
        <v>189</v>
      </c>
      <c r="H693" s="1" t="s">
        <v>73</v>
      </c>
      <c r="I693" s="1">
        <v>3</v>
      </c>
      <c r="J693" s="1">
        <v>288</v>
      </c>
      <c r="K693" s="1">
        <v>0.03</v>
      </c>
      <c r="L693" s="1">
        <v>838.08</v>
      </c>
      <c r="M693" s="1" t="str">
        <f t="shared" si="20"/>
        <v>Online</v>
      </c>
      <c r="N693" s="1">
        <f t="shared" si="21"/>
        <v>62.01</v>
      </c>
    </row>
    <row r="694" spans="1:14" x14ac:dyDescent="0.3">
      <c r="A694" s="1" t="s">
        <v>1602</v>
      </c>
      <c r="B694" s="1">
        <v>46335</v>
      </c>
      <c r="C694" s="1" t="s">
        <v>14</v>
      </c>
      <c r="D694" s="1" t="s">
        <v>15</v>
      </c>
      <c r="E694" s="1" t="s">
        <v>28</v>
      </c>
      <c r="F694" s="1" t="s">
        <v>23</v>
      </c>
      <c r="G694" s="1" t="s">
        <v>24</v>
      </c>
      <c r="H694" s="1" t="s">
        <v>31</v>
      </c>
      <c r="I694" s="1">
        <v>5</v>
      </c>
      <c r="J694" s="1">
        <v>21.38</v>
      </c>
      <c r="K694" s="1">
        <v>0</v>
      </c>
      <c r="L694" s="1">
        <v>106.88</v>
      </c>
      <c r="M694" s="1" t="str">
        <f t="shared" si="20"/>
        <v>Online</v>
      </c>
      <c r="N694" s="1">
        <f t="shared" si="21"/>
        <v>16.2</v>
      </c>
    </row>
    <row r="695" spans="1:14" x14ac:dyDescent="0.3">
      <c r="A695" s="1" t="s">
        <v>1603</v>
      </c>
      <c r="B695" s="1">
        <v>46335</v>
      </c>
      <c r="C695" s="1" t="s">
        <v>61</v>
      </c>
      <c r="D695" s="1" t="s">
        <v>15</v>
      </c>
      <c r="E695" s="1" t="s">
        <v>28</v>
      </c>
      <c r="F695" s="1" t="s">
        <v>29</v>
      </c>
      <c r="G695" s="1" t="s">
        <v>55</v>
      </c>
      <c r="H695" s="1" t="s">
        <v>73</v>
      </c>
      <c r="I695" s="1">
        <v>2</v>
      </c>
      <c r="J695" s="1">
        <v>33.17</v>
      </c>
      <c r="K695" s="1">
        <v>0.08</v>
      </c>
      <c r="L695" s="1">
        <v>61.04</v>
      </c>
      <c r="M695" s="1" t="str">
        <f t="shared" si="20"/>
        <v>Online</v>
      </c>
      <c r="N695" s="1">
        <f t="shared" si="21"/>
        <v>62.01</v>
      </c>
    </row>
    <row r="696" spans="1:14" x14ac:dyDescent="0.3">
      <c r="A696" s="1" t="s">
        <v>1604</v>
      </c>
      <c r="B696" s="1">
        <v>46335</v>
      </c>
      <c r="C696" s="1" t="s">
        <v>61</v>
      </c>
      <c r="D696" s="1" t="s">
        <v>15</v>
      </c>
      <c r="E696" s="1" t="s">
        <v>28</v>
      </c>
      <c r="F696" s="1" t="s">
        <v>17</v>
      </c>
      <c r="G696" s="1" t="s">
        <v>189</v>
      </c>
      <c r="H696" s="1" t="s">
        <v>112</v>
      </c>
      <c r="I696" s="1">
        <v>2</v>
      </c>
      <c r="J696" s="1">
        <v>279.36</v>
      </c>
      <c r="K696" s="1">
        <v>0.08</v>
      </c>
      <c r="L696" s="1">
        <v>514.02</v>
      </c>
      <c r="M696" s="1" t="str">
        <f t="shared" si="20"/>
        <v>Online</v>
      </c>
      <c r="N696" s="1">
        <f t="shared" si="21"/>
        <v>62.01</v>
      </c>
    </row>
    <row r="697" spans="1:14" x14ac:dyDescent="0.3">
      <c r="A697" s="1" t="s">
        <v>1592</v>
      </c>
      <c r="B697" s="1">
        <v>46336</v>
      </c>
      <c r="C697" s="1" t="s">
        <v>61</v>
      </c>
      <c r="D697" s="1" t="s">
        <v>22</v>
      </c>
      <c r="E697" s="1" t="s">
        <v>28</v>
      </c>
      <c r="F697" s="1" t="s">
        <v>17</v>
      </c>
      <c r="G697" s="1" t="s">
        <v>62</v>
      </c>
      <c r="H697" s="1" t="s">
        <v>63</v>
      </c>
      <c r="I697" s="1">
        <v>8</v>
      </c>
      <c r="J697" s="1">
        <v>51.3</v>
      </c>
      <c r="K697" s="1">
        <v>0.05</v>
      </c>
      <c r="L697" s="1">
        <v>389.88</v>
      </c>
      <c r="M697" s="1" t="str">
        <f t="shared" si="20"/>
        <v>Retail Store</v>
      </c>
      <c r="N697" s="1">
        <f t="shared" si="21"/>
        <v>62.01</v>
      </c>
    </row>
    <row r="698" spans="1:14" x14ac:dyDescent="0.3">
      <c r="A698" s="1" t="s">
        <v>1593</v>
      </c>
      <c r="B698" s="1">
        <v>46336</v>
      </c>
      <c r="C698" s="1" t="s">
        <v>54</v>
      </c>
      <c r="D698" s="1" t="s">
        <v>15</v>
      </c>
      <c r="E698" s="1" t="s">
        <v>28</v>
      </c>
      <c r="F698" s="1" t="s">
        <v>17</v>
      </c>
      <c r="G698" s="1" t="s">
        <v>62</v>
      </c>
      <c r="H698" s="1" t="s">
        <v>80</v>
      </c>
      <c r="I698" s="1">
        <v>2</v>
      </c>
      <c r="J698" s="1">
        <v>51.3</v>
      </c>
      <c r="K698" s="1">
        <v>0.05</v>
      </c>
      <c r="L698" s="1">
        <v>97.47</v>
      </c>
      <c r="M698" s="1" t="str">
        <f t="shared" si="20"/>
        <v>Marketplace</v>
      </c>
      <c r="N698" s="1">
        <f t="shared" si="21"/>
        <v>267.12</v>
      </c>
    </row>
    <row r="699" spans="1:14" x14ac:dyDescent="0.3">
      <c r="A699" s="1" t="s">
        <v>1594</v>
      </c>
      <c r="B699" s="1">
        <v>46336</v>
      </c>
      <c r="C699" s="1" t="s">
        <v>54</v>
      </c>
      <c r="D699" s="1" t="s">
        <v>27</v>
      </c>
      <c r="E699" s="1" t="s">
        <v>16</v>
      </c>
      <c r="F699" s="1" t="s">
        <v>36</v>
      </c>
      <c r="G699" s="1" t="s">
        <v>77</v>
      </c>
      <c r="H699" s="1" t="s">
        <v>71</v>
      </c>
      <c r="I699" s="1">
        <v>3</v>
      </c>
      <c r="J699" s="1">
        <v>1377</v>
      </c>
      <c r="K699" s="1">
        <v>0.05</v>
      </c>
      <c r="L699" s="1">
        <v>3924.45</v>
      </c>
      <c r="M699" s="1" t="str">
        <f t="shared" si="20"/>
        <v>Online</v>
      </c>
      <c r="N699" s="1">
        <f t="shared" si="21"/>
        <v>267.12</v>
      </c>
    </row>
    <row r="700" spans="1:14" x14ac:dyDescent="0.3">
      <c r="A700" s="1" t="s">
        <v>1595</v>
      </c>
      <c r="B700" s="1">
        <v>46336</v>
      </c>
      <c r="C700" s="1" t="s">
        <v>54</v>
      </c>
      <c r="D700" s="1" t="s">
        <v>15</v>
      </c>
      <c r="E700" s="1" t="s">
        <v>16</v>
      </c>
      <c r="F700" s="1" t="s">
        <v>29</v>
      </c>
      <c r="G700" s="1" t="s">
        <v>39</v>
      </c>
      <c r="H700" s="1" t="s">
        <v>56</v>
      </c>
      <c r="I700" s="1">
        <v>5</v>
      </c>
      <c r="J700" s="1">
        <v>68.400000000000006</v>
      </c>
      <c r="K700" s="1">
        <v>0.03</v>
      </c>
      <c r="L700" s="1">
        <v>331.74</v>
      </c>
      <c r="M700" s="1" t="str">
        <f t="shared" si="20"/>
        <v>Online</v>
      </c>
      <c r="N700" s="1">
        <f t="shared" si="21"/>
        <v>267.12</v>
      </c>
    </row>
    <row r="701" spans="1:14" x14ac:dyDescent="0.3">
      <c r="A701" s="1" t="s">
        <v>1596</v>
      </c>
      <c r="B701" s="1">
        <v>46336</v>
      </c>
      <c r="C701" s="1" t="s">
        <v>21</v>
      </c>
      <c r="D701" s="1" t="s">
        <v>15</v>
      </c>
      <c r="E701" s="1" t="s">
        <v>16</v>
      </c>
      <c r="F701" s="1" t="s">
        <v>29</v>
      </c>
      <c r="G701" s="1" t="s">
        <v>39</v>
      </c>
      <c r="H701" s="1" t="s">
        <v>44</v>
      </c>
      <c r="I701" s="1">
        <v>2</v>
      </c>
      <c r="J701" s="1">
        <v>68.400000000000006</v>
      </c>
      <c r="K701" s="1">
        <v>0.03</v>
      </c>
      <c r="L701" s="1">
        <v>132.69999999999999</v>
      </c>
      <c r="M701" s="1" t="str">
        <f t="shared" si="20"/>
        <v>Retail Store</v>
      </c>
      <c r="N701" s="1">
        <f t="shared" si="21"/>
        <v>405</v>
      </c>
    </row>
    <row r="702" spans="1:14" x14ac:dyDescent="0.3">
      <c r="A702" s="1" t="s">
        <v>1587</v>
      </c>
      <c r="B702" s="1">
        <v>46337</v>
      </c>
      <c r="C702" s="1" t="s">
        <v>54</v>
      </c>
      <c r="D702" s="1" t="s">
        <v>27</v>
      </c>
      <c r="E702" s="1" t="s">
        <v>16</v>
      </c>
      <c r="F702" s="1" t="s">
        <v>82</v>
      </c>
      <c r="G702" s="1" t="s">
        <v>83</v>
      </c>
      <c r="H702" s="1" t="s">
        <v>80</v>
      </c>
      <c r="I702" s="1">
        <v>2</v>
      </c>
      <c r="J702" s="1">
        <v>3855.6</v>
      </c>
      <c r="K702" s="1">
        <v>0.2</v>
      </c>
      <c r="L702" s="1">
        <v>6168.96</v>
      </c>
      <c r="M702" s="1" t="str">
        <f t="shared" si="20"/>
        <v>Marketplace</v>
      </c>
      <c r="N702" s="1">
        <f t="shared" si="21"/>
        <v>267.12</v>
      </c>
    </row>
    <row r="703" spans="1:14" x14ac:dyDescent="0.3">
      <c r="A703" s="1" t="s">
        <v>1588</v>
      </c>
      <c r="B703" s="1">
        <v>46337</v>
      </c>
      <c r="C703" s="1" t="s">
        <v>61</v>
      </c>
      <c r="D703" s="1" t="s">
        <v>22</v>
      </c>
      <c r="E703" s="1" t="s">
        <v>28</v>
      </c>
      <c r="F703" s="1" t="s">
        <v>36</v>
      </c>
      <c r="G703" s="1" t="s">
        <v>77</v>
      </c>
      <c r="H703" s="1" t="s">
        <v>73</v>
      </c>
      <c r="I703" s="1">
        <v>5</v>
      </c>
      <c r="J703" s="1">
        <v>1309.5</v>
      </c>
      <c r="K703" s="1">
        <v>0.15</v>
      </c>
      <c r="L703" s="1">
        <v>5565.38</v>
      </c>
      <c r="M703" s="1" t="str">
        <f t="shared" si="20"/>
        <v>Online</v>
      </c>
      <c r="N703" s="1">
        <f t="shared" si="21"/>
        <v>62.01</v>
      </c>
    </row>
    <row r="704" spans="1:14" x14ac:dyDescent="0.3">
      <c r="A704" s="1" t="s">
        <v>1589</v>
      </c>
      <c r="B704" s="1">
        <v>46337</v>
      </c>
      <c r="C704" s="1" t="s">
        <v>21</v>
      </c>
      <c r="D704" s="1" t="s">
        <v>22</v>
      </c>
      <c r="E704" s="1" t="s">
        <v>28</v>
      </c>
      <c r="F704" s="1" t="s">
        <v>17</v>
      </c>
      <c r="G704" s="1" t="s">
        <v>18</v>
      </c>
      <c r="H704" s="1" t="s">
        <v>44</v>
      </c>
      <c r="I704" s="1">
        <v>5</v>
      </c>
      <c r="J704" s="1">
        <v>81</v>
      </c>
      <c r="K704" s="1">
        <v>0.1</v>
      </c>
      <c r="L704" s="1">
        <v>364.5</v>
      </c>
      <c r="M704" s="1" t="str">
        <f t="shared" si="20"/>
        <v>Retail Store</v>
      </c>
      <c r="N704" s="1">
        <f t="shared" si="21"/>
        <v>405</v>
      </c>
    </row>
    <row r="705" spans="1:14" x14ac:dyDescent="0.3">
      <c r="A705" s="1" t="s">
        <v>1590</v>
      </c>
      <c r="B705" s="1">
        <v>46337</v>
      </c>
      <c r="C705" s="1" t="s">
        <v>54</v>
      </c>
      <c r="D705" s="1" t="s">
        <v>15</v>
      </c>
      <c r="E705" s="1" t="s">
        <v>16</v>
      </c>
      <c r="F705" s="1" t="s">
        <v>29</v>
      </c>
      <c r="G705" s="1" t="s">
        <v>55</v>
      </c>
      <c r="H705" s="1" t="s">
        <v>71</v>
      </c>
      <c r="I705" s="1">
        <v>2</v>
      </c>
      <c r="J705" s="1">
        <v>36.25</v>
      </c>
      <c r="K705" s="1">
        <v>0.2</v>
      </c>
      <c r="L705" s="1">
        <v>58</v>
      </c>
      <c r="M705" s="1" t="str">
        <f t="shared" si="20"/>
        <v>Online</v>
      </c>
      <c r="N705" s="1">
        <f t="shared" si="21"/>
        <v>267.12</v>
      </c>
    </row>
    <row r="706" spans="1:14" x14ac:dyDescent="0.3">
      <c r="A706" s="1" t="s">
        <v>1591</v>
      </c>
      <c r="B706" s="1">
        <v>46337</v>
      </c>
      <c r="C706" s="1" t="s">
        <v>54</v>
      </c>
      <c r="D706" s="1" t="s">
        <v>27</v>
      </c>
      <c r="E706" s="1" t="s">
        <v>16</v>
      </c>
      <c r="F706" s="1" t="s">
        <v>17</v>
      </c>
      <c r="G706" s="1" t="s">
        <v>189</v>
      </c>
      <c r="H706" s="1" t="s">
        <v>56</v>
      </c>
      <c r="I706" s="1">
        <v>2</v>
      </c>
      <c r="J706" s="1">
        <v>288</v>
      </c>
      <c r="K706" s="1">
        <v>0.15</v>
      </c>
      <c r="L706" s="1">
        <v>489.6</v>
      </c>
      <c r="M706" s="1" t="str">
        <f t="shared" ref="M706:M769" si="22">INDEX(D:D,MATCH(H706,H:H,0))</f>
        <v>Online</v>
      </c>
      <c r="N706" s="1">
        <f t="shared" ref="N706:N769" si="23">VLOOKUP(C:C,C:J,8,FALSE)</f>
        <v>267.12</v>
      </c>
    </row>
    <row r="707" spans="1:14" x14ac:dyDescent="0.3">
      <c r="A707" s="1" t="s">
        <v>1580</v>
      </c>
      <c r="B707" s="1">
        <v>46338</v>
      </c>
      <c r="C707" s="1" t="s">
        <v>14</v>
      </c>
      <c r="D707" s="1" t="s">
        <v>15</v>
      </c>
      <c r="E707" s="1" t="s">
        <v>16</v>
      </c>
      <c r="F707" s="1" t="s">
        <v>36</v>
      </c>
      <c r="G707" s="1" t="s">
        <v>37</v>
      </c>
      <c r="H707" s="1" t="s">
        <v>19</v>
      </c>
      <c r="I707" s="1">
        <v>2</v>
      </c>
      <c r="J707" s="1">
        <v>765</v>
      </c>
      <c r="K707" s="1">
        <v>0.1</v>
      </c>
      <c r="L707" s="1">
        <v>1377</v>
      </c>
      <c r="M707" s="1" t="str">
        <f t="shared" si="22"/>
        <v>Retail Store</v>
      </c>
      <c r="N707" s="1">
        <f t="shared" si="23"/>
        <v>16.2</v>
      </c>
    </row>
    <row r="708" spans="1:14" x14ac:dyDescent="0.3">
      <c r="A708" s="1" t="s">
        <v>1581</v>
      </c>
      <c r="B708" s="1">
        <v>46338</v>
      </c>
      <c r="C708" s="1" t="s">
        <v>54</v>
      </c>
      <c r="D708" s="1" t="s">
        <v>35</v>
      </c>
      <c r="E708" s="1" t="s">
        <v>16</v>
      </c>
      <c r="F708" s="1" t="s">
        <v>17</v>
      </c>
      <c r="G708" s="1" t="s">
        <v>18</v>
      </c>
      <c r="H708" s="1" t="s">
        <v>71</v>
      </c>
      <c r="I708" s="1">
        <v>6</v>
      </c>
      <c r="J708" s="1">
        <v>81</v>
      </c>
      <c r="K708" s="1">
        <v>0</v>
      </c>
      <c r="L708" s="1">
        <v>486</v>
      </c>
      <c r="M708" s="1" t="str">
        <f t="shared" si="22"/>
        <v>Online</v>
      </c>
      <c r="N708" s="1">
        <f t="shared" si="23"/>
        <v>267.12</v>
      </c>
    </row>
    <row r="709" spans="1:14" x14ac:dyDescent="0.3">
      <c r="A709" s="1" t="s">
        <v>1582</v>
      </c>
      <c r="B709" s="1">
        <v>46338</v>
      </c>
      <c r="C709" s="1" t="s">
        <v>47</v>
      </c>
      <c r="D709" s="1" t="s">
        <v>15</v>
      </c>
      <c r="E709" s="1" t="s">
        <v>16</v>
      </c>
      <c r="F709" s="1" t="s">
        <v>42</v>
      </c>
      <c r="G709" s="1" t="s">
        <v>65</v>
      </c>
      <c r="H709" s="1" t="s">
        <v>78</v>
      </c>
      <c r="I709" s="1">
        <v>3</v>
      </c>
      <c r="J709" s="1">
        <v>715.5</v>
      </c>
      <c r="K709" s="1">
        <v>0.03</v>
      </c>
      <c r="L709" s="1">
        <v>2082.11</v>
      </c>
      <c r="M709" s="1" t="str">
        <f t="shared" si="22"/>
        <v>Retail Store</v>
      </c>
      <c r="N709" s="1">
        <f t="shared" si="23"/>
        <v>421.2</v>
      </c>
    </row>
    <row r="710" spans="1:14" x14ac:dyDescent="0.3">
      <c r="A710" s="1" t="s">
        <v>1583</v>
      </c>
      <c r="B710" s="1">
        <v>46338</v>
      </c>
      <c r="C710" s="1" t="s">
        <v>21</v>
      </c>
      <c r="D710" s="1" t="s">
        <v>22</v>
      </c>
      <c r="E710" s="1" t="s">
        <v>16</v>
      </c>
      <c r="F710" s="1" t="s">
        <v>36</v>
      </c>
      <c r="G710" s="1" t="s">
        <v>37</v>
      </c>
      <c r="H710" s="1" t="s">
        <v>86</v>
      </c>
      <c r="I710" s="1">
        <v>2</v>
      </c>
      <c r="J710" s="1">
        <v>810.9</v>
      </c>
      <c r="K710" s="1">
        <v>0.15</v>
      </c>
      <c r="L710" s="1">
        <v>1378.53</v>
      </c>
      <c r="M710" s="1" t="str">
        <f t="shared" si="22"/>
        <v>Online</v>
      </c>
      <c r="N710" s="1">
        <f t="shared" si="23"/>
        <v>405</v>
      </c>
    </row>
    <row r="711" spans="1:14" x14ac:dyDescent="0.3">
      <c r="A711" s="1" t="s">
        <v>1584</v>
      </c>
      <c r="B711" s="1">
        <v>46338</v>
      </c>
      <c r="C711" s="1" t="s">
        <v>14</v>
      </c>
      <c r="D711" s="1" t="s">
        <v>15</v>
      </c>
      <c r="E711" s="1" t="s">
        <v>28</v>
      </c>
      <c r="F711" s="1" t="s">
        <v>17</v>
      </c>
      <c r="G711" s="1" t="s">
        <v>62</v>
      </c>
      <c r="H711" s="1" t="s">
        <v>19</v>
      </c>
      <c r="I711" s="1">
        <v>3</v>
      </c>
      <c r="J711" s="1">
        <v>55.08</v>
      </c>
      <c r="K711" s="1">
        <v>0.03</v>
      </c>
      <c r="L711" s="1">
        <v>160.28</v>
      </c>
      <c r="M711" s="1" t="str">
        <f t="shared" si="22"/>
        <v>Retail Store</v>
      </c>
      <c r="N711" s="1">
        <f t="shared" si="23"/>
        <v>16.2</v>
      </c>
    </row>
    <row r="712" spans="1:14" x14ac:dyDescent="0.3">
      <c r="A712" s="1" t="s">
        <v>1585</v>
      </c>
      <c r="B712" s="1">
        <v>46338</v>
      </c>
      <c r="C712" s="1" t="s">
        <v>14</v>
      </c>
      <c r="D712" s="1" t="s">
        <v>15</v>
      </c>
      <c r="E712" s="1" t="s">
        <v>28</v>
      </c>
      <c r="F712" s="1" t="s">
        <v>23</v>
      </c>
      <c r="G712" s="1" t="s">
        <v>24</v>
      </c>
      <c r="H712" s="1" t="s">
        <v>40</v>
      </c>
      <c r="I712" s="1">
        <v>3</v>
      </c>
      <c r="J712" s="1">
        <v>22.5</v>
      </c>
      <c r="K712" s="1">
        <v>0.2</v>
      </c>
      <c r="L712" s="1">
        <v>54</v>
      </c>
      <c r="M712" s="1" t="str">
        <f t="shared" si="22"/>
        <v>Online</v>
      </c>
      <c r="N712" s="1">
        <f t="shared" si="23"/>
        <v>16.2</v>
      </c>
    </row>
    <row r="713" spans="1:14" x14ac:dyDescent="0.3">
      <c r="A713" s="1" t="s">
        <v>1586</v>
      </c>
      <c r="B713" s="1">
        <v>46338</v>
      </c>
      <c r="C713" s="1" t="s">
        <v>54</v>
      </c>
      <c r="D713" s="1" t="s">
        <v>15</v>
      </c>
      <c r="E713" s="1" t="s">
        <v>16</v>
      </c>
      <c r="F713" s="1" t="s">
        <v>23</v>
      </c>
      <c r="G713" s="1" t="s">
        <v>142</v>
      </c>
      <c r="H713" s="1" t="s">
        <v>56</v>
      </c>
      <c r="I713" s="1">
        <v>7</v>
      </c>
      <c r="J713" s="1">
        <v>16.850000000000001</v>
      </c>
      <c r="K713" s="1">
        <v>0.08</v>
      </c>
      <c r="L713" s="1">
        <v>108.5</v>
      </c>
      <c r="M713" s="1" t="str">
        <f t="shared" si="22"/>
        <v>Online</v>
      </c>
      <c r="N713" s="1">
        <f t="shared" si="23"/>
        <v>267.12</v>
      </c>
    </row>
    <row r="714" spans="1:14" x14ac:dyDescent="0.3">
      <c r="A714" s="1" t="s">
        <v>1571</v>
      </c>
      <c r="B714" s="1">
        <v>46357</v>
      </c>
      <c r="C714" s="1" t="s">
        <v>14</v>
      </c>
      <c r="D714" s="1" t="s">
        <v>15</v>
      </c>
      <c r="E714" s="1" t="s">
        <v>16</v>
      </c>
      <c r="F714" s="1" t="s">
        <v>82</v>
      </c>
      <c r="G714" s="1" t="s">
        <v>96</v>
      </c>
      <c r="H714" s="1" t="s">
        <v>40</v>
      </c>
      <c r="I714" s="1">
        <v>2</v>
      </c>
      <c r="J714" s="1">
        <v>2754</v>
      </c>
      <c r="K714" s="1">
        <v>0.08</v>
      </c>
      <c r="L714" s="1">
        <v>5067.3599999999997</v>
      </c>
      <c r="M714" s="1" t="str">
        <f t="shared" si="22"/>
        <v>Online</v>
      </c>
      <c r="N714" s="1">
        <f t="shared" si="23"/>
        <v>16.2</v>
      </c>
    </row>
    <row r="715" spans="1:14" x14ac:dyDescent="0.3">
      <c r="A715" s="1" t="s">
        <v>1572</v>
      </c>
      <c r="B715" s="1">
        <v>46357</v>
      </c>
      <c r="C715" s="1" t="s">
        <v>47</v>
      </c>
      <c r="D715" s="1" t="s">
        <v>22</v>
      </c>
      <c r="E715" s="1" t="s">
        <v>16</v>
      </c>
      <c r="F715" s="1" t="s">
        <v>29</v>
      </c>
      <c r="G715" s="1" t="s">
        <v>30</v>
      </c>
      <c r="H715" s="1" t="s">
        <v>58</v>
      </c>
      <c r="I715" s="1">
        <v>8</v>
      </c>
      <c r="J715" s="1">
        <v>50.49</v>
      </c>
      <c r="K715" s="1">
        <v>0.1</v>
      </c>
      <c r="L715" s="1">
        <v>363.53</v>
      </c>
      <c r="M715" s="1" t="str">
        <f t="shared" si="22"/>
        <v>Corporate Sales</v>
      </c>
      <c r="N715" s="1">
        <f t="shared" si="23"/>
        <v>421.2</v>
      </c>
    </row>
    <row r="716" spans="1:14" x14ac:dyDescent="0.3">
      <c r="A716" s="1" t="s">
        <v>1573</v>
      </c>
      <c r="B716" s="1">
        <v>46357</v>
      </c>
      <c r="C716" s="1" t="s">
        <v>61</v>
      </c>
      <c r="D716" s="1" t="s">
        <v>35</v>
      </c>
      <c r="E716" s="1" t="s">
        <v>16</v>
      </c>
      <c r="F716" s="1" t="s">
        <v>82</v>
      </c>
      <c r="G716" s="1" t="s">
        <v>83</v>
      </c>
      <c r="H716" s="1" t="s">
        <v>63</v>
      </c>
      <c r="I716" s="1">
        <v>2</v>
      </c>
      <c r="J716" s="1">
        <v>3931.2</v>
      </c>
      <c r="K716" s="1">
        <v>0.05</v>
      </c>
      <c r="L716" s="1">
        <v>7469.28</v>
      </c>
      <c r="M716" s="1" t="str">
        <f t="shared" si="22"/>
        <v>Retail Store</v>
      </c>
      <c r="N716" s="1">
        <f t="shared" si="23"/>
        <v>62.01</v>
      </c>
    </row>
    <row r="717" spans="1:14" x14ac:dyDescent="0.3">
      <c r="A717" s="1" t="s">
        <v>1574</v>
      </c>
      <c r="B717" s="1">
        <v>46357</v>
      </c>
      <c r="C717" s="1" t="s">
        <v>47</v>
      </c>
      <c r="D717" s="1" t="s">
        <v>35</v>
      </c>
      <c r="E717" s="1" t="s">
        <v>16</v>
      </c>
      <c r="F717" s="1" t="s">
        <v>82</v>
      </c>
      <c r="G717" s="1" t="s">
        <v>114</v>
      </c>
      <c r="H717" s="1" t="s">
        <v>78</v>
      </c>
      <c r="I717" s="1">
        <v>5</v>
      </c>
      <c r="J717" s="1">
        <v>2295</v>
      </c>
      <c r="K717" s="1">
        <v>0.1</v>
      </c>
      <c r="L717" s="1">
        <v>10327.5</v>
      </c>
      <c r="M717" s="1" t="str">
        <f t="shared" si="22"/>
        <v>Retail Store</v>
      </c>
      <c r="N717" s="1">
        <f t="shared" si="23"/>
        <v>421.2</v>
      </c>
    </row>
    <row r="718" spans="1:14" x14ac:dyDescent="0.3">
      <c r="A718" s="1" t="s">
        <v>1575</v>
      </c>
      <c r="B718" s="1">
        <v>46357</v>
      </c>
      <c r="C718" s="1" t="s">
        <v>21</v>
      </c>
      <c r="D718" s="1" t="s">
        <v>35</v>
      </c>
      <c r="E718" s="1" t="s">
        <v>28</v>
      </c>
      <c r="F718" s="1" t="s">
        <v>42</v>
      </c>
      <c r="G718" s="1" t="s">
        <v>43</v>
      </c>
      <c r="H718" s="1" t="s">
        <v>44</v>
      </c>
      <c r="I718" s="1">
        <v>10</v>
      </c>
      <c r="J718" s="1">
        <v>165.24</v>
      </c>
      <c r="K718" s="1">
        <v>0</v>
      </c>
      <c r="L718" s="1">
        <v>1652.4</v>
      </c>
      <c r="M718" s="1" t="str">
        <f t="shared" si="22"/>
        <v>Retail Store</v>
      </c>
      <c r="N718" s="1">
        <f t="shared" si="23"/>
        <v>405</v>
      </c>
    </row>
    <row r="719" spans="1:14" x14ac:dyDescent="0.3">
      <c r="A719" s="1" t="s">
        <v>1576</v>
      </c>
      <c r="B719" s="1">
        <v>46357</v>
      </c>
      <c r="C719" s="1" t="s">
        <v>54</v>
      </c>
      <c r="D719" s="1" t="s">
        <v>22</v>
      </c>
      <c r="E719" s="1" t="s">
        <v>16</v>
      </c>
      <c r="F719" s="1" t="s">
        <v>23</v>
      </c>
      <c r="G719" s="1" t="s">
        <v>178</v>
      </c>
      <c r="H719" s="1" t="s">
        <v>80</v>
      </c>
      <c r="I719" s="1">
        <v>2</v>
      </c>
      <c r="J719" s="1">
        <v>32.76</v>
      </c>
      <c r="K719" s="1">
        <v>0.03</v>
      </c>
      <c r="L719" s="1">
        <v>63.55</v>
      </c>
      <c r="M719" s="1" t="str">
        <f t="shared" si="22"/>
        <v>Marketplace</v>
      </c>
      <c r="N719" s="1">
        <f t="shared" si="23"/>
        <v>267.12</v>
      </c>
    </row>
    <row r="720" spans="1:14" x14ac:dyDescent="0.3">
      <c r="A720" s="1" t="s">
        <v>1577</v>
      </c>
      <c r="B720" s="1">
        <v>46357</v>
      </c>
      <c r="C720" s="1" t="s">
        <v>21</v>
      </c>
      <c r="D720" s="1" t="s">
        <v>15</v>
      </c>
      <c r="E720" s="1" t="s">
        <v>16</v>
      </c>
      <c r="F720" s="1" t="s">
        <v>23</v>
      </c>
      <c r="G720" s="1" t="s">
        <v>116</v>
      </c>
      <c r="H720" s="1" t="s">
        <v>25</v>
      </c>
      <c r="I720" s="1">
        <v>2</v>
      </c>
      <c r="J720" s="1">
        <v>7.49</v>
      </c>
      <c r="K720" s="1">
        <v>0.03</v>
      </c>
      <c r="L720" s="1">
        <v>14.53</v>
      </c>
      <c r="M720" s="1" t="str">
        <f t="shared" si="22"/>
        <v>Marketplace</v>
      </c>
      <c r="N720" s="1">
        <f t="shared" si="23"/>
        <v>405</v>
      </c>
    </row>
    <row r="721" spans="1:14" x14ac:dyDescent="0.3">
      <c r="A721" s="1" t="s">
        <v>1578</v>
      </c>
      <c r="B721" s="1">
        <v>46357</v>
      </c>
      <c r="C721" s="1" t="s">
        <v>54</v>
      </c>
      <c r="D721" s="1" t="s">
        <v>27</v>
      </c>
      <c r="E721" s="1" t="s">
        <v>16</v>
      </c>
      <c r="F721" s="1" t="s">
        <v>42</v>
      </c>
      <c r="G721" s="1" t="s">
        <v>43</v>
      </c>
      <c r="H721" s="1" t="s">
        <v>80</v>
      </c>
      <c r="I721" s="1">
        <v>4</v>
      </c>
      <c r="J721" s="1">
        <v>153.9</v>
      </c>
      <c r="K721" s="1">
        <v>0.1</v>
      </c>
      <c r="L721" s="1">
        <v>554.04</v>
      </c>
      <c r="M721" s="1" t="str">
        <f t="shared" si="22"/>
        <v>Marketplace</v>
      </c>
      <c r="N721" s="1">
        <f t="shared" si="23"/>
        <v>267.12</v>
      </c>
    </row>
    <row r="722" spans="1:14" x14ac:dyDescent="0.3">
      <c r="A722" s="1" t="s">
        <v>1579</v>
      </c>
      <c r="B722" s="1">
        <v>46357</v>
      </c>
      <c r="C722" s="1" t="s">
        <v>47</v>
      </c>
      <c r="D722" s="1" t="s">
        <v>15</v>
      </c>
      <c r="E722" s="1" t="s">
        <v>16</v>
      </c>
      <c r="F722" s="1" t="s">
        <v>36</v>
      </c>
      <c r="G722" s="1" t="s">
        <v>70</v>
      </c>
      <c r="H722" s="1" t="s">
        <v>78</v>
      </c>
      <c r="I722" s="1">
        <v>2</v>
      </c>
      <c r="J722" s="1">
        <v>495.9</v>
      </c>
      <c r="K722" s="1">
        <v>0.05</v>
      </c>
      <c r="L722" s="1">
        <v>942.21</v>
      </c>
      <c r="M722" s="1" t="str">
        <f t="shared" si="22"/>
        <v>Retail Store</v>
      </c>
      <c r="N722" s="1">
        <f t="shared" si="23"/>
        <v>421.2</v>
      </c>
    </row>
    <row r="723" spans="1:14" x14ac:dyDescent="0.3">
      <c r="A723" s="1" t="s">
        <v>1562</v>
      </c>
      <c r="B723" s="1">
        <v>46358</v>
      </c>
      <c r="C723" s="1" t="s">
        <v>21</v>
      </c>
      <c r="D723" s="1" t="s">
        <v>15</v>
      </c>
      <c r="E723" s="1" t="s">
        <v>16</v>
      </c>
      <c r="F723" s="1" t="s">
        <v>29</v>
      </c>
      <c r="G723" s="1" t="s">
        <v>30</v>
      </c>
      <c r="H723" s="1" t="s">
        <v>86</v>
      </c>
      <c r="I723" s="1">
        <v>5</v>
      </c>
      <c r="J723" s="1">
        <v>49.5</v>
      </c>
      <c r="K723" s="1">
        <v>0.1</v>
      </c>
      <c r="L723" s="1">
        <v>222.75</v>
      </c>
      <c r="M723" s="1" t="str">
        <f t="shared" si="22"/>
        <v>Online</v>
      </c>
      <c r="N723" s="1">
        <f t="shared" si="23"/>
        <v>405</v>
      </c>
    </row>
    <row r="724" spans="1:14" x14ac:dyDescent="0.3">
      <c r="A724" s="1" t="s">
        <v>1563</v>
      </c>
      <c r="B724" s="1">
        <v>46358</v>
      </c>
      <c r="C724" s="1" t="s">
        <v>61</v>
      </c>
      <c r="D724" s="1" t="s">
        <v>27</v>
      </c>
      <c r="E724" s="1" t="s">
        <v>16</v>
      </c>
      <c r="F724" s="1" t="s">
        <v>82</v>
      </c>
      <c r="G724" s="1" t="s">
        <v>150</v>
      </c>
      <c r="H724" s="1" t="s">
        <v>63</v>
      </c>
      <c r="I724" s="1">
        <v>3</v>
      </c>
      <c r="J724" s="1">
        <v>2995.2</v>
      </c>
      <c r="K724" s="1">
        <v>0.05</v>
      </c>
      <c r="L724" s="1">
        <v>8536.32</v>
      </c>
      <c r="M724" s="1" t="str">
        <f t="shared" si="22"/>
        <v>Retail Store</v>
      </c>
      <c r="N724" s="1">
        <f t="shared" si="23"/>
        <v>62.01</v>
      </c>
    </row>
    <row r="725" spans="1:14" x14ac:dyDescent="0.3">
      <c r="A725" s="1" t="s">
        <v>1564</v>
      </c>
      <c r="B725" s="1">
        <v>46358</v>
      </c>
      <c r="C725" s="1" t="s">
        <v>61</v>
      </c>
      <c r="D725" s="1" t="s">
        <v>27</v>
      </c>
      <c r="E725" s="1" t="s">
        <v>28</v>
      </c>
      <c r="F725" s="1" t="s">
        <v>29</v>
      </c>
      <c r="G725" s="1" t="s">
        <v>30</v>
      </c>
      <c r="H725" s="1" t="s">
        <v>73</v>
      </c>
      <c r="I725" s="1">
        <v>4</v>
      </c>
      <c r="J725" s="1">
        <v>47.03</v>
      </c>
      <c r="K725" s="1">
        <v>0.03</v>
      </c>
      <c r="L725" s="1">
        <v>182.46</v>
      </c>
      <c r="M725" s="1" t="str">
        <f t="shared" si="22"/>
        <v>Online</v>
      </c>
      <c r="N725" s="1">
        <f t="shared" si="23"/>
        <v>62.01</v>
      </c>
    </row>
    <row r="726" spans="1:14" x14ac:dyDescent="0.3">
      <c r="A726" s="1" t="s">
        <v>1565</v>
      </c>
      <c r="B726" s="1">
        <v>46358</v>
      </c>
      <c r="C726" s="1" t="s">
        <v>21</v>
      </c>
      <c r="D726" s="1" t="s">
        <v>15</v>
      </c>
      <c r="E726" s="1" t="s">
        <v>16</v>
      </c>
      <c r="F726" s="1" t="s">
        <v>36</v>
      </c>
      <c r="G726" s="1" t="s">
        <v>119</v>
      </c>
      <c r="H726" s="1" t="s">
        <v>44</v>
      </c>
      <c r="I726" s="1">
        <v>4</v>
      </c>
      <c r="J726" s="1">
        <v>630</v>
      </c>
      <c r="K726" s="1">
        <v>0.1</v>
      </c>
      <c r="L726" s="1">
        <v>2268</v>
      </c>
      <c r="M726" s="1" t="str">
        <f t="shared" si="22"/>
        <v>Retail Store</v>
      </c>
      <c r="N726" s="1">
        <f t="shared" si="23"/>
        <v>405</v>
      </c>
    </row>
    <row r="727" spans="1:14" x14ac:dyDescent="0.3">
      <c r="A727" s="1" t="s">
        <v>1566</v>
      </c>
      <c r="B727" s="1">
        <v>46358</v>
      </c>
      <c r="C727" s="1" t="s">
        <v>14</v>
      </c>
      <c r="D727" s="1" t="s">
        <v>22</v>
      </c>
      <c r="E727" s="1" t="s">
        <v>28</v>
      </c>
      <c r="F727" s="1" t="s">
        <v>23</v>
      </c>
      <c r="G727" s="1" t="s">
        <v>142</v>
      </c>
      <c r="H727" s="1" t="s">
        <v>31</v>
      </c>
      <c r="I727" s="1">
        <v>4</v>
      </c>
      <c r="J727" s="1">
        <v>17.170000000000002</v>
      </c>
      <c r="K727" s="1">
        <v>0.15</v>
      </c>
      <c r="L727" s="1">
        <v>58.38</v>
      </c>
      <c r="M727" s="1" t="str">
        <f t="shared" si="22"/>
        <v>Online</v>
      </c>
      <c r="N727" s="1">
        <f t="shared" si="23"/>
        <v>16.2</v>
      </c>
    </row>
    <row r="728" spans="1:14" x14ac:dyDescent="0.3">
      <c r="A728" s="1" t="s">
        <v>1567</v>
      </c>
      <c r="B728" s="1">
        <v>46358</v>
      </c>
      <c r="C728" s="1" t="s">
        <v>14</v>
      </c>
      <c r="D728" s="1" t="s">
        <v>27</v>
      </c>
      <c r="E728" s="1" t="s">
        <v>28</v>
      </c>
      <c r="F728" s="1" t="s">
        <v>29</v>
      </c>
      <c r="G728" s="1" t="s">
        <v>30</v>
      </c>
      <c r="H728" s="1" t="s">
        <v>19</v>
      </c>
      <c r="I728" s="1">
        <v>3</v>
      </c>
      <c r="J728" s="1">
        <v>52.47</v>
      </c>
      <c r="K728" s="1">
        <v>0.1</v>
      </c>
      <c r="L728" s="1">
        <v>141.66999999999999</v>
      </c>
      <c r="M728" s="1" t="str">
        <f t="shared" si="22"/>
        <v>Retail Store</v>
      </c>
      <c r="N728" s="1">
        <f t="shared" si="23"/>
        <v>16.2</v>
      </c>
    </row>
    <row r="729" spans="1:14" x14ac:dyDescent="0.3">
      <c r="A729" s="1" t="s">
        <v>1568</v>
      </c>
      <c r="B729" s="1">
        <v>46358</v>
      </c>
      <c r="C729" s="1" t="s">
        <v>21</v>
      </c>
      <c r="D729" s="1" t="s">
        <v>35</v>
      </c>
      <c r="E729" s="1" t="s">
        <v>16</v>
      </c>
      <c r="F729" s="1" t="s">
        <v>36</v>
      </c>
      <c r="G729" s="1" t="s">
        <v>37</v>
      </c>
      <c r="H729" s="1" t="s">
        <v>25</v>
      </c>
      <c r="I729" s="1">
        <v>4</v>
      </c>
      <c r="J729" s="1">
        <v>726.75</v>
      </c>
      <c r="K729" s="1">
        <v>0.05</v>
      </c>
      <c r="L729" s="1">
        <v>2761.65</v>
      </c>
      <c r="M729" s="1" t="str">
        <f t="shared" si="22"/>
        <v>Marketplace</v>
      </c>
      <c r="N729" s="1">
        <f t="shared" si="23"/>
        <v>405</v>
      </c>
    </row>
    <row r="730" spans="1:14" x14ac:dyDescent="0.3">
      <c r="A730" s="1" t="s">
        <v>1569</v>
      </c>
      <c r="B730" s="1">
        <v>46358</v>
      </c>
      <c r="C730" s="1" t="s">
        <v>54</v>
      </c>
      <c r="D730" s="1" t="s">
        <v>22</v>
      </c>
      <c r="E730" s="1" t="s">
        <v>16</v>
      </c>
      <c r="F730" s="1" t="s">
        <v>23</v>
      </c>
      <c r="G730" s="1" t="s">
        <v>178</v>
      </c>
      <c r="H730" s="1" t="s">
        <v>71</v>
      </c>
      <c r="I730" s="1">
        <v>4</v>
      </c>
      <c r="J730" s="1">
        <v>31.5</v>
      </c>
      <c r="K730" s="1">
        <v>0.08</v>
      </c>
      <c r="L730" s="1">
        <v>115.92</v>
      </c>
      <c r="M730" s="1" t="str">
        <f t="shared" si="22"/>
        <v>Online</v>
      </c>
      <c r="N730" s="1">
        <f t="shared" si="23"/>
        <v>267.12</v>
      </c>
    </row>
    <row r="731" spans="1:14" x14ac:dyDescent="0.3">
      <c r="A731" s="1" t="s">
        <v>1570</v>
      </c>
      <c r="B731" s="1">
        <v>46358</v>
      </c>
      <c r="C731" s="1" t="s">
        <v>47</v>
      </c>
      <c r="D731" s="1" t="s">
        <v>35</v>
      </c>
      <c r="E731" s="1" t="s">
        <v>16</v>
      </c>
      <c r="F731" s="1" t="s">
        <v>23</v>
      </c>
      <c r="G731" s="1" t="s">
        <v>178</v>
      </c>
      <c r="H731" s="1" t="s">
        <v>49</v>
      </c>
      <c r="I731" s="1">
        <v>9</v>
      </c>
      <c r="J731" s="1">
        <v>30.56</v>
      </c>
      <c r="K731" s="1">
        <v>0.08</v>
      </c>
      <c r="L731" s="1">
        <v>253</v>
      </c>
      <c r="M731" s="1" t="str">
        <f t="shared" si="22"/>
        <v>Retail Store</v>
      </c>
      <c r="N731" s="1">
        <f t="shared" si="23"/>
        <v>421.2</v>
      </c>
    </row>
    <row r="732" spans="1:14" x14ac:dyDescent="0.3">
      <c r="A732" s="1" t="s">
        <v>1556</v>
      </c>
      <c r="B732" s="1">
        <v>46359</v>
      </c>
      <c r="C732" s="1" t="s">
        <v>47</v>
      </c>
      <c r="D732" s="1" t="s">
        <v>35</v>
      </c>
      <c r="E732" s="1" t="s">
        <v>16</v>
      </c>
      <c r="F732" s="1" t="s">
        <v>42</v>
      </c>
      <c r="G732" s="1" t="s">
        <v>43</v>
      </c>
      <c r="H732" s="1" t="s">
        <v>49</v>
      </c>
      <c r="I732" s="1">
        <v>8</v>
      </c>
      <c r="J732" s="1">
        <v>162</v>
      </c>
      <c r="K732" s="1">
        <v>0</v>
      </c>
      <c r="L732" s="1">
        <v>1296</v>
      </c>
      <c r="M732" s="1" t="str">
        <f t="shared" si="22"/>
        <v>Retail Store</v>
      </c>
      <c r="N732" s="1">
        <f t="shared" si="23"/>
        <v>421.2</v>
      </c>
    </row>
    <row r="733" spans="1:14" x14ac:dyDescent="0.3">
      <c r="A733" s="1" t="s">
        <v>1557</v>
      </c>
      <c r="B733" s="1">
        <v>46359</v>
      </c>
      <c r="C733" s="1" t="s">
        <v>54</v>
      </c>
      <c r="D733" s="1" t="s">
        <v>35</v>
      </c>
      <c r="E733" s="1" t="s">
        <v>16</v>
      </c>
      <c r="F733" s="1" t="s">
        <v>36</v>
      </c>
      <c r="G733" s="1" t="s">
        <v>119</v>
      </c>
      <c r="H733" s="1" t="s">
        <v>56</v>
      </c>
      <c r="I733" s="1">
        <v>4</v>
      </c>
      <c r="J733" s="1">
        <v>598.5</v>
      </c>
      <c r="K733" s="1">
        <v>0.15</v>
      </c>
      <c r="L733" s="1">
        <v>2034.9</v>
      </c>
      <c r="M733" s="1" t="str">
        <f t="shared" si="22"/>
        <v>Online</v>
      </c>
      <c r="N733" s="1">
        <f t="shared" si="23"/>
        <v>267.12</v>
      </c>
    </row>
    <row r="734" spans="1:14" x14ac:dyDescent="0.3">
      <c r="A734" s="1" t="s">
        <v>1558</v>
      </c>
      <c r="B734" s="1">
        <v>46359</v>
      </c>
      <c r="C734" s="1" t="s">
        <v>54</v>
      </c>
      <c r="D734" s="1" t="s">
        <v>15</v>
      </c>
      <c r="E734" s="1" t="s">
        <v>16</v>
      </c>
      <c r="F734" s="1" t="s">
        <v>17</v>
      </c>
      <c r="G734" s="1" t="s">
        <v>18</v>
      </c>
      <c r="H734" s="1" t="s">
        <v>56</v>
      </c>
      <c r="I734" s="1">
        <v>2</v>
      </c>
      <c r="J734" s="1">
        <v>81</v>
      </c>
      <c r="K734" s="1">
        <v>0.03</v>
      </c>
      <c r="L734" s="1">
        <v>157.13999999999999</v>
      </c>
      <c r="M734" s="1" t="str">
        <f t="shared" si="22"/>
        <v>Online</v>
      </c>
      <c r="N734" s="1">
        <f t="shared" si="23"/>
        <v>267.12</v>
      </c>
    </row>
    <row r="735" spans="1:14" x14ac:dyDescent="0.3">
      <c r="A735" s="1" t="s">
        <v>1559</v>
      </c>
      <c r="B735" s="1">
        <v>46359</v>
      </c>
      <c r="C735" s="1" t="s">
        <v>61</v>
      </c>
      <c r="D735" s="1" t="s">
        <v>35</v>
      </c>
      <c r="E735" s="1" t="s">
        <v>28</v>
      </c>
      <c r="F735" s="1" t="s">
        <v>82</v>
      </c>
      <c r="G735" s="1" t="s">
        <v>83</v>
      </c>
      <c r="H735" s="1" t="s">
        <v>63</v>
      </c>
      <c r="I735" s="1">
        <v>2</v>
      </c>
      <c r="J735" s="1">
        <v>3780</v>
      </c>
      <c r="K735" s="1">
        <v>0.03</v>
      </c>
      <c r="L735" s="1">
        <v>7333.2</v>
      </c>
      <c r="M735" s="1" t="str">
        <f t="shared" si="22"/>
        <v>Retail Store</v>
      </c>
      <c r="N735" s="1">
        <f t="shared" si="23"/>
        <v>62.01</v>
      </c>
    </row>
    <row r="736" spans="1:14" x14ac:dyDescent="0.3">
      <c r="A736" s="1" t="s">
        <v>1560</v>
      </c>
      <c r="B736" s="1">
        <v>46359</v>
      </c>
      <c r="C736" s="1" t="s">
        <v>21</v>
      </c>
      <c r="D736" s="1" t="s">
        <v>27</v>
      </c>
      <c r="E736" s="1" t="s">
        <v>28</v>
      </c>
      <c r="F736" s="1" t="s">
        <v>29</v>
      </c>
      <c r="G736" s="1" t="s">
        <v>51</v>
      </c>
      <c r="H736" s="1" t="s">
        <v>25</v>
      </c>
      <c r="I736" s="1">
        <v>4</v>
      </c>
      <c r="J736" s="1">
        <v>40.5</v>
      </c>
      <c r="K736" s="1">
        <v>0.03</v>
      </c>
      <c r="L736" s="1">
        <v>157.13999999999999</v>
      </c>
      <c r="M736" s="1" t="str">
        <f t="shared" si="22"/>
        <v>Marketplace</v>
      </c>
      <c r="N736" s="1">
        <f t="shared" si="23"/>
        <v>405</v>
      </c>
    </row>
    <row r="737" spans="1:14" x14ac:dyDescent="0.3">
      <c r="A737" s="1" t="s">
        <v>1561</v>
      </c>
      <c r="B737" s="1">
        <v>46359</v>
      </c>
      <c r="C737" s="1" t="s">
        <v>54</v>
      </c>
      <c r="D737" s="1" t="s">
        <v>15</v>
      </c>
      <c r="E737" s="1" t="s">
        <v>16</v>
      </c>
      <c r="F737" s="1" t="s">
        <v>17</v>
      </c>
      <c r="G737" s="1" t="s">
        <v>189</v>
      </c>
      <c r="H737" s="1" t="s">
        <v>56</v>
      </c>
      <c r="I737" s="1">
        <v>2</v>
      </c>
      <c r="J737" s="1">
        <v>288</v>
      </c>
      <c r="K737" s="1">
        <v>0.05</v>
      </c>
      <c r="L737" s="1">
        <v>547.20000000000005</v>
      </c>
      <c r="M737" s="1" t="str">
        <f t="shared" si="22"/>
        <v>Online</v>
      </c>
      <c r="N737" s="1">
        <f t="shared" si="23"/>
        <v>267.12</v>
      </c>
    </row>
    <row r="738" spans="1:14" x14ac:dyDescent="0.3">
      <c r="A738" s="1" t="s">
        <v>1552</v>
      </c>
      <c r="B738" s="1">
        <v>46360</v>
      </c>
      <c r="C738" s="1" t="s">
        <v>21</v>
      </c>
      <c r="D738" s="1" t="s">
        <v>27</v>
      </c>
      <c r="E738" s="1" t="s">
        <v>16</v>
      </c>
      <c r="F738" s="1" t="s">
        <v>29</v>
      </c>
      <c r="G738" s="1" t="s">
        <v>39</v>
      </c>
      <c r="H738" s="1" t="s">
        <v>86</v>
      </c>
      <c r="I738" s="1">
        <v>2</v>
      </c>
      <c r="J738" s="1">
        <v>74.88</v>
      </c>
      <c r="K738" s="1">
        <v>0.15</v>
      </c>
      <c r="L738" s="1">
        <v>127.3</v>
      </c>
      <c r="M738" s="1" t="str">
        <f t="shared" si="22"/>
        <v>Online</v>
      </c>
      <c r="N738" s="1">
        <f t="shared" si="23"/>
        <v>405</v>
      </c>
    </row>
    <row r="739" spans="1:14" x14ac:dyDescent="0.3">
      <c r="A739" s="1" t="s">
        <v>1553</v>
      </c>
      <c r="B739" s="1">
        <v>46360</v>
      </c>
      <c r="C739" s="1" t="s">
        <v>47</v>
      </c>
      <c r="D739" s="1" t="s">
        <v>35</v>
      </c>
      <c r="E739" s="1" t="s">
        <v>28</v>
      </c>
      <c r="F739" s="1" t="s">
        <v>82</v>
      </c>
      <c r="G739" s="1" t="s">
        <v>83</v>
      </c>
      <c r="H739" s="1" t="s">
        <v>58</v>
      </c>
      <c r="I739" s="1">
        <v>2</v>
      </c>
      <c r="J739" s="1">
        <v>3780</v>
      </c>
      <c r="K739" s="1">
        <v>0.08</v>
      </c>
      <c r="L739" s="1">
        <v>6955.2</v>
      </c>
      <c r="M739" s="1" t="str">
        <f t="shared" si="22"/>
        <v>Corporate Sales</v>
      </c>
      <c r="N739" s="1">
        <f t="shared" si="23"/>
        <v>421.2</v>
      </c>
    </row>
    <row r="740" spans="1:14" x14ac:dyDescent="0.3">
      <c r="A740" s="1" t="s">
        <v>1554</v>
      </c>
      <c r="B740" s="1">
        <v>46360</v>
      </c>
      <c r="C740" s="1" t="s">
        <v>14</v>
      </c>
      <c r="D740" s="1" t="s">
        <v>15</v>
      </c>
      <c r="E740" s="1" t="s">
        <v>16</v>
      </c>
      <c r="F740" s="1" t="s">
        <v>82</v>
      </c>
      <c r="G740" s="1" t="s">
        <v>114</v>
      </c>
      <c r="H740" s="1" t="s">
        <v>19</v>
      </c>
      <c r="I740" s="1">
        <v>2</v>
      </c>
      <c r="J740" s="1">
        <v>2182.5</v>
      </c>
      <c r="K740" s="1">
        <v>0.15</v>
      </c>
      <c r="L740" s="1">
        <v>3710.25</v>
      </c>
      <c r="M740" s="1" t="str">
        <f t="shared" si="22"/>
        <v>Retail Store</v>
      </c>
      <c r="N740" s="1">
        <f t="shared" si="23"/>
        <v>16.2</v>
      </c>
    </row>
    <row r="741" spans="1:14" x14ac:dyDescent="0.3">
      <c r="A741" s="1" t="s">
        <v>1555</v>
      </c>
      <c r="B741" s="1">
        <v>46360</v>
      </c>
      <c r="C741" s="1" t="s">
        <v>61</v>
      </c>
      <c r="D741" s="1" t="s">
        <v>35</v>
      </c>
      <c r="E741" s="1" t="s">
        <v>16</v>
      </c>
      <c r="F741" s="1" t="s">
        <v>42</v>
      </c>
      <c r="G741" s="1" t="s">
        <v>65</v>
      </c>
      <c r="H741" s="1" t="s">
        <v>63</v>
      </c>
      <c r="I741" s="1">
        <v>10</v>
      </c>
      <c r="J741" s="1">
        <v>654.75</v>
      </c>
      <c r="K741" s="1">
        <v>0.03</v>
      </c>
      <c r="L741" s="1">
        <v>6351.08</v>
      </c>
      <c r="M741" s="1" t="str">
        <f t="shared" si="22"/>
        <v>Retail Store</v>
      </c>
      <c r="N741" s="1">
        <f t="shared" si="23"/>
        <v>62.01</v>
      </c>
    </row>
    <row r="742" spans="1:14" x14ac:dyDescent="0.3">
      <c r="A742" s="1" t="s">
        <v>1551</v>
      </c>
      <c r="B742" s="1">
        <v>46361</v>
      </c>
      <c r="C742" s="1" t="s">
        <v>61</v>
      </c>
      <c r="D742" s="1" t="s">
        <v>15</v>
      </c>
      <c r="E742" s="1" t="s">
        <v>16</v>
      </c>
      <c r="F742" s="1" t="s">
        <v>36</v>
      </c>
      <c r="G742" s="1" t="s">
        <v>37</v>
      </c>
      <c r="H742" s="1" t="s">
        <v>63</v>
      </c>
      <c r="I742" s="1">
        <v>2</v>
      </c>
      <c r="J742" s="1">
        <v>795.6</v>
      </c>
      <c r="K742" s="1">
        <v>0</v>
      </c>
      <c r="L742" s="1">
        <v>1591.2</v>
      </c>
      <c r="M742" s="1" t="str">
        <f t="shared" si="22"/>
        <v>Retail Store</v>
      </c>
      <c r="N742" s="1">
        <f t="shared" si="23"/>
        <v>62.01</v>
      </c>
    </row>
    <row r="743" spans="1:14" x14ac:dyDescent="0.3">
      <c r="A743" s="1" t="s">
        <v>1541</v>
      </c>
      <c r="B743" s="1">
        <v>46362</v>
      </c>
      <c r="C743" s="1" t="s">
        <v>14</v>
      </c>
      <c r="D743" s="1" t="s">
        <v>27</v>
      </c>
      <c r="E743" s="1" t="s">
        <v>16</v>
      </c>
      <c r="F743" s="1" t="s">
        <v>82</v>
      </c>
      <c r="G743" s="1" t="s">
        <v>83</v>
      </c>
      <c r="H743" s="1" t="s">
        <v>19</v>
      </c>
      <c r="I743" s="1">
        <v>2</v>
      </c>
      <c r="J743" s="1">
        <v>3780</v>
      </c>
      <c r="K743" s="1">
        <v>0.15</v>
      </c>
      <c r="L743" s="1">
        <v>6426</v>
      </c>
      <c r="M743" s="1" t="str">
        <f t="shared" si="22"/>
        <v>Retail Store</v>
      </c>
      <c r="N743" s="1">
        <f t="shared" si="23"/>
        <v>16.2</v>
      </c>
    </row>
    <row r="744" spans="1:14" x14ac:dyDescent="0.3">
      <c r="A744" s="1" t="s">
        <v>1542</v>
      </c>
      <c r="B744" s="1">
        <v>46362</v>
      </c>
      <c r="C744" s="1" t="s">
        <v>61</v>
      </c>
      <c r="D744" s="1" t="s">
        <v>15</v>
      </c>
      <c r="E744" s="1" t="s">
        <v>16</v>
      </c>
      <c r="F744" s="1" t="s">
        <v>29</v>
      </c>
      <c r="G744" s="1" t="s">
        <v>88</v>
      </c>
      <c r="H744" s="1" t="s">
        <v>112</v>
      </c>
      <c r="I744" s="1">
        <v>3</v>
      </c>
      <c r="J744" s="1">
        <v>56.75</v>
      </c>
      <c r="K744" s="1">
        <v>0.08</v>
      </c>
      <c r="L744" s="1">
        <v>156.62</v>
      </c>
      <c r="M744" s="1" t="str">
        <f t="shared" si="22"/>
        <v>Online</v>
      </c>
      <c r="N744" s="1">
        <f t="shared" si="23"/>
        <v>62.01</v>
      </c>
    </row>
    <row r="745" spans="1:14" x14ac:dyDescent="0.3">
      <c r="A745" s="1" t="s">
        <v>1543</v>
      </c>
      <c r="B745" s="1">
        <v>46362</v>
      </c>
      <c r="C745" s="1" t="s">
        <v>61</v>
      </c>
      <c r="D745" s="1" t="s">
        <v>35</v>
      </c>
      <c r="E745" s="1" t="s">
        <v>28</v>
      </c>
      <c r="F745" s="1" t="s">
        <v>23</v>
      </c>
      <c r="G745" s="1" t="s">
        <v>142</v>
      </c>
      <c r="H745" s="1" t="s">
        <v>63</v>
      </c>
      <c r="I745" s="1">
        <v>5</v>
      </c>
      <c r="J745" s="1">
        <v>16.52</v>
      </c>
      <c r="K745" s="1">
        <v>0.08</v>
      </c>
      <c r="L745" s="1">
        <v>76.010000000000005</v>
      </c>
      <c r="M745" s="1" t="str">
        <f t="shared" si="22"/>
        <v>Retail Store</v>
      </c>
      <c r="N745" s="1">
        <f t="shared" si="23"/>
        <v>62.01</v>
      </c>
    </row>
    <row r="746" spans="1:14" x14ac:dyDescent="0.3">
      <c r="A746" s="1" t="s">
        <v>1544</v>
      </c>
      <c r="B746" s="1">
        <v>46362</v>
      </c>
      <c r="C746" s="1" t="s">
        <v>47</v>
      </c>
      <c r="D746" s="1" t="s">
        <v>27</v>
      </c>
      <c r="E746" s="1" t="s">
        <v>28</v>
      </c>
      <c r="F746" s="1" t="s">
        <v>17</v>
      </c>
      <c r="G746" s="1" t="s">
        <v>98</v>
      </c>
      <c r="H746" s="1" t="s">
        <v>49</v>
      </c>
      <c r="I746" s="1">
        <v>6</v>
      </c>
      <c r="J746" s="1">
        <v>405</v>
      </c>
      <c r="K746" s="1">
        <v>0.03</v>
      </c>
      <c r="L746" s="1">
        <v>2357.1</v>
      </c>
      <c r="M746" s="1" t="str">
        <f t="shared" si="22"/>
        <v>Retail Store</v>
      </c>
      <c r="N746" s="1">
        <f t="shared" si="23"/>
        <v>421.2</v>
      </c>
    </row>
    <row r="747" spans="1:14" x14ac:dyDescent="0.3">
      <c r="A747" s="1" t="s">
        <v>1545</v>
      </c>
      <c r="B747" s="1">
        <v>46362</v>
      </c>
      <c r="C747" s="1" t="s">
        <v>54</v>
      </c>
      <c r="D747" s="1" t="s">
        <v>27</v>
      </c>
      <c r="E747" s="1" t="s">
        <v>28</v>
      </c>
      <c r="F747" s="1" t="s">
        <v>82</v>
      </c>
      <c r="G747" s="1" t="s">
        <v>85</v>
      </c>
      <c r="H747" s="1" t="s">
        <v>71</v>
      </c>
      <c r="I747" s="1">
        <v>2</v>
      </c>
      <c r="J747" s="1">
        <v>1620</v>
      </c>
      <c r="K747" s="1">
        <v>0.08</v>
      </c>
      <c r="L747" s="1">
        <v>2980.8</v>
      </c>
      <c r="M747" s="1" t="str">
        <f t="shared" si="22"/>
        <v>Online</v>
      </c>
      <c r="N747" s="1">
        <f t="shared" si="23"/>
        <v>267.12</v>
      </c>
    </row>
    <row r="748" spans="1:14" x14ac:dyDescent="0.3">
      <c r="A748" s="1" t="s">
        <v>1546</v>
      </c>
      <c r="B748" s="1">
        <v>46362</v>
      </c>
      <c r="C748" s="1" t="s">
        <v>54</v>
      </c>
      <c r="D748" s="1" t="s">
        <v>22</v>
      </c>
      <c r="E748" s="1" t="s">
        <v>16</v>
      </c>
      <c r="F748" s="1" t="s">
        <v>29</v>
      </c>
      <c r="G748" s="1" t="s">
        <v>39</v>
      </c>
      <c r="H748" s="1" t="s">
        <v>56</v>
      </c>
      <c r="I748" s="1">
        <v>6</v>
      </c>
      <c r="J748" s="1">
        <v>72</v>
      </c>
      <c r="K748" s="1">
        <v>0.2</v>
      </c>
      <c r="L748" s="1">
        <v>345.6</v>
      </c>
      <c r="M748" s="1" t="str">
        <f t="shared" si="22"/>
        <v>Online</v>
      </c>
      <c r="N748" s="1">
        <f t="shared" si="23"/>
        <v>267.12</v>
      </c>
    </row>
    <row r="749" spans="1:14" x14ac:dyDescent="0.3">
      <c r="A749" s="1" t="s">
        <v>1547</v>
      </c>
      <c r="B749" s="1">
        <v>46362</v>
      </c>
      <c r="C749" s="1" t="s">
        <v>14</v>
      </c>
      <c r="D749" s="1" t="s">
        <v>15</v>
      </c>
      <c r="E749" s="1" t="s">
        <v>16</v>
      </c>
      <c r="F749" s="1" t="s">
        <v>82</v>
      </c>
      <c r="G749" s="1" t="s">
        <v>96</v>
      </c>
      <c r="H749" s="1" t="s">
        <v>31</v>
      </c>
      <c r="I749" s="1">
        <v>2</v>
      </c>
      <c r="J749" s="1">
        <v>2700</v>
      </c>
      <c r="K749" s="1">
        <v>0.2</v>
      </c>
      <c r="L749" s="1">
        <v>4320</v>
      </c>
      <c r="M749" s="1" t="str">
        <f t="shared" si="22"/>
        <v>Online</v>
      </c>
      <c r="N749" s="1">
        <f t="shared" si="23"/>
        <v>16.2</v>
      </c>
    </row>
    <row r="750" spans="1:14" x14ac:dyDescent="0.3">
      <c r="A750" s="1" t="s">
        <v>1548</v>
      </c>
      <c r="B750" s="1">
        <v>46362</v>
      </c>
      <c r="C750" s="1" t="s">
        <v>54</v>
      </c>
      <c r="D750" s="1" t="s">
        <v>15</v>
      </c>
      <c r="E750" s="1" t="s">
        <v>16</v>
      </c>
      <c r="F750" s="1" t="s">
        <v>42</v>
      </c>
      <c r="G750" s="1" t="s">
        <v>48</v>
      </c>
      <c r="H750" s="1" t="s">
        <v>80</v>
      </c>
      <c r="I750" s="1">
        <v>4</v>
      </c>
      <c r="J750" s="1">
        <v>17.100000000000001</v>
      </c>
      <c r="K750" s="1">
        <v>0.08</v>
      </c>
      <c r="L750" s="1">
        <v>62.93</v>
      </c>
      <c r="M750" s="1" t="str">
        <f t="shared" si="22"/>
        <v>Marketplace</v>
      </c>
      <c r="N750" s="1">
        <f t="shared" si="23"/>
        <v>267.12</v>
      </c>
    </row>
    <row r="751" spans="1:14" x14ac:dyDescent="0.3">
      <c r="A751" s="1" t="s">
        <v>1549</v>
      </c>
      <c r="B751" s="1">
        <v>46362</v>
      </c>
      <c r="C751" s="1" t="s">
        <v>21</v>
      </c>
      <c r="D751" s="1" t="s">
        <v>15</v>
      </c>
      <c r="E751" s="1" t="s">
        <v>16</v>
      </c>
      <c r="F751" s="1" t="s">
        <v>36</v>
      </c>
      <c r="G751" s="1" t="s">
        <v>37</v>
      </c>
      <c r="H751" s="1" t="s">
        <v>44</v>
      </c>
      <c r="I751" s="1">
        <v>3</v>
      </c>
      <c r="J751" s="1">
        <v>810.9</v>
      </c>
      <c r="K751" s="1">
        <v>0</v>
      </c>
      <c r="L751" s="1">
        <v>2432.6999999999998</v>
      </c>
      <c r="M751" s="1" t="str">
        <f t="shared" si="22"/>
        <v>Retail Store</v>
      </c>
      <c r="N751" s="1">
        <f t="shared" si="23"/>
        <v>405</v>
      </c>
    </row>
    <row r="752" spans="1:14" x14ac:dyDescent="0.3">
      <c r="A752" s="1" t="s">
        <v>1550</v>
      </c>
      <c r="B752" s="1">
        <v>46362</v>
      </c>
      <c r="C752" s="1" t="s">
        <v>21</v>
      </c>
      <c r="D752" s="1" t="s">
        <v>15</v>
      </c>
      <c r="E752" s="1" t="s">
        <v>28</v>
      </c>
      <c r="F752" s="1" t="s">
        <v>29</v>
      </c>
      <c r="G752" s="1" t="s">
        <v>33</v>
      </c>
      <c r="H752" s="1" t="s">
        <v>44</v>
      </c>
      <c r="I752" s="1">
        <v>6</v>
      </c>
      <c r="J752" s="1">
        <v>13.5</v>
      </c>
      <c r="K752" s="1">
        <v>0.05</v>
      </c>
      <c r="L752" s="1">
        <v>76.95</v>
      </c>
      <c r="M752" s="1" t="str">
        <f t="shared" si="22"/>
        <v>Retail Store</v>
      </c>
      <c r="N752" s="1">
        <f t="shared" si="23"/>
        <v>405</v>
      </c>
    </row>
    <row r="753" spans="1:14" x14ac:dyDescent="0.3">
      <c r="A753" s="1" t="s">
        <v>1539</v>
      </c>
      <c r="B753" s="1">
        <v>46363</v>
      </c>
      <c r="C753" s="1" t="s">
        <v>14</v>
      </c>
      <c r="D753" s="1" t="s">
        <v>27</v>
      </c>
      <c r="E753" s="1" t="s">
        <v>28</v>
      </c>
      <c r="F753" s="1" t="s">
        <v>29</v>
      </c>
      <c r="G753" s="1" t="s">
        <v>30</v>
      </c>
      <c r="H753" s="1" t="s">
        <v>31</v>
      </c>
      <c r="I753" s="1">
        <v>6</v>
      </c>
      <c r="J753" s="1">
        <v>51.48</v>
      </c>
      <c r="K753" s="1">
        <v>0.05</v>
      </c>
      <c r="L753" s="1">
        <v>293.44</v>
      </c>
      <c r="M753" s="1" t="str">
        <f t="shared" si="22"/>
        <v>Online</v>
      </c>
      <c r="N753" s="1">
        <f t="shared" si="23"/>
        <v>16.2</v>
      </c>
    </row>
    <row r="754" spans="1:14" x14ac:dyDescent="0.3">
      <c r="A754" s="1" t="s">
        <v>1540</v>
      </c>
      <c r="B754" s="1">
        <v>46363</v>
      </c>
      <c r="C754" s="1" t="s">
        <v>61</v>
      </c>
      <c r="D754" s="1" t="s">
        <v>15</v>
      </c>
      <c r="E754" s="1" t="s">
        <v>16</v>
      </c>
      <c r="F754" s="1" t="s">
        <v>17</v>
      </c>
      <c r="G754" s="1" t="s">
        <v>189</v>
      </c>
      <c r="H754" s="1" t="s">
        <v>73</v>
      </c>
      <c r="I754" s="1">
        <v>2</v>
      </c>
      <c r="J754" s="1">
        <v>288</v>
      </c>
      <c r="K754" s="1">
        <v>0.15</v>
      </c>
      <c r="L754" s="1">
        <v>489.6</v>
      </c>
      <c r="M754" s="1" t="str">
        <f t="shared" si="22"/>
        <v>Online</v>
      </c>
      <c r="N754" s="1">
        <f t="shared" si="23"/>
        <v>62.01</v>
      </c>
    </row>
    <row r="755" spans="1:14" x14ac:dyDescent="0.3">
      <c r="A755" s="1" t="s">
        <v>1535</v>
      </c>
      <c r="B755" s="1">
        <v>46364</v>
      </c>
      <c r="C755" s="1" t="s">
        <v>14</v>
      </c>
      <c r="D755" s="1" t="s">
        <v>27</v>
      </c>
      <c r="E755" s="1" t="s">
        <v>16</v>
      </c>
      <c r="F755" s="1" t="s">
        <v>17</v>
      </c>
      <c r="G755" s="1" t="s">
        <v>18</v>
      </c>
      <c r="H755" s="1" t="s">
        <v>31</v>
      </c>
      <c r="I755" s="1">
        <v>3</v>
      </c>
      <c r="J755" s="1">
        <v>78.569999999999993</v>
      </c>
      <c r="K755" s="1">
        <v>0.1</v>
      </c>
      <c r="L755" s="1">
        <v>212.14</v>
      </c>
      <c r="M755" s="1" t="str">
        <f t="shared" si="22"/>
        <v>Online</v>
      </c>
      <c r="N755" s="1">
        <f t="shared" si="23"/>
        <v>16.2</v>
      </c>
    </row>
    <row r="756" spans="1:14" x14ac:dyDescent="0.3">
      <c r="A756" s="1" t="s">
        <v>1536</v>
      </c>
      <c r="B756" s="1">
        <v>46364</v>
      </c>
      <c r="C756" s="1" t="s">
        <v>61</v>
      </c>
      <c r="D756" s="1" t="s">
        <v>22</v>
      </c>
      <c r="E756" s="1" t="s">
        <v>28</v>
      </c>
      <c r="F756" s="1" t="s">
        <v>36</v>
      </c>
      <c r="G756" s="1" t="s">
        <v>77</v>
      </c>
      <c r="H756" s="1" t="s">
        <v>63</v>
      </c>
      <c r="I756" s="1">
        <v>3</v>
      </c>
      <c r="J756" s="1">
        <v>1377</v>
      </c>
      <c r="K756" s="1">
        <v>0.1</v>
      </c>
      <c r="L756" s="1">
        <v>3717.9</v>
      </c>
      <c r="M756" s="1" t="str">
        <f t="shared" si="22"/>
        <v>Retail Store</v>
      </c>
      <c r="N756" s="1">
        <f t="shared" si="23"/>
        <v>62.01</v>
      </c>
    </row>
    <row r="757" spans="1:14" x14ac:dyDescent="0.3">
      <c r="A757" s="1" t="s">
        <v>1537</v>
      </c>
      <c r="B757" s="1">
        <v>46364</v>
      </c>
      <c r="C757" s="1" t="s">
        <v>14</v>
      </c>
      <c r="D757" s="1" t="s">
        <v>15</v>
      </c>
      <c r="E757" s="1" t="s">
        <v>28</v>
      </c>
      <c r="F757" s="1" t="s">
        <v>23</v>
      </c>
      <c r="G757" s="1" t="s">
        <v>142</v>
      </c>
      <c r="H757" s="1" t="s">
        <v>19</v>
      </c>
      <c r="I757" s="1">
        <v>3</v>
      </c>
      <c r="J757" s="1">
        <v>16.850000000000001</v>
      </c>
      <c r="K757" s="1">
        <v>0.03</v>
      </c>
      <c r="L757" s="1">
        <v>49.03</v>
      </c>
      <c r="M757" s="1" t="str">
        <f t="shared" si="22"/>
        <v>Retail Store</v>
      </c>
      <c r="N757" s="1">
        <f t="shared" si="23"/>
        <v>16.2</v>
      </c>
    </row>
    <row r="758" spans="1:14" x14ac:dyDescent="0.3">
      <c r="A758" s="1" t="s">
        <v>1538</v>
      </c>
      <c r="B758" s="1">
        <v>46364</v>
      </c>
      <c r="C758" s="1" t="s">
        <v>61</v>
      </c>
      <c r="D758" s="1" t="s">
        <v>15</v>
      </c>
      <c r="E758" s="1" t="s">
        <v>28</v>
      </c>
      <c r="F758" s="1" t="s">
        <v>17</v>
      </c>
      <c r="G758" s="1" t="s">
        <v>62</v>
      </c>
      <c r="H758" s="1" t="s">
        <v>112</v>
      </c>
      <c r="I758" s="1">
        <v>4</v>
      </c>
      <c r="J758" s="1">
        <v>54</v>
      </c>
      <c r="K758" s="1">
        <v>0.08</v>
      </c>
      <c r="L758" s="1">
        <v>198.72</v>
      </c>
      <c r="M758" s="1" t="str">
        <f t="shared" si="22"/>
        <v>Online</v>
      </c>
      <c r="N758" s="1">
        <f t="shared" si="23"/>
        <v>62.01</v>
      </c>
    </row>
    <row r="759" spans="1:14" x14ac:dyDescent="0.3">
      <c r="A759" s="1" t="s">
        <v>1524</v>
      </c>
      <c r="B759" s="1">
        <v>46365</v>
      </c>
      <c r="C759" s="1" t="s">
        <v>14</v>
      </c>
      <c r="D759" s="1" t="s">
        <v>27</v>
      </c>
      <c r="E759" s="1" t="s">
        <v>16</v>
      </c>
      <c r="F759" s="1" t="s">
        <v>23</v>
      </c>
      <c r="G759" s="1" t="s">
        <v>178</v>
      </c>
      <c r="H759" s="1" t="s">
        <v>40</v>
      </c>
      <c r="I759" s="1">
        <v>5</v>
      </c>
      <c r="J759" s="1">
        <v>32.130000000000003</v>
      </c>
      <c r="K759" s="1">
        <v>0.03</v>
      </c>
      <c r="L759" s="1">
        <v>155.83000000000001</v>
      </c>
      <c r="M759" s="1" t="str">
        <f t="shared" si="22"/>
        <v>Online</v>
      </c>
      <c r="N759" s="1">
        <f t="shared" si="23"/>
        <v>16.2</v>
      </c>
    </row>
    <row r="760" spans="1:14" x14ac:dyDescent="0.3">
      <c r="A760" s="1" t="s">
        <v>1525</v>
      </c>
      <c r="B760" s="1">
        <v>46365</v>
      </c>
      <c r="C760" s="1" t="s">
        <v>14</v>
      </c>
      <c r="D760" s="1" t="s">
        <v>27</v>
      </c>
      <c r="E760" s="1" t="s">
        <v>16</v>
      </c>
      <c r="F760" s="1" t="s">
        <v>29</v>
      </c>
      <c r="G760" s="1" t="s">
        <v>33</v>
      </c>
      <c r="H760" s="1" t="s">
        <v>31</v>
      </c>
      <c r="I760" s="1">
        <v>5</v>
      </c>
      <c r="J760" s="1">
        <v>13.5</v>
      </c>
      <c r="K760" s="1">
        <v>0.05</v>
      </c>
      <c r="L760" s="1">
        <v>64.13</v>
      </c>
      <c r="M760" s="1" t="str">
        <f t="shared" si="22"/>
        <v>Online</v>
      </c>
      <c r="N760" s="1">
        <f t="shared" si="23"/>
        <v>16.2</v>
      </c>
    </row>
    <row r="761" spans="1:14" x14ac:dyDescent="0.3">
      <c r="A761" s="1" t="s">
        <v>1526</v>
      </c>
      <c r="B761" s="1">
        <v>46365</v>
      </c>
      <c r="C761" s="1" t="s">
        <v>61</v>
      </c>
      <c r="D761" s="1" t="s">
        <v>35</v>
      </c>
      <c r="E761" s="1" t="s">
        <v>28</v>
      </c>
      <c r="F761" s="1" t="s">
        <v>29</v>
      </c>
      <c r="G761" s="1" t="s">
        <v>88</v>
      </c>
      <c r="H761" s="1" t="s">
        <v>63</v>
      </c>
      <c r="I761" s="1">
        <v>6</v>
      </c>
      <c r="J761" s="1">
        <v>59.67</v>
      </c>
      <c r="K761" s="1">
        <v>0.08</v>
      </c>
      <c r="L761" s="1">
        <v>329.38</v>
      </c>
      <c r="M761" s="1" t="str">
        <f t="shared" si="22"/>
        <v>Retail Store</v>
      </c>
      <c r="N761" s="1">
        <f t="shared" si="23"/>
        <v>62.01</v>
      </c>
    </row>
    <row r="762" spans="1:14" x14ac:dyDescent="0.3">
      <c r="A762" s="1" t="s">
        <v>1527</v>
      </c>
      <c r="B762" s="1">
        <v>46365</v>
      </c>
      <c r="C762" s="1" t="s">
        <v>14</v>
      </c>
      <c r="D762" s="1" t="s">
        <v>35</v>
      </c>
      <c r="E762" s="1" t="s">
        <v>16</v>
      </c>
      <c r="F762" s="1" t="s">
        <v>36</v>
      </c>
      <c r="G762" s="1" t="s">
        <v>119</v>
      </c>
      <c r="H762" s="1" t="s">
        <v>31</v>
      </c>
      <c r="I762" s="1">
        <v>3</v>
      </c>
      <c r="J762" s="1">
        <v>630</v>
      </c>
      <c r="K762" s="1">
        <v>0.1</v>
      </c>
      <c r="L762" s="1">
        <v>1701</v>
      </c>
      <c r="M762" s="1" t="str">
        <f t="shared" si="22"/>
        <v>Online</v>
      </c>
      <c r="N762" s="1">
        <f t="shared" si="23"/>
        <v>16.2</v>
      </c>
    </row>
    <row r="763" spans="1:14" x14ac:dyDescent="0.3">
      <c r="A763" s="1" t="s">
        <v>1528</v>
      </c>
      <c r="B763" s="1">
        <v>46365</v>
      </c>
      <c r="C763" s="1" t="s">
        <v>54</v>
      </c>
      <c r="D763" s="1" t="s">
        <v>22</v>
      </c>
      <c r="E763" s="1" t="s">
        <v>28</v>
      </c>
      <c r="F763" s="1" t="s">
        <v>29</v>
      </c>
      <c r="G763" s="1" t="s">
        <v>33</v>
      </c>
      <c r="H763" s="1" t="s">
        <v>56</v>
      </c>
      <c r="I763" s="1">
        <v>3</v>
      </c>
      <c r="J763" s="1">
        <v>13.77</v>
      </c>
      <c r="K763" s="1">
        <v>0.05</v>
      </c>
      <c r="L763" s="1">
        <v>39.24</v>
      </c>
      <c r="M763" s="1" t="str">
        <f t="shared" si="22"/>
        <v>Online</v>
      </c>
      <c r="N763" s="1">
        <f t="shared" si="23"/>
        <v>267.12</v>
      </c>
    </row>
    <row r="764" spans="1:14" x14ac:dyDescent="0.3">
      <c r="A764" s="1" t="s">
        <v>1529</v>
      </c>
      <c r="B764" s="1">
        <v>46365</v>
      </c>
      <c r="C764" s="1" t="s">
        <v>61</v>
      </c>
      <c r="D764" s="1" t="s">
        <v>22</v>
      </c>
      <c r="E764" s="1" t="s">
        <v>16</v>
      </c>
      <c r="F764" s="1" t="s">
        <v>17</v>
      </c>
      <c r="G764" s="1" t="s">
        <v>189</v>
      </c>
      <c r="H764" s="1" t="s">
        <v>112</v>
      </c>
      <c r="I764" s="1">
        <v>6</v>
      </c>
      <c r="J764" s="1">
        <v>288</v>
      </c>
      <c r="K764" s="1">
        <v>0.2</v>
      </c>
      <c r="L764" s="1">
        <v>1382.4</v>
      </c>
      <c r="M764" s="1" t="str">
        <f t="shared" si="22"/>
        <v>Online</v>
      </c>
      <c r="N764" s="1">
        <f t="shared" si="23"/>
        <v>62.01</v>
      </c>
    </row>
    <row r="765" spans="1:14" x14ac:dyDescent="0.3">
      <c r="A765" s="1" t="s">
        <v>1530</v>
      </c>
      <c r="B765" s="1">
        <v>46365</v>
      </c>
      <c r="C765" s="1" t="s">
        <v>61</v>
      </c>
      <c r="D765" s="1" t="s">
        <v>15</v>
      </c>
      <c r="E765" s="1" t="s">
        <v>16</v>
      </c>
      <c r="F765" s="1" t="s">
        <v>36</v>
      </c>
      <c r="G765" s="1" t="s">
        <v>77</v>
      </c>
      <c r="H765" s="1" t="s">
        <v>112</v>
      </c>
      <c r="I765" s="1">
        <v>3</v>
      </c>
      <c r="J765" s="1">
        <v>1377</v>
      </c>
      <c r="K765" s="1">
        <v>0.05</v>
      </c>
      <c r="L765" s="1">
        <v>3924.45</v>
      </c>
      <c r="M765" s="1" t="str">
        <f t="shared" si="22"/>
        <v>Online</v>
      </c>
      <c r="N765" s="1">
        <f t="shared" si="23"/>
        <v>62.01</v>
      </c>
    </row>
    <row r="766" spans="1:14" x14ac:dyDescent="0.3">
      <c r="A766" s="1" t="s">
        <v>1531</v>
      </c>
      <c r="B766" s="1">
        <v>46365</v>
      </c>
      <c r="C766" s="1" t="s">
        <v>54</v>
      </c>
      <c r="D766" s="1" t="s">
        <v>22</v>
      </c>
      <c r="E766" s="1" t="s">
        <v>28</v>
      </c>
      <c r="F766" s="1" t="s">
        <v>29</v>
      </c>
      <c r="G766" s="1" t="s">
        <v>39</v>
      </c>
      <c r="H766" s="1" t="s">
        <v>80</v>
      </c>
      <c r="I766" s="1">
        <v>3</v>
      </c>
      <c r="J766" s="1">
        <v>73.44</v>
      </c>
      <c r="K766" s="1">
        <v>0.08</v>
      </c>
      <c r="L766" s="1">
        <v>202.69</v>
      </c>
      <c r="M766" s="1" t="str">
        <f t="shared" si="22"/>
        <v>Marketplace</v>
      </c>
      <c r="N766" s="1">
        <f t="shared" si="23"/>
        <v>267.12</v>
      </c>
    </row>
    <row r="767" spans="1:14" x14ac:dyDescent="0.3">
      <c r="A767" s="1" t="s">
        <v>1532</v>
      </c>
      <c r="B767" s="1">
        <v>46365</v>
      </c>
      <c r="C767" s="1" t="s">
        <v>21</v>
      </c>
      <c r="D767" s="1" t="s">
        <v>15</v>
      </c>
      <c r="E767" s="1" t="s">
        <v>28</v>
      </c>
      <c r="F767" s="1" t="s">
        <v>82</v>
      </c>
      <c r="G767" s="1" t="s">
        <v>83</v>
      </c>
      <c r="H767" s="1" t="s">
        <v>86</v>
      </c>
      <c r="I767" s="1">
        <v>3</v>
      </c>
      <c r="J767" s="1">
        <v>3780</v>
      </c>
      <c r="K767" s="1">
        <v>0.05</v>
      </c>
      <c r="L767" s="1">
        <v>10773</v>
      </c>
      <c r="M767" s="1" t="str">
        <f t="shared" si="22"/>
        <v>Online</v>
      </c>
      <c r="N767" s="1">
        <f t="shared" si="23"/>
        <v>405</v>
      </c>
    </row>
    <row r="768" spans="1:14" x14ac:dyDescent="0.3">
      <c r="A768" s="1" t="s">
        <v>1533</v>
      </c>
      <c r="B768" s="1">
        <v>46365</v>
      </c>
      <c r="C768" s="1" t="s">
        <v>47</v>
      </c>
      <c r="D768" s="1" t="s">
        <v>15</v>
      </c>
      <c r="E768" s="1" t="s">
        <v>28</v>
      </c>
      <c r="F768" s="1" t="s">
        <v>36</v>
      </c>
      <c r="G768" s="1" t="s">
        <v>70</v>
      </c>
      <c r="H768" s="1" t="s">
        <v>78</v>
      </c>
      <c r="I768" s="1">
        <v>2</v>
      </c>
      <c r="J768" s="1">
        <v>495.9</v>
      </c>
      <c r="K768" s="1">
        <v>0</v>
      </c>
      <c r="L768" s="1">
        <v>991.8</v>
      </c>
      <c r="M768" s="1" t="str">
        <f t="shared" si="22"/>
        <v>Retail Store</v>
      </c>
      <c r="N768" s="1">
        <f t="shared" si="23"/>
        <v>421.2</v>
      </c>
    </row>
    <row r="769" spans="1:14" x14ac:dyDescent="0.3">
      <c r="A769" s="1" t="s">
        <v>1534</v>
      </c>
      <c r="B769" s="1">
        <v>46365</v>
      </c>
      <c r="C769" s="1" t="s">
        <v>21</v>
      </c>
      <c r="D769" s="1" t="s">
        <v>27</v>
      </c>
      <c r="E769" s="1" t="s">
        <v>28</v>
      </c>
      <c r="F769" s="1" t="s">
        <v>82</v>
      </c>
      <c r="G769" s="1" t="s">
        <v>83</v>
      </c>
      <c r="H769" s="1" t="s">
        <v>86</v>
      </c>
      <c r="I769" s="1">
        <v>2</v>
      </c>
      <c r="J769" s="1">
        <v>3666.6</v>
      </c>
      <c r="K769" s="1">
        <v>0.1</v>
      </c>
      <c r="L769" s="1">
        <v>6599.88</v>
      </c>
      <c r="M769" s="1" t="str">
        <f t="shared" si="22"/>
        <v>Online</v>
      </c>
      <c r="N769" s="1">
        <f t="shared" si="23"/>
        <v>405</v>
      </c>
    </row>
    <row r="770" spans="1:14" x14ac:dyDescent="0.3">
      <c r="A770" s="1" t="s">
        <v>1521</v>
      </c>
      <c r="B770" s="1">
        <v>46366</v>
      </c>
      <c r="C770" s="1" t="s">
        <v>21</v>
      </c>
      <c r="D770" s="1" t="s">
        <v>22</v>
      </c>
      <c r="E770" s="1" t="s">
        <v>16</v>
      </c>
      <c r="F770" s="1" t="s">
        <v>82</v>
      </c>
      <c r="G770" s="1" t="s">
        <v>150</v>
      </c>
      <c r="H770" s="1" t="s">
        <v>25</v>
      </c>
      <c r="I770" s="1">
        <v>2</v>
      </c>
      <c r="J770" s="1">
        <v>2793.6</v>
      </c>
      <c r="K770" s="1">
        <v>0.05</v>
      </c>
      <c r="L770" s="1">
        <v>5307.84</v>
      </c>
      <c r="M770" s="1" t="str">
        <f t="shared" ref="M770:M833" si="24">INDEX(D:D,MATCH(H770,H:H,0))</f>
        <v>Marketplace</v>
      </c>
      <c r="N770" s="1">
        <f t="shared" ref="N770:N833" si="25">VLOOKUP(C:C,C:J,8,FALSE)</f>
        <v>405</v>
      </c>
    </row>
    <row r="771" spans="1:14" x14ac:dyDescent="0.3">
      <c r="A771" s="1" t="s">
        <v>1522</v>
      </c>
      <c r="B771" s="1">
        <v>46366</v>
      </c>
      <c r="C771" s="1" t="s">
        <v>47</v>
      </c>
      <c r="D771" s="1" t="s">
        <v>15</v>
      </c>
      <c r="E771" s="1" t="s">
        <v>28</v>
      </c>
      <c r="F771" s="1" t="s">
        <v>42</v>
      </c>
      <c r="G771" s="1" t="s">
        <v>48</v>
      </c>
      <c r="H771" s="1" t="s">
        <v>78</v>
      </c>
      <c r="I771" s="1">
        <v>3</v>
      </c>
      <c r="J771" s="1">
        <v>19.079999999999998</v>
      </c>
      <c r="K771" s="1">
        <v>0</v>
      </c>
      <c r="L771" s="1">
        <v>57.24</v>
      </c>
      <c r="M771" s="1" t="str">
        <f t="shared" si="24"/>
        <v>Retail Store</v>
      </c>
      <c r="N771" s="1">
        <f t="shared" si="25"/>
        <v>421.2</v>
      </c>
    </row>
    <row r="772" spans="1:14" x14ac:dyDescent="0.3">
      <c r="A772" s="1" t="s">
        <v>1523</v>
      </c>
      <c r="B772" s="1">
        <v>46366</v>
      </c>
      <c r="C772" s="1" t="s">
        <v>47</v>
      </c>
      <c r="D772" s="1" t="s">
        <v>27</v>
      </c>
      <c r="E772" s="1" t="s">
        <v>16</v>
      </c>
      <c r="F772" s="1" t="s">
        <v>29</v>
      </c>
      <c r="G772" s="1" t="s">
        <v>55</v>
      </c>
      <c r="H772" s="1" t="s">
        <v>49</v>
      </c>
      <c r="I772" s="1">
        <v>6</v>
      </c>
      <c r="J772" s="1">
        <v>34.200000000000003</v>
      </c>
      <c r="K772" s="1">
        <v>0.05</v>
      </c>
      <c r="L772" s="1">
        <v>194.94</v>
      </c>
      <c r="M772" s="1" t="str">
        <f t="shared" si="24"/>
        <v>Retail Store</v>
      </c>
      <c r="N772" s="1">
        <f t="shared" si="25"/>
        <v>421.2</v>
      </c>
    </row>
    <row r="773" spans="1:14" x14ac:dyDescent="0.3">
      <c r="A773" s="1" t="s">
        <v>1513</v>
      </c>
      <c r="B773" s="1">
        <v>46367</v>
      </c>
      <c r="C773" s="1" t="s">
        <v>14</v>
      </c>
      <c r="D773" s="1" t="s">
        <v>15</v>
      </c>
      <c r="E773" s="1" t="s">
        <v>16</v>
      </c>
      <c r="F773" s="1" t="s">
        <v>42</v>
      </c>
      <c r="G773" s="1" t="s">
        <v>67</v>
      </c>
      <c r="H773" s="1" t="s">
        <v>19</v>
      </c>
      <c r="I773" s="1">
        <v>4</v>
      </c>
      <c r="J773" s="1">
        <v>244.44</v>
      </c>
      <c r="K773" s="1">
        <v>0.05</v>
      </c>
      <c r="L773" s="1">
        <v>928.87</v>
      </c>
      <c r="M773" s="1" t="str">
        <f t="shared" si="24"/>
        <v>Retail Store</v>
      </c>
      <c r="N773" s="1">
        <f t="shared" si="25"/>
        <v>16.2</v>
      </c>
    </row>
    <row r="774" spans="1:14" x14ac:dyDescent="0.3">
      <c r="A774" s="1" t="s">
        <v>1514</v>
      </c>
      <c r="B774" s="1">
        <v>46367</v>
      </c>
      <c r="C774" s="1" t="s">
        <v>54</v>
      </c>
      <c r="D774" s="1" t="s">
        <v>15</v>
      </c>
      <c r="E774" s="1" t="s">
        <v>16</v>
      </c>
      <c r="F774" s="1" t="s">
        <v>29</v>
      </c>
      <c r="G774" s="1" t="s">
        <v>30</v>
      </c>
      <c r="H774" s="1" t="s">
        <v>71</v>
      </c>
      <c r="I774" s="1">
        <v>4</v>
      </c>
      <c r="J774" s="1">
        <v>49.5</v>
      </c>
      <c r="K774" s="1">
        <v>0.1</v>
      </c>
      <c r="L774" s="1">
        <v>178.2</v>
      </c>
      <c r="M774" s="1" t="str">
        <f t="shared" si="24"/>
        <v>Online</v>
      </c>
      <c r="N774" s="1">
        <f t="shared" si="25"/>
        <v>267.12</v>
      </c>
    </row>
    <row r="775" spans="1:14" x14ac:dyDescent="0.3">
      <c r="A775" s="1" t="s">
        <v>1515</v>
      </c>
      <c r="B775" s="1">
        <v>46367</v>
      </c>
      <c r="C775" s="1" t="s">
        <v>61</v>
      </c>
      <c r="D775" s="1" t="s">
        <v>27</v>
      </c>
      <c r="E775" s="1" t="s">
        <v>16</v>
      </c>
      <c r="F775" s="1" t="s">
        <v>17</v>
      </c>
      <c r="G775" s="1" t="s">
        <v>18</v>
      </c>
      <c r="H775" s="1" t="s">
        <v>73</v>
      </c>
      <c r="I775" s="1">
        <v>3</v>
      </c>
      <c r="J775" s="1">
        <v>78.569999999999993</v>
      </c>
      <c r="K775" s="1">
        <v>0.2</v>
      </c>
      <c r="L775" s="1">
        <v>188.57</v>
      </c>
      <c r="M775" s="1" t="str">
        <f t="shared" si="24"/>
        <v>Online</v>
      </c>
      <c r="N775" s="1">
        <f t="shared" si="25"/>
        <v>62.01</v>
      </c>
    </row>
    <row r="776" spans="1:14" x14ac:dyDescent="0.3">
      <c r="A776" s="1" t="s">
        <v>1516</v>
      </c>
      <c r="B776" s="1">
        <v>46367</v>
      </c>
      <c r="C776" s="1" t="s">
        <v>61</v>
      </c>
      <c r="D776" s="1" t="s">
        <v>15</v>
      </c>
      <c r="E776" s="1" t="s">
        <v>16</v>
      </c>
      <c r="F776" s="1" t="s">
        <v>29</v>
      </c>
      <c r="G776" s="1" t="s">
        <v>51</v>
      </c>
      <c r="H776" s="1" t="s">
        <v>112</v>
      </c>
      <c r="I776" s="1">
        <v>6</v>
      </c>
      <c r="J776" s="1">
        <v>38.479999999999997</v>
      </c>
      <c r="K776" s="1">
        <v>0.1</v>
      </c>
      <c r="L776" s="1">
        <v>207.77</v>
      </c>
      <c r="M776" s="1" t="str">
        <f t="shared" si="24"/>
        <v>Online</v>
      </c>
      <c r="N776" s="1">
        <f t="shared" si="25"/>
        <v>62.01</v>
      </c>
    </row>
    <row r="777" spans="1:14" x14ac:dyDescent="0.3">
      <c r="A777" s="1" t="s">
        <v>1517</v>
      </c>
      <c r="B777" s="1">
        <v>46367</v>
      </c>
      <c r="C777" s="1" t="s">
        <v>14</v>
      </c>
      <c r="D777" s="1" t="s">
        <v>35</v>
      </c>
      <c r="E777" s="1" t="s">
        <v>28</v>
      </c>
      <c r="F777" s="1" t="s">
        <v>42</v>
      </c>
      <c r="G777" s="1" t="s">
        <v>65</v>
      </c>
      <c r="H777" s="1" t="s">
        <v>19</v>
      </c>
      <c r="I777" s="1">
        <v>6</v>
      </c>
      <c r="J777" s="1">
        <v>641.25</v>
      </c>
      <c r="K777" s="1">
        <v>0.05</v>
      </c>
      <c r="L777" s="1">
        <v>3655.13</v>
      </c>
      <c r="M777" s="1" t="str">
        <f t="shared" si="24"/>
        <v>Retail Store</v>
      </c>
      <c r="N777" s="1">
        <f t="shared" si="25"/>
        <v>16.2</v>
      </c>
    </row>
    <row r="778" spans="1:14" x14ac:dyDescent="0.3">
      <c r="A778" s="1" t="s">
        <v>1518</v>
      </c>
      <c r="B778" s="1">
        <v>46367</v>
      </c>
      <c r="C778" s="1" t="s">
        <v>54</v>
      </c>
      <c r="D778" s="1" t="s">
        <v>15</v>
      </c>
      <c r="E778" s="1" t="s">
        <v>16</v>
      </c>
      <c r="F778" s="1" t="s">
        <v>29</v>
      </c>
      <c r="G778" s="1" t="s">
        <v>55</v>
      </c>
      <c r="H778" s="1" t="s">
        <v>71</v>
      </c>
      <c r="I778" s="1">
        <v>2</v>
      </c>
      <c r="J778" s="1">
        <v>32.49</v>
      </c>
      <c r="K778" s="1">
        <v>0.1</v>
      </c>
      <c r="L778" s="1">
        <v>58.48</v>
      </c>
      <c r="M778" s="1" t="str">
        <f t="shared" si="24"/>
        <v>Online</v>
      </c>
      <c r="N778" s="1">
        <f t="shared" si="25"/>
        <v>267.12</v>
      </c>
    </row>
    <row r="779" spans="1:14" x14ac:dyDescent="0.3">
      <c r="A779" s="1" t="s">
        <v>1519</v>
      </c>
      <c r="B779" s="1">
        <v>46367</v>
      </c>
      <c r="C779" s="1" t="s">
        <v>14</v>
      </c>
      <c r="D779" s="1" t="s">
        <v>35</v>
      </c>
      <c r="E779" s="1" t="s">
        <v>28</v>
      </c>
      <c r="F779" s="1" t="s">
        <v>23</v>
      </c>
      <c r="G779" s="1" t="s">
        <v>142</v>
      </c>
      <c r="H779" s="1" t="s">
        <v>40</v>
      </c>
      <c r="I779" s="1">
        <v>16</v>
      </c>
      <c r="J779" s="1">
        <v>16.2</v>
      </c>
      <c r="K779" s="1">
        <v>0.08</v>
      </c>
      <c r="L779" s="1">
        <v>238.46</v>
      </c>
      <c r="M779" s="1" t="str">
        <f t="shared" si="24"/>
        <v>Online</v>
      </c>
      <c r="N779" s="1">
        <f t="shared" si="25"/>
        <v>16.2</v>
      </c>
    </row>
    <row r="780" spans="1:14" x14ac:dyDescent="0.3">
      <c r="A780" s="1" t="s">
        <v>1520</v>
      </c>
      <c r="B780" s="1">
        <v>46367</v>
      </c>
      <c r="C780" s="1" t="s">
        <v>61</v>
      </c>
      <c r="D780" s="1" t="s">
        <v>27</v>
      </c>
      <c r="E780" s="1" t="s">
        <v>28</v>
      </c>
      <c r="F780" s="1" t="s">
        <v>17</v>
      </c>
      <c r="G780" s="1" t="s">
        <v>98</v>
      </c>
      <c r="H780" s="1" t="s">
        <v>112</v>
      </c>
      <c r="I780" s="1">
        <v>7</v>
      </c>
      <c r="J780" s="1">
        <v>405</v>
      </c>
      <c r="K780" s="1">
        <v>0</v>
      </c>
      <c r="L780" s="1">
        <v>2835</v>
      </c>
      <c r="M780" s="1" t="str">
        <f t="shared" si="24"/>
        <v>Online</v>
      </c>
      <c r="N780" s="1">
        <f t="shared" si="25"/>
        <v>62.01</v>
      </c>
    </row>
    <row r="781" spans="1:14" x14ac:dyDescent="0.3">
      <c r="A781" s="1" t="s">
        <v>1507</v>
      </c>
      <c r="B781" s="1">
        <v>46368</v>
      </c>
      <c r="C781" s="1" t="s">
        <v>61</v>
      </c>
      <c r="D781" s="1" t="s">
        <v>15</v>
      </c>
      <c r="E781" s="1" t="s">
        <v>16</v>
      </c>
      <c r="F781" s="1" t="s">
        <v>29</v>
      </c>
      <c r="G781" s="1" t="s">
        <v>55</v>
      </c>
      <c r="H781" s="1" t="s">
        <v>73</v>
      </c>
      <c r="I781" s="1">
        <v>2</v>
      </c>
      <c r="J781" s="1">
        <v>34.200000000000003</v>
      </c>
      <c r="K781" s="1">
        <v>0.03</v>
      </c>
      <c r="L781" s="1">
        <v>66.349999999999994</v>
      </c>
      <c r="M781" s="1" t="str">
        <f t="shared" si="24"/>
        <v>Online</v>
      </c>
      <c r="N781" s="1">
        <f t="shared" si="25"/>
        <v>62.01</v>
      </c>
    </row>
    <row r="782" spans="1:14" x14ac:dyDescent="0.3">
      <c r="A782" s="1" t="s">
        <v>1508</v>
      </c>
      <c r="B782" s="1">
        <v>46368</v>
      </c>
      <c r="C782" s="1" t="s">
        <v>61</v>
      </c>
      <c r="D782" s="1" t="s">
        <v>27</v>
      </c>
      <c r="E782" s="1" t="s">
        <v>16</v>
      </c>
      <c r="F782" s="1" t="s">
        <v>36</v>
      </c>
      <c r="G782" s="1" t="s">
        <v>37</v>
      </c>
      <c r="H782" s="1" t="s">
        <v>112</v>
      </c>
      <c r="I782" s="1">
        <v>2</v>
      </c>
      <c r="J782" s="1">
        <v>765</v>
      </c>
      <c r="K782" s="1">
        <v>0.2</v>
      </c>
      <c r="L782" s="1">
        <v>1224</v>
      </c>
      <c r="M782" s="1" t="str">
        <f t="shared" si="24"/>
        <v>Online</v>
      </c>
      <c r="N782" s="1">
        <f t="shared" si="25"/>
        <v>62.01</v>
      </c>
    </row>
    <row r="783" spans="1:14" x14ac:dyDescent="0.3">
      <c r="A783" s="1" t="s">
        <v>1509</v>
      </c>
      <c r="B783" s="1">
        <v>46368</v>
      </c>
      <c r="C783" s="1" t="s">
        <v>61</v>
      </c>
      <c r="D783" s="1" t="s">
        <v>27</v>
      </c>
      <c r="E783" s="1" t="s">
        <v>16</v>
      </c>
      <c r="F783" s="1" t="s">
        <v>82</v>
      </c>
      <c r="G783" s="1" t="s">
        <v>85</v>
      </c>
      <c r="H783" s="1" t="s">
        <v>112</v>
      </c>
      <c r="I783" s="1">
        <v>2</v>
      </c>
      <c r="J783" s="1">
        <v>1684.8</v>
      </c>
      <c r="K783" s="1">
        <v>0.15</v>
      </c>
      <c r="L783" s="1">
        <v>2864.16</v>
      </c>
      <c r="M783" s="1" t="str">
        <f t="shared" si="24"/>
        <v>Online</v>
      </c>
      <c r="N783" s="1">
        <f t="shared" si="25"/>
        <v>62.01</v>
      </c>
    </row>
    <row r="784" spans="1:14" x14ac:dyDescent="0.3">
      <c r="A784" s="1" t="s">
        <v>1510</v>
      </c>
      <c r="B784" s="1">
        <v>46368</v>
      </c>
      <c r="C784" s="1" t="s">
        <v>54</v>
      </c>
      <c r="D784" s="1" t="s">
        <v>15</v>
      </c>
      <c r="E784" s="1" t="s">
        <v>16</v>
      </c>
      <c r="F784" s="1" t="s">
        <v>29</v>
      </c>
      <c r="G784" s="1" t="s">
        <v>88</v>
      </c>
      <c r="H784" s="1" t="s">
        <v>71</v>
      </c>
      <c r="I784" s="1">
        <v>5</v>
      </c>
      <c r="J784" s="1">
        <v>58.5</v>
      </c>
      <c r="K784" s="1">
        <v>0.1</v>
      </c>
      <c r="L784" s="1">
        <v>263.25</v>
      </c>
      <c r="M784" s="1" t="str">
        <f t="shared" si="24"/>
        <v>Online</v>
      </c>
      <c r="N784" s="1">
        <f t="shared" si="25"/>
        <v>267.12</v>
      </c>
    </row>
    <row r="785" spans="1:14" x14ac:dyDescent="0.3">
      <c r="A785" s="1" t="s">
        <v>1511</v>
      </c>
      <c r="B785" s="1">
        <v>46368</v>
      </c>
      <c r="C785" s="1" t="s">
        <v>61</v>
      </c>
      <c r="D785" s="1" t="s">
        <v>27</v>
      </c>
      <c r="E785" s="1" t="s">
        <v>16</v>
      </c>
      <c r="F785" s="1" t="s">
        <v>23</v>
      </c>
      <c r="G785" s="1" t="s">
        <v>116</v>
      </c>
      <c r="H785" s="1" t="s">
        <v>63</v>
      </c>
      <c r="I785" s="1">
        <v>3</v>
      </c>
      <c r="J785" s="1">
        <v>7.63</v>
      </c>
      <c r="K785" s="1">
        <v>0.2</v>
      </c>
      <c r="L785" s="1">
        <v>18.32</v>
      </c>
      <c r="M785" s="1" t="str">
        <f t="shared" si="24"/>
        <v>Retail Store</v>
      </c>
      <c r="N785" s="1">
        <f t="shared" si="25"/>
        <v>62.01</v>
      </c>
    </row>
    <row r="786" spans="1:14" x14ac:dyDescent="0.3">
      <c r="A786" s="1" t="s">
        <v>1512</v>
      </c>
      <c r="B786" s="1">
        <v>46368</v>
      </c>
      <c r="C786" s="1" t="s">
        <v>61</v>
      </c>
      <c r="D786" s="1" t="s">
        <v>15</v>
      </c>
      <c r="E786" s="1" t="s">
        <v>16</v>
      </c>
      <c r="F786" s="1" t="s">
        <v>36</v>
      </c>
      <c r="G786" s="1" t="s">
        <v>77</v>
      </c>
      <c r="H786" s="1" t="s">
        <v>112</v>
      </c>
      <c r="I786" s="1">
        <v>2</v>
      </c>
      <c r="J786" s="1">
        <v>1350</v>
      </c>
      <c r="K786" s="1">
        <v>0.05</v>
      </c>
      <c r="L786" s="1">
        <v>2565</v>
      </c>
      <c r="M786" s="1" t="str">
        <f t="shared" si="24"/>
        <v>Online</v>
      </c>
      <c r="N786" s="1">
        <f t="shared" si="25"/>
        <v>62.01</v>
      </c>
    </row>
    <row r="787" spans="1:14" x14ac:dyDescent="0.3">
      <c r="A787" s="1" t="s">
        <v>1501</v>
      </c>
      <c r="B787" s="1" t="s">
        <v>1502</v>
      </c>
      <c r="C787" s="1" t="s">
        <v>54</v>
      </c>
      <c r="D787" s="1" t="s">
        <v>15</v>
      </c>
      <c r="E787" s="1" t="s">
        <v>16</v>
      </c>
      <c r="F787" s="1" t="s">
        <v>36</v>
      </c>
      <c r="G787" s="1" t="s">
        <v>119</v>
      </c>
      <c r="H787" s="1" t="s">
        <v>56</v>
      </c>
      <c r="I787" s="1">
        <v>4</v>
      </c>
      <c r="J787" s="1">
        <v>655.20000000000005</v>
      </c>
      <c r="K787" s="1">
        <v>0.05</v>
      </c>
      <c r="L787" s="1">
        <v>2489.7600000000002</v>
      </c>
      <c r="M787" s="1" t="str">
        <f t="shared" si="24"/>
        <v>Online</v>
      </c>
      <c r="N787" s="1">
        <f t="shared" si="25"/>
        <v>267.12</v>
      </c>
    </row>
    <row r="788" spans="1:14" x14ac:dyDescent="0.3">
      <c r="A788" s="1" t="s">
        <v>1503</v>
      </c>
      <c r="B788" s="1" t="s">
        <v>1502</v>
      </c>
      <c r="C788" s="1" t="s">
        <v>54</v>
      </c>
      <c r="D788" s="1" t="s">
        <v>15</v>
      </c>
      <c r="E788" s="1" t="s">
        <v>16</v>
      </c>
      <c r="F788" s="1" t="s">
        <v>36</v>
      </c>
      <c r="G788" s="1" t="s">
        <v>37</v>
      </c>
      <c r="H788" s="1" t="s">
        <v>71</v>
      </c>
      <c r="I788" s="1">
        <v>4</v>
      </c>
      <c r="J788" s="1">
        <v>742.05</v>
      </c>
      <c r="K788" s="1">
        <v>0</v>
      </c>
      <c r="L788" s="1">
        <v>2968.2</v>
      </c>
      <c r="M788" s="1" t="str">
        <f t="shared" si="24"/>
        <v>Online</v>
      </c>
      <c r="N788" s="1">
        <f t="shared" si="25"/>
        <v>267.12</v>
      </c>
    </row>
    <row r="789" spans="1:14" x14ac:dyDescent="0.3">
      <c r="A789" s="1" t="s">
        <v>1504</v>
      </c>
      <c r="B789" s="1" t="s">
        <v>1502</v>
      </c>
      <c r="C789" s="1" t="s">
        <v>61</v>
      </c>
      <c r="D789" s="1" t="s">
        <v>27</v>
      </c>
      <c r="E789" s="1" t="s">
        <v>16</v>
      </c>
      <c r="F789" s="1" t="s">
        <v>82</v>
      </c>
      <c r="G789" s="1" t="s">
        <v>85</v>
      </c>
      <c r="H789" s="1" t="s">
        <v>73</v>
      </c>
      <c r="I789" s="1">
        <v>2</v>
      </c>
      <c r="J789" s="1">
        <v>1571.4</v>
      </c>
      <c r="K789" s="1">
        <v>0.1</v>
      </c>
      <c r="L789" s="1">
        <v>2828.52</v>
      </c>
      <c r="M789" s="1" t="str">
        <f t="shared" si="24"/>
        <v>Online</v>
      </c>
      <c r="N789" s="1">
        <f t="shared" si="25"/>
        <v>62.01</v>
      </c>
    </row>
    <row r="790" spans="1:14" x14ac:dyDescent="0.3">
      <c r="A790" s="1" t="s">
        <v>1505</v>
      </c>
      <c r="B790" s="1" t="s">
        <v>1502</v>
      </c>
      <c r="C790" s="1" t="s">
        <v>54</v>
      </c>
      <c r="D790" s="1" t="s">
        <v>15</v>
      </c>
      <c r="E790" s="1" t="s">
        <v>16</v>
      </c>
      <c r="F790" s="1" t="s">
        <v>36</v>
      </c>
      <c r="G790" s="1" t="s">
        <v>77</v>
      </c>
      <c r="H790" s="1" t="s">
        <v>71</v>
      </c>
      <c r="I790" s="1">
        <v>2</v>
      </c>
      <c r="J790" s="1">
        <v>1309.5</v>
      </c>
      <c r="K790" s="1">
        <v>0.08</v>
      </c>
      <c r="L790" s="1">
        <v>2409.48</v>
      </c>
      <c r="M790" s="1" t="str">
        <f t="shared" si="24"/>
        <v>Online</v>
      </c>
      <c r="N790" s="1">
        <f t="shared" si="25"/>
        <v>267.12</v>
      </c>
    </row>
    <row r="791" spans="1:14" x14ac:dyDescent="0.3">
      <c r="A791" s="1" t="s">
        <v>1506</v>
      </c>
      <c r="B791" s="1" t="s">
        <v>1502</v>
      </c>
      <c r="C791" s="1" t="s">
        <v>54</v>
      </c>
      <c r="D791" s="1" t="s">
        <v>27</v>
      </c>
      <c r="E791" s="1" t="s">
        <v>28</v>
      </c>
      <c r="F791" s="1" t="s">
        <v>36</v>
      </c>
      <c r="G791" s="1" t="s">
        <v>119</v>
      </c>
      <c r="H791" s="1" t="s">
        <v>56</v>
      </c>
      <c r="I791" s="1">
        <v>2</v>
      </c>
      <c r="J791" s="1">
        <v>642.6</v>
      </c>
      <c r="K791" s="1">
        <v>0.1</v>
      </c>
      <c r="L791" s="1">
        <v>1156.68</v>
      </c>
      <c r="M791" s="1" t="str">
        <f t="shared" si="24"/>
        <v>Online</v>
      </c>
      <c r="N791" s="1">
        <f t="shared" si="25"/>
        <v>267.12</v>
      </c>
    </row>
    <row r="792" spans="1:14" x14ac:dyDescent="0.3">
      <c r="A792" s="1" t="s">
        <v>1493</v>
      </c>
      <c r="B792" s="1" t="s">
        <v>1494</v>
      </c>
      <c r="C792" s="1" t="s">
        <v>47</v>
      </c>
      <c r="D792" s="1" t="s">
        <v>35</v>
      </c>
      <c r="E792" s="1" t="s">
        <v>16</v>
      </c>
      <c r="F792" s="1" t="s">
        <v>36</v>
      </c>
      <c r="G792" s="1" t="s">
        <v>37</v>
      </c>
      <c r="H792" s="1" t="s">
        <v>58</v>
      </c>
      <c r="I792" s="1">
        <v>3</v>
      </c>
      <c r="J792" s="1">
        <v>742.05</v>
      </c>
      <c r="K792" s="1">
        <v>0.05</v>
      </c>
      <c r="L792" s="1">
        <v>2114.84</v>
      </c>
      <c r="M792" s="1" t="str">
        <f t="shared" si="24"/>
        <v>Corporate Sales</v>
      </c>
      <c r="N792" s="1">
        <f t="shared" si="25"/>
        <v>421.2</v>
      </c>
    </row>
    <row r="793" spans="1:14" x14ac:dyDescent="0.3">
      <c r="A793" s="1" t="s">
        <v>1495</v>
      </c>
      <c r="B793" s="1" t="s">
        <v>1494</v>
      </c>
      <c r="C793" s="1" t="s">
        <v>61</v>
      </c>
      <c r="D793" s="1" t="s">
        <v>35</v>
      </c>
      <c r="E793" s="1" t="s">
        <v>16</v>
      </c>
      <c r="F793" s="1" t="s">
        <v>42</v>
      </c>
      <c r="G793" s="1" t="s">
        <v>43</v>
      </c>
      <c r="H793" s="1" t="s">
        <v>63</v>
      </c>
      <c r="I793" s="1">
        <v>16</v>
      </c>
      <c r="J793" s="1">
        <v>165.24</v>
      </c>
      <c r="K793" s="1">
        <v>0</v>
      </c>
      <c r="L793" s="1">
        <v>2643.84</v>
      </c>
      <c r="M793" s="1" t="str">
        <f t="shared" si="24"/>
        <v>Retail Store</v>
      </c>
      <c r="N793" s="1">
        <f t="shared" si="25"/>
        <v>62.01</v>
      </c>
    </row>
    <row r="794" spans="1:14" x14ac:dyDescent="0.3">
      <c r="A794" s="1" t="s">
        <v>1496</v>
      </c>
      <c r="B794" s="1" t="s">
        <v>1494</v>
      </c>
      <c r="C794" s="1" t="s">
        <v>21</v>
      </c>
      <c r="D794" s="1" t="s">
        <v>15</v>
      </c>
      <c r="E794" s="1" t="s">
        <v>16</v>
      </c>
      <c r="F794" s="1" t="s">
        <v>42</v>
      </c>
      <c r="G794" s="1" t="s">
        <v>65</v>
      </c>
      <c r="H794" s="1" t="s">
        <v>86</v>
      </c>
      <c r="I794" s="1">
        <v>5</v>
      </c>
      <c r="J794" s="1">
        <v>675</v>
      </c>
      <c r="K794" s="1">
        <v>0</v>
      </c>
      <c r="L794" s="1">
        <v>3375</v>
      </c>
      <c r="M794" s="1" t="str">
        <f t="shared" si="24"/>
        <v>Online</v>
      </c>
      <c r="N794" s="1">
        <f t="shared" si="25"/>
        <v>405</v>
      </c>
    </row>
    <row r="795" spans="1:14" x14ac:dyDescent="0.3">
      <c r="A795" s="1" t="s">
        <v>1497</v>
      </c>
      <c r="B795" s="1" t="s">
        <v>1494</v>
      </c>
      <c r="C795" s="1" t="s">
        <v>61</v>
      </c>
      <c r="D795" s="1" t="s">
        <v>27</v>
      </c>
      <c r="E795" s="1" t="s">
        <v>16</v>
      </c>
      <c r="F795" s="1" t="s">
        <v>82</v>
      </c>
      <c r="G795" s="1" t="s">
        <v>85</v>
      </c>
      <c r="H795" s="1" t="s">
        <v>73</v>
      </c>
      <c r="I795" s="1">
        <v>2</v>
      </c>
      <c r="J795" s="1">
        <v>1620</v>
      </c>
      <c r="K795" s="1">
        <v>0.03</v>
      </c>
      <c r="L795" s="1">
        <v>3142.8</v>
      </c>
      <c r="M795" s="1" t="str">
        <f t="shared" si="24"/>
        <v>Online</v>
      </c>
      <c r="N795" s="1">
        <f t="shared" si="25"/>
        <v>62.01</v>
      </c>
    </row>
    <row r="796" spans="1:14" x14ac:dyDescent="0.3">
      <c r="A796" s="1" t="s">
        <v>1498</v>
      </c>
      <c r="B796" s="1" t="s">
        <v>1494</v>
      </c>
      <c r="C796" s="1" t="s">
        <v>54</v>
      </c>
      <c r="D796" s="1" t="s">
        <v>15</v>
      </c>
      <c r="E796" s="1" t="s">
        <v>16</v>
      </c>
      <c r="F796" s="1" t="s">
        <v>42</v>
      </c>
      <c r="G796" s="1" t="s">
        <v>43</v>
      </c>
      <c r="H796" s="1" t="s">
        <v>71</v>
      </c>
      <c r="I796" s="1">
        <v>3</v>
      </c>
      <c r="J796" s="1">
        <v>157.13999999999999</v>
      </c>
      <c r="K796" s="1">
        <v>0.08</v>
      </c>
      <c r="L796" s="1">
        <v>433.71</v>
      </c>
      <c r="M796" s="1" t="str">
        <f t="shared" si="24"/>
        <v>Online</v>
      </c>
      <c r="N796" s="1">
        <f t="shared" si="25"/>
        <v>267.12</v>
      </c>
    </row>
    <row r="797" spans="1:14" x14ac:dyDescent="0.3">
      <c r="A797" s="1" t="s">
        <v>1499</v>
      </c>
      <c r="B797" s="1" t="s">
        <v>1494</v>
      </c>
      <c r="C797" s="1" t="s">
        <v>14</v>
      </c>
      <c r="D797" s="1" t="s">
        <v>22</v>
      </c>
      <c r="E797" s="1" t="s">
        <v>16</v>
      </c>
      <c r="F797" s="1" t="s">
        <v>29</v>
      </c>
      <c r="G797" s="1" t="s">
        <v>55</v>
      </c>
      <c r="H797" s="1" t="s">
        <v>31</v>
      </c>
      <c r="I797" s="1">
        <v>3</v>
      </c>
      <c r="J797" s="1">
        <v>34.200000000000003</v>
      </c>
      <c r="K797" s="1">
        <v>0.2</v>
      </c>
      <c r="L797" s="1">
        <v>82.08</v>
      </c>
      <c r="M797" s="1" t="str">
        <f t="shared" si="24"/>
        <v>Online</v>
      </c>
      <c r="N797" s="1">
        <f t="shared" si="25"/>
        <v>16.2</v>
      </c>
    </row>
    <row r="798" spans="1:14" x14ac:dyDescent="0.3">
      <c r="A798" s="1" t="s">
        <v>1500</v>
      </c>
      <c r="B798" s="1" t="s">
        <v>1494</v>
      </c>
      <c r="C798" s="1" t="s">
        <v>21</v>
      </c>
      <c r="D798" s="1" t="s">
        <v>22</v>
      </c>
      <c r="E798" s="1" t="s">
        <v>16</v>
      </c>
      <c r="F798" s="1" t="s">
        <v>17</v>
      </c>
      <c r="G798" s="1" t="s">
        <v>98</v>
      </c>
      <c r="H798" s="1" t="s">
        <v>86</v>
      </c>
      <c r="I798" s="1">
        <v>2</v>
      </c>
      <c r="J798" s="1">
        <v>405</v>
      </c>
      <c r="K798" s="1">
        <v>0.1</v>
      </c>
      <c r="L798" s="1">
        <v>729</v>
      </c>
      <c r="M798" s="1" t="str">
        <f t="shared" si="24"/>
        <v>Online</v>
      </c>
      <c r="N798" s="1">
        <f t="shared" si="25"/>
        <v>405</v>
      </c>
    </row>
    <row r="799" spans="1:14" x14ac:dyDescent="0.3">
      <c r="A799" s="1" t="s">
        <v>1490</v>
      </c>
      <c r="B799" s="1" t="s">
        <v>1491</v>
      </c>
      <c r="C799" s="1" t="s">
        <v>61</v>
      </c>
      <c r="D799" s="1" t="s">
        <v>27</v>
      </c>
      <c r="E799" s="1" t="s">
        <v>16</v>
      </c>
      <c r="F799" s="1" t="s">
        <v>29</v>
      </c>
      <c r="G799" s="1" t="s">
        <v>51</v>
      </c>
      <c r="H799" s="1" t="s">
        <v>63</v>
      </c>
      <c r="I799" s="1">
        <v>3</v>
      </c>
      <c r="J799" s="1">
        <v>42.93</v>
      </c>
      <c r="K799" s="1">
        <v>0.03</v>
      </c>
      <c r="L799" s="1">
        <v>124.93</v>
      </c>
      <c r="M799" s="1" t="str">
        <f t="shared" si="24"/>
        <v>Retail Store</v>
      </c>
      <c r="N799" s="1">
        <f t="shared" si="25"/>
        <v>62.01</v>
      </c>
    </row>
    <row r="800" spans="1:14" x14ac:dyDescent="0.3">
      <c r="A800" s="1" t="s">
        <v>1492</v>
      </c>
      <c r="B800" s="1" t="s">
        <v>1491</v>
      </c>
      <c r="C800" s="1" t="s">
        <v>61</v>
      </c>
      <c r="D800" s="1" t="s">
        <v>35</v>
      </c>
      <c r="E800" s="1" t="s">
        <v>28</v>
      </c>
      <c r="F800" s="1" t="s">
        <v>82</v>
      </c>
      <c r="G800" s="1" t="s">
        <v>83</v>
      </c>
      <c r="H800" s="1" t="s">
        <v>73</v>
      </c>
      <c r="I800" s="1">
        <v>2</v>
      </c>
      <c r="J800" s="1">
        <v>3591</v>
      </c>
      <c r="K800" s="1">
        <v>0.05</v>
      </c>
      <c r="L800" s="1">
        <v>6822.9</v>
      </c>
      <c r="M800" s="1" t="str">
        <f t="shared" si="24"/>
        <v>Online</v>
      </c>
      <c r="N800" s="1">
        <f t="shared" si="25"/>
        <v>62.01</v>
      </c>
    </row>
    <row r="801" spans="1:14" x14ac:dyDescent="0.3">
      <c r="A801" s="1" t="s">
        <v>1485</v>
      </c>
      <c r="B801" s="1" t="s">
        <v>1486</v>
      </c>
      <c r="C801" s="1" t="s">
        <v>14</v>
      </c>
      <c r="D801" s="1" t="s">
        <v>22</v>
      </c>
      <c r="E801" s="1" t="s">
        <v>16</v>
      </c>
      <c r="F801" s="1" t="s">
        <v>36</v>
      </c>
      <c r="G801" s="1" t="s">
        <v>37</v>
      </c>
      <c r="H801" s="1" t="s">
        <v>19</v>
      </c>
      <c r="I801" s="1">
        <v>4</v>
      </c>
      <c r="J801" s="1">
        <v>765</v>
      </c>
      <c r="K801" s="1">
        <v>0.03</v>
      </c>
      <c r="L801" s="1">
        <v>2968.2</v>
      </c>
      <c r="M801" s="1" t="str">
        <f t="shared" si="24"/>
        <v>Retail Store</v>
      </c>
      <c r="N801" s="1">
        <f t="shared" si="25"/>
        <v>16.2</v>
      </c>
    </row>
    <row r="802" spans="1:14" x14ac:dyDescent="0.3">
      <c r="A802" s="1" t="s">
        <v>1487</v>
      </c>
      <c r="B802" s="1" t="s">
        <v>1486</v>
      </c>
      <c r="C802" s="1" t="s">
        <v>47</v>
      </c>
      <c r="D802" s="1" t="s">
        <v>15</v>
      </c>
      <c r="E802" s="1" t="s">
        <v>28</v>
      </c>
      <c r="F802" s="1" t="s">
        <v>17</v>
      </c>
      <c r="G802" s="1" t="s">
        <v>98</v>
      </c>
      <c r="H802" s="1" t="s">
        <v>58</v>
      </c>
      <c r="I802" s="1">
        <v>2</v>
      </c>
      <c r="J802" s="1">
        <v>429.3</v>
      </c>
      <c r="K802" s="1">
        <v>0</v>
      </c>
      <c r="L802" s="1">
        <v>858.6</v>
      </c>
      <c r="M802" s="1" t="str">
        <f t="shared" si="24"/>
        <v>Corporate Sales</v>
      </c>
      <c r="N802" s="1">
        <f t="shared" si="25"/>
        <v>421.2</v>
      </c>
    </row>
    <row r="803" spans="1:14" x14ac:dyDescent="0.3">
      <c r="A803" s="1" t="s">
        <v>1488</v>
      </c>
      <c r="B803" s="1" t="s">
        <v>1486</v>
      </c>
      <c r="C803" s="1" t="s">
        <v>14</v>
      </c>
      <c r="D803" s="1" t="s">
        <v>35</v>
      </c>
      <c r="E803" s="1" t="s">
        <v>16</v>
      </c>
      <c r="F803" s="1" t="s">
        <v>42</v>
      </c>
      <c r="G803" s="1" t="s">
        <v>65</v>
      </c>
      <c r="H803" s="1" t="s">
        <v>19</v>
      </c>
      <c r="I803" s="1">
        <v>8</v>
      </c>
      <c r="J803" s="1">
        <v>702</v>
      </c>
      <c r="K803" s="1">
        <v>0.05</v>
      </c>
      <c r="L803" s="1">
        <v>5335.2</v>
      </c>
      <c r="M803" s="1" t="str">
        <f t="shared" si="24"/>
        <v>Retail Store</v>
      </c>
      <c r="N803" s="1">
        <f t="shared" si="25"/>
        <v>16.2</v>
      </c>
    </row>
    <row r="804" spans="1:14" x14ac:dyDescent="0.3">
      <c r="A804" s="1" t="s">
        <v>1489</v>
      </c>
      <c r="B804" s="1" t="s">
        <v>1486</v>
      </c>
      <c r="C804" s="1" t="s">
        <v>14</v>
      </c>
      <c r="D804" s="1" t="s">
        <v>22</v>
      </c>
      <c r="E804" s="1" t="s">
        <v>28</v>
      </c>
      <c r="F804" s="1" t="s">
        <v>17</v>
      </c>
      <c r="G804" s="1" t="s">
        <v>62</v>
      </c>
      <c r="H804" s="1" t="s">
        <v>19</v>
      </c>
      <c r="I804" s="1">
        <v>3</v>
      </c>
      <c r="J804" s="1">
        <v>52.38</v>
      </c>
      <c r="K804" s="1">
        <v>0.1</v>
      </c>
      <c r="L804" s="1">
        <v>141.43</v>
      </c>
      <c r="M804" s="1" t="str">
        <f t="shared" si="24"/>
        <v>Retail Store</v>
      </c>
      <c r="N804" s="1">
        <f t="shared" si="25"/>
        <v>16.2</v>
      </c>
    </row>
    <row r="805" spans="1:14" x14ac:dyDescent="0.3">
      <c r="A805" s="1" t="s">
        <v>1479</v>
      </c>
      <c r="B805" s="1" t="s">
        <v>1480</v>
      </c>
      <c r="C805" s="1" t="s">
        <v>61</v>
      </c>
      <c r="D805" s="1" t="s">
        <v>15</v>
      </c>
      <c r="E805" s="1" t="s">
        <v>16</v>
      </c>
      <c r="F805" s="1" t="s">
        <v>82</v>
      </c>
      <c r="G805" s="1" t="s">
        <v>150</v>
      </c>
      <c r="H805" s="1" t="s">
        <v>112</v>
      </c>
      <c r="I805" s="1">
        <v>2</v>
      </c>
      <c r="J805" s="1">
        <v>2880</v>
      </c>
      <c r="K805" s="1">
        <v>0.08</v>
      </c>
      <c r="L805" s="1">
        <v>5299.2</v>
      </c>
      <c r="M805" s="1" t="str">
        <f t="shared" si="24"/>
        <v>Online</v>
      </c>
      <c r="N805" s="1">
        <f t="shared" si="25"/>
        <v>62.01</v>
      </c>
    </row>
    <row r="806" spans="1:14" x14ac:dyDescent="0.3">
      <c r="A806" s="1" t="s">
        <v>1481</v>
      </c>
      <c r="B806" s="1" t="s">
        <v>1480</v>
      </c>
      <c r="C806" s="1" t="s">
        <v>21</v>
      </c>
      <c r="D806" s="1" t="s">
        <v>35</v>
      </c>
      <c r="E806" s="1" t="s">
        <v>16</v>
      </c>
      <c r="F806" s="1" t="s">
        <v>42</v>
      </c>
      <c r="G806" s="1" t="s">
        <v>65</v>
      </c>
      <c r="H806" s="1" t="s">
        <v>44</v>
      </c>
      <c r="I806" s="1">
        <v>5</v>
      </c>
      <c r="J806" s="1">
        <v>654.75</v>
      </c>
      <c r="K806" s="1">
        <v>0.08</v>
      </c>
      <c r="L806" s="1">
        <v>3011.85</v>
      </c>
      <c r="M806" s="1" t="str">
        <f t="shared" si="24"/>
        <v>Retail Store</v>
      </c>
      <c r="N806" s="1">
        <f t="shared" si="25"/>
        <v>405</v>
      </c>
    </row>
    <row r="807" spans="1:14" x14ac:dyDescent="0.3">
      <c r="A807" s="1" t="s">
        <v>1482</v>
      </c>
      <c r="B807" s="1" t="s">
        <v>1480</v>
      </c>
      <c r="C807" s="1" t="s">
        <v>21</v>
      </c>
      <c r="D807" s="1" t="s">
        <v>22</v>
      </c>
      <c r="E807" s="1" t="s">
        <v>16</v>
      </c>
      <c r="F807" s="1" t="s">
        <v>82</v>
      </c>
      <c r="G807" s="1" t="s">
        <v>96</v>
      </c>
      <c r="H807" s="1" t="s">
        <v>25</v>
      </c>
      <c r="I807" s="1">
        <v>2</v>
      </c>
      <c r="J807" s="1">
        <v>2862</v>
      </c>
      <c r="K807" s="1">
        <v>0.1</v>
      </c>
      <c r="L807" s="1">
        <v>5151.6000000000004</v>
      </c>
      <c r="M807" s="1" t="str">
        <f t="shared" si="24"/>
        <v>Marketplace</v>
      </c>
      <c r="N807" s="1">
        <f t="shared" si="25"/>
        <v>405</v>
      </c>
    </row>
    <row r="808" spans="1:14" x14ac:dyDescent="0.3">
      <c r="A808" s="1" t="s">
        <v>1483</v>
      </c>
      <c r="B808" s="1" t="s">
        <v>1480</v>
      </c>
      <c r="C808" s="1" t="s">
        <v>14</v>
      </c>
      <c r="D808" s="1" t="s">
        <v>35</v>
      </c>
      <c r="E808" s="1" t="s">
        <v>16</v>
      </c>
      <c r="F808" s="1" t="s">
        <v>82</v>
      </c>
      <c r="G808" s="1" t="s">
        <v>150</v>
      </c>
      <c r="H808" s="1" t="s">
        <v>31</v>
      </c>
      <c r="I808" s="1">
        <v>3</v>
      </c>
      <c r="J808" s="1">
        <v>2995.2</v>
      </c>
      <c r="K808" s="1">
        <v>0</v>
      </c>
      <c r="L808" s="1">
        <v>8985.6</v>
      </c>
      <c r="M808" s="1" t="str">
        <f t="shared" si="24"/>
        <v>Online</v>
      </c>
      <c r="N808" s="1">
        <f t="shared" si="25"/>
        <v>16.2</v>
      </c>
    </row>
    <row r="809" spans="1:14" x14ac:dyDescent="0.3">
      <c r="A809" s="1" t="s">
        <v>1484</v>
      </c>
      <c r="B809" s="1" t="s">
        <v>1480</v>
      </c>
      <c r="C809" s="1" t="s">
        <v>21</v>
      </c>
      <c r="D809" s="1" t="s">
        <v>35</v>
      </c>
      <c r="E809" s="1" t="s">
        <v>28</v>
      </c>
      <c r="F809" s="1" t="s">
        <v>36</v>
      </c>
      <c r="G809" s="1" t="s">
        <v>37</v>
      </c>
      <c r="H809" s="1" t="s">
        <v>86</v>
      </c>
      <c r="I809" s="1">
        <v>4</v>
      </c>
      <c r="J809" s="1">
        <v>780.3</v>
      </c>
      <c r="K809" s="1">
        <v>0.15</v>
      </c>
      <c r="L809" s="1">
        <v>2653.02</v>
      </c>
      <c r="M809" s="1" t="str">
        <f t="shared" si="24"/>
        <v>Online</v>
      </c>
      <c r="N809" s="1">
        <f t="shared" si="25"/>
        <v>405</v>
      </c>
    </row>
    <row r="810" spans="1:14" x14ac:dyDescent="0.3">
      <c r="A810" s="1" t="s">
        <v>1473</v>
      </c>
      <c r="B810" s="1" t="s">
        <v>1474</v>
      </c>
      <c r="C810" s="1" t="s">
        <v>21</v>
      </c>
      <c r="D810" s="1" t="s">
        <v>27</v>
      </c>
      <c r="E810" s="1" t="s">
        <v>28</v>
      </c>
      <c r="F810" s="1" t="s">
        <v>23</v>
      </c>
      <c r="G810" s="1" t="s">
        <v>103</v>
      </c>
      <c r="H810" s="1" t="s">
        <v>44</v>
      </c>
      <c r="I810" s="1">
        <v>4</v>
      </c>
      <c r="J810" s="1">
        <v>11.45</v>
      </c>
      <c r="K810" s="1">
        <v>0.08</v>
      </c>
      <c r="L810" s="1">
        <v>42.13</v>
      </c>
      <c r="M810" s="1" t="str">
        <f t="shared" si="24"/>
        <v>Retail Store</v>
      </c>
      <c r="N810" s="1">
        <f t="shared" si="25"/>
        <v>405</v>
      </c>
    </row>
    <row r="811" spans="1:14" x14ac:dyDescent="0.3">
      <c r="A811" s="1" t="s">
        <v>1475</v>
      </c>
      <c r="B811" s="1" t="s">
        <v>1474</v>
      </c>
      <c r="C811" s="1" t="s">
        <v>61</v>
      </c>
      <c r="D811" s="1" t="s">
        <v>15</v>
      </c>
      <c r="E811" s="1" t="s">
        <v>16</v>
      </c>
      <c r="F811" s="1" t="s">
        <v>23</v>
      </c>
      <c r="G811" s="1" t="s">
        <v>142</v>
      </c>
      <c r="H811" s="1" t="s">
        <v>73</v>
      </c>
      <c r="I811" s="1">
        <v>4</v>
      </c>
      <c r="J811" s="1">
        <v>17.170000000000002</v>
      </c>
      <c r="K811" s="1">
        <v>0.1</v>
      </c>
      <c r="L811" s="1">
        <v>61.82</v>
      </c>
      <c r="M811" s="1" t="str">
        <f t="shared" si="24"/>
        <v>Online</v>
      </c>
      <c r="N811" s="1">
        <f t="shared" si="25"/>
        <v>62.01</v>
      </c>
    </row>
    <row r="812" spans="1:14" x14ac:dyDescent="0.3">
      <c r="A812" s="1" t="s">
        <v>1476</v>
      </c>
      <c r="B812" s="1" t="s">
        <v>1474</v>
      </c>
      <c r="C812" s="1" t="s">
        <v>54</v>
      </c>
      <c r="D812" s="1" t="s">
        <v>35</v>
      </c>
      <c r="E812" s="1" t="s">
        <v>28</v>
      </c>
      <c r="F812" s="1" t="s">
        <v>82</v>
      </c>
      <c r="G812" s="1" t="s">
        <v>85</v>
      </c>
      <c r="H812" s="1" t="s">
        <v>56</v>
      </c>
      <c r="I812" s="1">
        <v>2</v>
      </c>
      <c r="J812" s="1">
        <v>1620</v>
      </c>
      <c r="K812" s="1">
        <v>0.05</v>
      </c>
      <c r="L812" s="1">
        <v>3078</v>
      </c>
      <c r="M812" s="1" t="str">
        <f t="shared" si="24"/>
        <v>Online</v>
      </c>
      <c r="N812" s="1">
        <f t="shared" si="25"/>
        <v>267.12</v>
      </c>
    </row>
    <row r="813" spans="1:14" x14ac:dyDescent="0.3">
      <c r="A813" s="1" t="s">
        <v>1477</v>
      </c>
      <c r="B813" s="1" t="s">
        <v>1474</v>
      </c>
      <c r="C813" s="1" t="s">
        <v>61</v>
      </c>
      <c r="D813" s="1" t="s">
        <v>27</v>
      </c>
      <c r="E813" s="1" t="s">
        <v>16</v>
      </c>
      <c r="F813" s="1" t="s">
        <v>29</v>
      </c>
      <c r="G813" s="1" t="s">
        <v>55</v>
      </c>
      <c r="H813" s="1" t="s">
        <v>73</v>
      </c>
      <c r="I813" s="1">
        <v>3</v>
      </c>
      <c r="J813" s="1">
        <v>34.200000000000003</v>
      </c>
      <c r="K813" s="1">
        <v>0.1</v>
      </c>
      <c r="L813" s="1">
        <v>92.34</v>
      </c>
      <c r="M813" s="1" t="str">
        <f t="shared" si="24"/>
        <v>Online</v>
      </c>
      <c r="N813" s="1">
        <f t="shared" si="25"/>
        <v>62.01</v>
      </c>
    </row>
    <row r="814" spans="1:14" x14ac:dyDescent="0.3">
      <c r="A814" s="1" t="s">
        <v>1478</v>
      </c>
      <c r="B814" s="1" t="s">
        <v>1474</v>
      </c>
      <c r="C814" s="1" t="s">
        <v>61</v>
      </c>
      <c r="D814" s="1" t="s">
        <v>15</v>
      </c>
      <c r="E814" s="1" t="s">
        <v>16</v>
      </c>
      <c r="F814" s="1" t="s">
        <v>23</v>
      </c>
      <c r="G814" s="1" t="s">
        <v>103</v>
      </c>
      <c r="H814" s="1" t="s">
        <v>73</v>
      </c>
      <c r="I814" s="1">
        <v>5</v>
      </c>
      <c r="J814" s="1">
        <v>11.23</v>
      </c>
      <c r="K814" s="1">
        <v>0.05</v>
      </c>
      <c r="L814" s="1">
        <v>53.35</v>
      </c>
      <c r="M814" s="1" t="str">
        <f t="shared" si="24"/>
        <v>Online</v>
      </c>
      <c r="N814" s="1">
        <f t="shared" si="25"/>
        <v>62.01</v>
      </c>
    </row>
    <row r="815" spans="1:14" x14ac:dyDescent="0.3">
      <c r="A815" s="1" t="s">
        <v>1469</v>
      </c>
      <c r="B815" s="1" t="s">
        <v>1470</v>
      </c>
      <c r="C815" s="1" t="s">
        <v>61</v>
      </c>
      <c r="D815" s="1" t="s">
        <v>27</v>
      </c>
      <c r="E815" s="1" t="s">
        <v>16</v>
      </c>
      <c r="F815" s="1" t="s">
        <v>36</v>
      </c>
      <c r="G815" s="1" t="s">
        <v>37</v>
      </c>
      <c r="H815" s="1" t="s">
        <v>73</v>
      </c>
      <c r="I815" s="1">
        <v>2</v>
      </c>
      <c r="J815" s="1">
        <v>726.75</v>
      </c>
      <c r="K815" s="1">
        <v>0</v>
      </c>
      <c r="L815" s="1">
        <v>1453.5</v>
      </c>
      <c r="M815" s="1" t="str">
        <f t="shared" si="24"/>
        <v>Online</v>
      </c>
      <c r="N815" s="1">
        <f t="shared" si="25"/>
        <v>62.01</v>
      </c>
    </row>
    <row r="816" spans="1:14" x14ac:dyDescent="0.3">
      <c r="A816" s="1" t="s">
        <v>1471</v>
      </c>
      <c r="B816" s="1" t="s">
        <v>1470</v>
      </c>
      <c r="C816" s="1" t="s">
        <v>54</v>
      </c>
      <c r="D816" s="1" t="s">
        <v>15</v>
      </c>
      <c r="E816" s="1" t="s">
        <v>16</v>
      </c>
      <c r="F816" s="1" t="s">
        <v>23</v>
      </c>
      <c r="G816" s="1" t="s">
        <v>116</v>
      </c>
      <c r="H816" s="1" t="s">
        <v>80</v>
      </c>
      <c r="I816" s="1">
        <v>5</v>
      </c>
      <c r="J816" s="1">
        <v>7.34</v>
      </c>
      <c r="K816" s="1">
        <v>0</v>
      </c>
      <c r="L816" s="1">
        <v>36.72</v>
      </c>
      <c r="M816" s="1" t="str">
        <f t="shared" si="24"/>
        <v>Marketplace</v>
      </c>
      <c r="N816" s="1">
        <f t="shared" si="25"/>
        <v>267.12</v>
      </c>
    </row>
    <row r="817" spans="1:14" x14ac:dyDescent="0.3">
      <c r="A817" s="1" t="s">
        <v>1472</v>
      </c>
      <c r="B817" s="1" t="s">
        <v>1470</v>
      </c>
      <c r="C817" s="1" t="s">
        <v>14</v>
      </c>
      <c r="D817" s="1" t="s">
        <v>22</v>
      </c>
      <c r="E817" s="1" t="s">
        <v>16</v>
      </c>
      <c r="F817" s="1" t="s">
        <v>29</v>
      </c>
      <c r="G817" s="1" t="s">
        <v>33</v>
      </c>
      <c r="H817" s="1" t="s">
        <v>31</v>
      </c>
      <c r="I817" s="1">
        <v>2</v>
      </c>
      <c r="J817" s="1">
        <v>13.1</v>
      </c>
      <c r="K817" s="1">
        <v>0.03</v>
      </c>
      <c r="L817" s="1">
        <v>25.4</v>
      </c>
      <c r="M817" s="1" t="str">
        <f t="shared" si="24"/>
        <v>Online</v>
      </c>
      <c r="N817" s="1">
        <f t="shared" si="25"/>
        <v>16.2</v>
      </c>
    </row>
    <row r="818" spans="1:14" x14ac:dyDescent="0.3">
      <c r="A818" s="1" t="s">
        <v>1464</v>
      </c>
      <c r="B818" s="1" t="s">
        <v>1465</v>
      </c>
      <c r="C818" s="1" t="s">
        <v>61</v>
      </c>
      <c r="D818" s="1" t="s">
        <v>15</v>
      </c>
      <c r="E818" s="1" t="s">
        <v>16</v>
      </c>
      <c r="F818" s="1" t="s">
        <v>17</v>
      </c>
      <c r="G818" s="1" t="s">
        <v>18</v>
      </c>
      <c r="H818" s="1" t="s">
        <v>112</v>
      </c>
      <c r="I818" s="1">
        <v>4</v>
      </c>
      <c r="J818" s="1">
        <v>81</v>
      </c>
      <c r="K818" s="1">
        <v>0</v>
      </c>
      <c r="L818" s="1">
        <v>324</v>
      </c>
      <c r="M818" s="1" t="str">
        <f t="shared" si="24"/>
        <v>Online</v>
      </c>
      <c r="N818" s="1">
        <f t="shared" si="25"/>
        <v>62.01</v>
      </c>
    </row>
    <row r="819" spans="1:14" x14ac:dyDescent="0.3">
      <c r="A819" s="1" t="s">
        <v>1466</v>
      </c>
      <c r="B819" s="1" t="s">
        <v>1465</v>
      </c>
      <c r="C819" s="1" t="s">
        <v>21</v>
      </c>
      <c r="D819" s="1" t="s">
        <v>27</v>
      </c>
      <c r="E819" s="1" t="s">
        <v>28</v>
      </c>
      <c r="F819" s="1" t="s">
        <v>36</v>
      </c>
      <c r="G819" s="1" t="s">
        <v>119</v>
      </c>
      <c r="H819" s="1" t="s">
        <v>86</v>
      </c>
      <c r="I819" s="1">
        <v>3</v>
      </c>
      <c r="J819" s="1">
        <v>598.5</v>
      </c>
      <c r="K819" s="1">
        <v>0.2</v>
      </c>
      <c r="L819" s="1">
        <v>1436.4</v>
      </c>
      <c r="M819" s="1" t="str">
        <f t="shared" si="24"/>
        <v>Online</v>
      </c>
      <c r="N819" s="1">
        <f t="shared" si="25"/>
        <v>405</v>
      </c>
    </row>
    <row r="820" spans="1:14" x14ac:dyDescent="0.3">
      <c r="A820" s="1" t="s">
        <v>1467</v>
      </c>
      <c r="B820" s="1" t="s">
        <v>1465</v>
      </c>
      <c r="C820" s="1" t="s">
        <v>21</v>
      </c>
      <c r="D820" s="1" t="s">
        <v>15</v>
      </c>
      <c r="E820" s="1" t="s">
        <v>28</v>
      </c>
      <c r="F820" s="1" t="s">
        <v>23</v>
      </c>
      <c r="G820" s="1" t="s">
        <v>103</v>
      </c>
      <c r="H820" s="1" t="s">
        <v>25</v>
      </c>
      <c r="I820" s="1">
        <v>3</v>
      </c>
      <c r="J820" s="1">
        <v>11.45</v>
      </c>
      <c r="K820" s="1">
        <v>0</v>
      </c>
      <c r="L820" s="1">
        <v>34.340000000000003</v>
      </c>
      <c r="M820" s="1" t="str">
        <f t="shared" si="24"/>
        <v>Marketplace</v>
      </c>
      <c r="N820" s="1">
        <f t="shared" si="25"/>
        <v>405</v>
      </c>
    </row>
    <row r="821" spans="1:14" x14ac:dyDescent="0.3">
      <c r="A821" s="1" t="s">
        <v>1468</v>
      </c>
      <c r="B821" s="1" t="s">
        <v>1465</v>
      </c>
      <c r="C821" s="1" t="s">
        <v>61</v>
      </c>
      <c r="D821" s="1" t="s">
        <v>27</v>
      </c>
      <c r="E821" s="1" t="s">
        <v>28</v>
      </c>
      <c r="F821" s="1" t="s">
        <v>29</v>
      </c>
      <c r="G821" s="1" t="s">
        <v>51</v>
      </c>
      <c r="H821" s="1" t="s">
        <v>73</v>
      </c>
      <c r="I821" s="1">
        <v>3</v>
      </c>
      <c r="J821" s="1">
        <v>42.93</v>
      </c>
      <c r="K821" s="1">
        <v>0.15</v>
      </c>
      <c r="L821" s="1">
        <v>109.47</v>
      </c>
      <c r="M821" s="1" t="str">
        <f t="shared" si="24"/>
        <v>Online</v>
      </c>
      <c r="N821" s="1">
        <f t="shared" si="25"/>
        <v>62.01</v>
      </c>
    </row>
    <row r="822" spans="1:14" x14ac:dyDescent="0.3">
      <c r="A822" s="1" t="s">
        <v>1454</v>
      </c>
      <c r="B822" s="1" t="s">
        <v>1455</v>
      </c>
      <c r="C822" s="1" t="s">
        <v>54</v>
      </c>
      <c r="D822" s="1" t="s">
        <v>35</v>
      </c>
      <c r="E822" s="1" t="s">
        <v>16</v>
      </c>
      <c r="F822" s="1" t="s">
        <v>36</v>
      </c>
      <c r="G822" s="1" t="s">
        <v>37</v>
      </c>
      <c r="H822" s="1" t="s">
        <v>80</v>
      </c>
      <c r="I822" s="1">
        <v>2</v>
      </c>
      <c r="J822" s="1">
        <v>742.05</v>
      </c>
      <c r="K822" s="1">
        <v>0.03</v>
      </c>
      <c r="L822" s="1">
        <v>1439.58</v>
      </c>
      <c r="M822" s="1" t="str">
        <f t="shared" si="24"/>
        <v>Marketplace</v>
      </c>
      <c r="N822" s="1">
        <f t="shared" si="25"/>
        <v>267.12</v>
      </c>
    </row>
    <row r="823" spans="1:14" x14ac:dyDescent="0.3">
      <c r="A823" s="1" t="s">
        <v>1456</v>
      </c>
      <c r="B823" s="1" t="s">
        <v>1455</v>
      </c>
      <c r="C823" s="1" t="s">
        <v>61</v>
      </c>
      <c r="D823" s="1" t="s">
        <v>15</v>
      </c>
      <c r="E823" s="1" t="s">
        <v>16</v>
      </c>
      <c r="F823" s="1" t="s">
        <v>17</v>
      </c>
      <c r="G823" s="1" t="s">
        <v>62</v>
      </c>
      <c r="H823" s="1" t="s">
        <v>63</v>
      </c>
      <c r="I823" s="1">
        <v>2</v>
      </c>
      <c r="J823" s="1">
        <v>52.38</v>
      </c>
      <c r="K823" s="1">
        <v>0.15</v>
      </c>
      <c r="L823" s="1">
        <v>89.05</v>
      </c>
      <c r="M823" s="1" t="str">
        <f t="shared" si="24"/>
        <v>Retail Store</v>
      </c>
      <c r="N823" s="1">
        <f t="shared" si="25"/>
        <v>62.01</v>
      </c>
    </row>
    <row r="824" spans="1:14" x14ac:dyDescent="0.3">
      <c r="A824" s="1" t="s">
        <v>1457</v>
      </c>
      <c r="B824" s="1" t="s">
        <v>1455</v>
      </c>
      <c r="C824" s="1" t="s">
        <v>14</v>
      </c>
      <c r="D824" s="1" t="s">
        <v>22</v>
      </c>
      <c r="E824" s="1" t="s">
        <v>28</v>
      </c>
      <c r="F824" s="1" t="s">
        <v>29</v>
      </c>
      <c r="G824" s="1" t="s">
        <v>55</v>
      </c>
      <c r="H824" s="1" t="s">
        <v>40</v>
      </c>
      <c r="I824" s="1">
        <v>3</v>
      </c>
      <c r="J824" s="1">
        <v>34.200000000000003</v>
      </c>
      <c r="K824" s="1">
        <v>0.05</v>
      </c>
      <c r="L824" s="1">
        <v>97.47</v>
      </c>
      <c r="M824" s="1" t="str">
        <f t="shared" si="24"/>
        <v>Online</v>
      </c>
      <c r="N824" s="1">
        <f t="shared" si="25"/>
        <v>16.2</v>
      </c>
    </row>
    <row r="825" spans="1:14" x14ac:dyDescent="0.3">
      <c r="A825" s="1" t="s">
        <v>1458</v>
      </c>
      <c r="B825" s="1" t="s">
        <v>1455</v>
      </c>
      <c r="C825" s="1" t="s">
        <v>54</v>
      </c>
      <c r="D825" s="1" t="s">
        <v>22</v>
      </c>
      <c r="E825" s="1" t="s">
        <v>28</v>
      </c>
      <c r="F825" s="1" t="s">
        <v>23</v>
      </c>
      <c r="G825" s="1" t="s">
        <v>103</v>
      </c>
      <c r="H825" s="1" t="s">
        <v>71</v>
      </c>
      <c r="I825" s="1">
        <v>7</v>
      </c>
      <c r="J825" s="1">
        <v>10.26</v>
      </c>
      <c r="K825" s="1">
        <v>0.08</v>
      </c>
      <c r="L825" s="1">
        <v>66.069999999999993</v>
      </c>
      <c r="M825" s="1" t="str">
        <f t="shared" si="24"/>
        <v>Online</v>
      </c>
      <c r="N825" s="1">
        <f t="shared" si="25"/>
        <v>267.12</v>
      </c>
    </row>
    <row r="826" spans="1:14" x14ac:dyDescent="0.3">
      <c r="A826" s="1" t="s">
        <v>1459</v>
      </c>
      <c r="B826" s="1" t="s">
        <v>1455</v>
      </c>
      <c r="C826" s="1" t="s">
        <v>47</v>
      </c>
      <c r="D826" s="1" t="s">
        <v>15</v>
      </c>
      <c r="E826" s="1" t="s">
        <v>16</v>
      </c>
      <c r="F826" s="1" t="s">
        <v>23</v>
      </c>
      <c r="G826" s="1" t="s">
        <v>103</v>
      </c>
      <c r="H826" s="1" t="s">
        <v>58</v>
      </c>
      <c r="I826" s="1">
        <v>3</v>
      </c>
      <c r="J826" s="1">
        <v>10.8</v>
      </c>
      <c r="K826" s="1">
        <v>0</v>
      </c>
      <c r="L826" s="1">
        <v>32.4</v>
      </c>
      <c r="M826" s="1" t="str">
        <f t="shared" si="24"/>
        <v>Corporate Sales</v>
      </c>
      <c r="N826" s="1">
        <f t="shared" si="25"/>
        <v>421.2</v>
      </c>
    </row>
    <row r="827" spans="1:14" x14ac:dyDescent="0.3">
      <c r="A827" s="1" t="s">
        <v>1460</v>
      </c>
      <c r="B827" s="1" t="s">
        <v>1455</v>
      </c>
      <c r="C827" s="1" t="s">
        <v>61</v>
      </c>
      <c r="D827" s="1" t="s">
        <v>15</v>
      </c>
      <c r="E827" s="1" t="s">
        <v>16</v>
      </c>
      <c r="F827" s="1" t="s">
        <v>82</v>
      </c>
      <c r="G827" s="1" t="s">
        <v>150</v>
      </c>
      <c r="H827" s="1" t="s">
        <v>112</v>
      </c>
      <c r="I827" s="1">
        <v>2</v>
      </c>
      <c r="J827" s="1">
        <v>2880</v>
      </c>
      <c r="K827" s="1">
        <v>0.05</v>
      </c>
      <c r="L827" s="1">
        <v>5472</v>
      </c>
      <c r="M827" s="1" t="str">
        <f t="shared" si="24"/>
        <v>Online</v>
      </c>
      <c r="N827" s="1">
        <f t="shared" si="25"/>
        <v>62.01</v>
      </c>
    </row>
    <row r="828" spans="1:14" x14ac:dyDescent="0.3">
      <c r="A828" s="1" t="s">
        <v>1461</v>
      </c>
      <c r="B828" s="1" t="s">
        <v>1455</v>
      </c>
      <c r="C828" s="1" t="s">
        <v>21</v>
      </c>
      <c r="D828" s="1" t="s">
        <v>35</v>
      </c>
      <c r="E828" s="1" t="s">
        <v>16</v>
      </c>
      <c r="F828" s="1" t="s">
        <v>23</v>
      </c>
      <c r="G828" s="1" t="s">
        <v>178</v>
      </c>
      <c r="H828" s="1" t="s">
        <v>25</v>
      </c>
      <c r="I828" s="1">
        <v>7</v>
      </c>
      <c r="J828" s="1">
        <v>31.5</v>
      </c>
      <c r="K828" s="1">
        <v>0.05</v>
      </c>
      <c r="L828" s="1">
        <v>209.48</v>
      </c>
      <c r="M828" s="1" t="str">
        <f t="shared" si="24"/>
        <v>Marketplace</v>
      </c>
      <c r="N828" s="1">
        <f t="shared" si="25"/>
        <v>405</v>
      </c>
    </row>
    <row r="829" spans="1:14" x14ac:dyDescent="0.3">
      <c r="A829" s="1" t="s">
        <v>1462</v>
      </c>
      <c r="B829" s="1" t="s">
        <v>1455</v>
      </c>
      <c r="C829" s="1" t="s">
        <v>47</v>
      </c>
      <c r="D829" s="1" t="s">
        <v>15</v>
      </c>
      <c r="E829" s="1" t="s">
        <v>16</v>
      </c>
      <c r="F829" s="1" t="s">
        <v>23</v>
      </c>
      <c r="G829" s="1" t="s">
        <v>103</v>
      </c>
      <c r="H829" s="1" t="s">
        <v>49</v>
      </c>
      <c r="I829" s="1">
        <v>7</v>
      </c>
      <c r="J829" s="1">
        <v>10.8</v>
      </c>
      <c r="K829" s="1">
        <v>0</v>
      </c>
      <c r="L829" s="1">
        <v>75.599999999999994</v>
      </c>
      <c r="M829" s="1" t="str">
        <f t="shared" si="24"/>
        <v>Retail Store</v>
      </c>
      <c r="N829" s="1">
        <f t="shared" si="25"/>
        <v>421.2</v>
      </c>
    </row>
    <row r="830" spans="1:14" x14ac:dyDescent="0.3">
      <c r="A830" s="1" t="s">
        <v>1463</v>
      </c>
      <c r="B830" s="1" t="s">
        <v>1455</v>
      </c>
      <c r="C830" s="1" t="s">
        <v>54</v>
      </c>
      <c r="D830" s="1" t="s">
        <v>35</v>
      </c>
      <c r="E830" s="1" t="s">
        <v>16</v>
      </c>
      <c r="F830" s="1" t="s">
        <v>23</v>
      </c>
      <c r="G830" s="1" t="s">
        <v>178</v>
      </c>
      <c r="H830" s="1" t="s">
        <v>80</v>
      </c>
      <c r="I830" s="1">
        <v>10</v>
      </c>
      <c r="J830" s="1">
        <v>31.5</v>
      </c>
      <c r="K830" s="1">
        <v>0.2</v>
      </c>
      <c r="L830" s="1">
        <v>252</v>
      </c>
      <c r="M830" s="1" t="str">
        <f t="shared" si="24"/>
        <v>Marketplace</v>
      </c>
      <c r="N830" s="1">
        <f t="shared" si="25"/>
        <v>267.12</v>
      </c>
    </row>
    <row r="831" spans="1:14" x14ac:dyDescent="0.3">
      <c r="A831" s="1" t="s">
        <v>1450</v>
      </c>
      <c r="B831" s="1" t="s">
        <v>1451</v>
      </c>
      <c r="C831" s="1" t="s">
        <v>21</v>
      </c>
      <c r="D831" s="1" t="s">
        <v>15</v>
      </c>
      <c r="E831" s="1" t="s">
        <v>16</v>
      </c>
      <c r="F831" s="1" t="s">
        <v>42</v>
      </c>
      <c r="G831" s="1" t="s">
        <v>65</v>
      </c>
      <c r="H831" s="1" t="s">
        <v>44</v>
      </c>
      <c r="I831" s="1">
        <v>5</v>
      </c>
      <c r="J831" s="1">
        <v>641.25</v>
      </c>
      <c r="K831" s="1">
        <v>0.03</v>
      </c>
      <c r="L831" s="1">
        <v>3110.06</v>
      </c>
      <c r="M831" s="1" t="str">
        <f t="shared" si="24"/>
        <v>Retail Store</v>
      </c>
      <c r="N831" s="1">
        <f t="shared" si="25"/>
        <v>405</v>
      </c>
    </row>
    <row r="832" spans="1:14" x14ac:dyDescent="0.3">
      <c r="A832" s="1" t="s">
        <v>1452</v>
      </c>
      <c r="B832" s="1" t="s">
        <v>1451</v>
      </c>
      <c r="C832" s="1" t="s">
        <v>61</v>
      </c>
      <c r="D832" s="1" t="s">
        <v>35</v>
      </c>
      <c r="E832" s="1" t="s">
        <v>16</v>
      </c>
      <c r="F832" s="1" t="s">
        <v>82</v>
      </c>
      <c r="G832" s="1" t="s">
        <v>114</v>
      </c>
      <c r="H832" s="1" t="s">
        <v>73</v>
      </c>
      <c r="I832" s="1">
        <v>3</v>
      </c>
      <c r="J832" s="1">
        <v>2340</v>
      </c>
      <c r="K832" s="1">
        <v>0.05</v>
      </c>
      <c r="L832" s="1">
        <v>6669</v>
      </c>
      <c r="M832" s="1" t="str">
        <f t="shared" si="24"/>
        <v>Online</v>
      </c>
      <c r="N832" s="1">
        <f t="shared" si="25"/>
        <v>62.01</v>
      </c>
    </row>
    <row r="833" spans="1:14" x14ac:dyDescent="0.3">
      <c r="A833" s="1" t="s">
        <v>1453</v>
      </c>
      <c r="B833" s="1" t="s">
        <v>1451</v>
      </c>
      <c r="C833" s="1" t="s">
        <v>61</v>
      </c>
      <c r="D833" s="1" t="s">
        <v>15</v>
      </c>
      <c r="E833" s="1" t="s">
        <v>16</v>
      </c>
      <c r="F833" s="1" t="s">
        <v>29</v>
      </c>
      <c r="G833" s="1" t="s">
        <v>30</v>
      </c>
      <c r="H833" s="1" t="s">
        <v>112</v>
      </c>
      <c r="I833" s="1">
        <v>5</v>
      </c>
      <c r="J833" s="1">
        <v>50.49</v>
      </c>
      <c r="K833" s="1">
        <v>0.15</v>
      </c>
      <c r="L833" s="1">
        <v>214.58</v>
      </c>
      <c r="M833" s="1" t="str">
        <f t="shared" si="24"/>
        <v>Online</v>
      </c>
      <c r="N833" s="1">
        <f t="shared" si="25"/>
        <v>62.01</v>
      </c>
    </row>
    <row r="834" spans="1:14" x14ac:dyDescent="0.3">
      <c r="A834" s="1" t="s">
        <v>1443</v>
      </c>
      <c r="B834" s="1" t="s">
        <v>1444</v>
      </c>
      <c r="C834" s="1" t="s">
        <v>47</v>
      </c>
      <c r="D834" s="1" t="s">
        <v>15</v>
      </c>
      <c r="E834" s="1" t="s">
        <v>16</v>
      </c>
      <c r="F834" s="1" t="s">
        <v>42</v>
      </c>
      <c r="G834" s="1" t="s">
        <v>67</v>
      </c>
      <c r="H834" s="1" t="s">
        <v>58</v>
      </c>
      <c r="I834" s="1">
        <v>4</v>
      </c>
      <c r="J834" s="1">
        <v>267.12</v>
      </c>
      <c r="K834" s="1">
        <v>0.1</v>
      </c>
      <c r="L834" s="1">
        <v>961.63</v>
      </c>
      <c r="M834" s="1" t="str">
        <f t="shared" ref="M834:M897" si="26">INDEX(D:D,MATCH(H834,H:H,0))</f>
        <v>Corporate Sales</v>
      </c>
      <c r="N834" s="1">
        <f t="shared" ref="N834:N897" si="27">VLOOKUP(C:C,C:J,8,FALSE)</f>
        <v>421.2</v>
      </c>
    </row>
    <row r="835" spans="1:14" x14ac:dyDescent="0.3">
      <c r="A835" s="1" t="s">
        <v>1445</v>
      </c>
      <c r="B835" s="1" t="s">
        <v>1444</v>
      </c>
      <c r="C835" s="1" t="s">
        <v>14</v>
      </c>
      <c r="D835" s="1" t="s">
        <v>15</v>
      </c>
      <c r="E835" s="1" t="s">
        <v>28</v>
      </c>
      <c r="F835" s="1" t="s">
        <v>42</v>
      </c>
      <c r="G835" s="1" t="s">
        <v>43</v>
      </c>
      <c r="H835" s="1" t="s">
        <v>19</v>
      </c>
      <c r="I835" s="1">
        <v>2</v>
      </c>
      <c r="J835" s="1">
        <v>162</v>
      </c>
      <c r="K835" s="1">
        <v>0.03</v>
      </c>
      <c r="L835" s="1">
        <v>314.27999999999997</v>
      </c>
      <c r="M835" s="1" t="str">
        <f t="shared" si="26"/>
        <v>Retail Store</v>
      </c>
      <c r="N835" s="1">
        <f t="shared" si="27"/>
        <v>16.2</v>
      </c>
    </row>
    <row r="836" spans="1:14" x14ac:dyDescent="0.3">
      <c r="A836" s="1" t="s">
        <v>1446</v>
      </c>
      <c r="B836" s="1" t="s">
        <v>1444</v>
      </c>
      <c r="C836" s="1" t="s">
        <v>21</v>
      </c>
      <c r="D836" s="1" t="s">
        <v>15</v>
      </c>
      <c r="E836" s="1" t="s">
        <v>28</v>
      </c>
      <c r="F836" s="1" t="s">
        <v>29</v>
      </c>
      <c r="G836" s="1" t="s">
        <v>39</v>
      </c>
      <c r="H836" s="1" t="s">
        <v>44</v>
      </c>
      <c r="I836" s="1">
        <v>3</v>
      </c>
      <c r="J836" s="1">
        <v>72</v>
      </c>
      <c r="K836" s="1">
        <v>0.05</v>
      </c>
      <c r="L836" s="1">
        <v>205.2</v>
      </c>
      <c r="M836" s="1" t="str">
        <f t="shared" si="26"/>
        <v>Retail Store</v>
      </c>
      <c r="N836" s="1">
        <f t="shared" si="27"/>
        <v>405</v>
      </c>
    </row>
    <row r="837" spans="1:14" x14ac:dyDescent="0.3">
      <c r="A837" s="1" t="s">
        <v>1447</v>
      </c>
      <c r="B837" s="1" t="s">
        <v>1444</v>
      </c>
      <c r="C837" s="1" t="s">
        <v>47</v>
      </c>
      <c r="D837" s="1" t="s">
        <v>22</v>
      </c>
      <c r="E837" s="1" t="s">
        <v>28</v>
      </c>
      <c r="F837" s="1" t="s">
        <v>23</v>
      </c>
      <c r="G837" s="1" t="s">
        <v>178</v>
      </c>
      <c r="H837" s="1" t="s">
        <v>58</v>
      </c>
      <c r="I837" s="1">
        <v>5</v>
      </c>
      <c r="J837" s="1">
        <v>30.56</v>
      </c>
      <c r="K837" s="1">
        <v>0.2</v>
      </c>
      <c r="L837" s="1">
        <v>122.22</v>
      </c>
      <c r="M837" s="1" t="str">
        <f t="shared" si="26"/>
        <v>Corporate Sales</v>
      </c>
      <c r="N837" s="1">
        <f t="shared" si="27"/>
        <v>421.2</v>
      </c>
    </row>
    <row r="838" spans="1:14" x14ac:dyDescent="0.3">
      <c r="A838" s="1" t="s">
        <v>1448</v>
      </c>
      <c r="B838" s="1" t="s">
        <v>1444</v>
      </c>
      <c r="C838" s="1" t="s">
        <v>21</v>
      </c>
      <c r="D838" s="1" t="s">
        <v>27</v>
      </c>
      <c r="E838" s="1" t="s">
        <v>28</v>
      </c>
      <c r="F838" s="1" t="s">
        <v>42</v>
      </c>
      <c r="G838" s="1" t="s">
        <v>43</v>
      </c>
      <c r="H838" s="1" t="s">
        <v>44</v>
      </c>
      <c r="I838" s="1">
        <v>2</v>
      </c>
      <c r="J838" s="1">
        <v>162</v>
      </c>
      <c r="K838" s="1">
        <v>0</v>
      </c>
      <c r="L838" s="1">
        <v>324</v>
      </c>
      <c r="M838" s="1" t="str">
        <f t="shared" si="26"/>
        <v>Retail Store</v>
      </c>
      <c r="N838" s="1">
        <f t="shared" si="27"/>
        <v>405</v>
      </c>
    </row>
    <row r="839" spans="1:14" x14ac:dyDescent="0.3">
      <c r="A839" s="1" t="s">
        <v>1449</v>
      </c>
      <c r="B839" s="1" t="s">
        <v>1444</v>
      </c>
      <c r="C839" s="1" t="s">
        <v>21</v>
      </c>
      <c r="D839" s="1" t="s">
        <v>35</v>
      </c>
      <c r="E839" s="1" t="s">
        <v>16</v>
      </c>
      <c r="F839" s="1" t="s">
        <v>36</v>
      </c>
      <c r="G839" s="1" t="s">
        <v>77</v>
      </c>
      <c r="H839" s="1" t="s">
        <v>86</v>
      </c>
      <c r="I839" s="1">
        <v>2</v>
      </c>
      <c r="J839" s="1">
        <v>1404</v>
      </c>
      <c r="K839" s="1">
        <v>0</v>
      </c>
      <c r="L839" s="1">
        <v>2808</v>
      </c>
      <c r="M839" s="1" t="str">
        <f t="shared" si="26"/>
        <v>Online</v>
      </c>
      <c r="N839" s="1">
        <f t="shared" si="27"/>
        <v>405</v>
      </c>
    </row>
    <row r="840" spans="1:14" x14ac:dyDescent="0.3">
      <c r="A840" s="1" t="s">
        <v>1440</v>
      </c>
      <c r="B840" s="1" t="s">
        <v>1441</v>
      </c>
      <c r="C840" s="1" t="s">
        <v>21</v>
      </c>
      <c r="D840" s="1" t="s">
        <v>35</v>
      </c>
      <c r="E840" s="1" t="s">
        <v>16</v>
      </c>
      <c r="F840" s="1" t="s">
        <v>82</v>
      </c>
      <c r="G840" s="1" t="s">
        <v>150</v>
      </c>
      <c r="H840" s="1" t="s">
        <v>86</v>
      </c>
      <c r="I840" s="1">
        <v>2</v>
      </c>
      <c r="J840" s="1">
        <v>2880</v>
      </c>
      <c r="K840" s="1">
        <v>0.1</v>
      </c>
      <c r="L840" s="1">
        <v>5184</v>
      </c>
      <c r="M840" s="1" t="str">
        <f t="shared" si="26"/>
        <v>Online</v>
      </c>
      <c r="N840" s="1">
        <f t="shared" si="27"/>
        <v>405</v>
      </c>
    </row>
    <row r="841" spans="1:14" x14ac:dyDescent="0.3">
      <c r="A841" s="1" t="s">
        <v>1442</v>
      </c>
      <c r="B841" s="1" t="s">
        <v>1441</v>
      </c>
      <c r="C841" s="1" t="s">
        <v>54</v>
      </c>
      <c r="D841" s="1" t="s">
        <v>35</v>
      </c>
      <c r="E841" s="1" t="s">
        <v>16</v>
      </c>
      <c r="F841" s="1" t="s">
        <v>42</v>
      </c>
      <c r="G841" s="1" t="s">
        <v>65</v>
      </c>
      <c r="H841" s="1" t="s">
        <v>56</v>
      </c>
      <c r="I841" s="1">
        <v>8</v>
      </c>
      <c r="J841" s="1">
        <v>702</v>
      </c>
      <c r="K841" s="1">
        <v>0.03</v>
      </c>
      <c r="L841" s="1">
        <v>5447.52</v>
      </c>
      <c r="M841" s="1" t="str">
        <f t="shared" si="26"/>
        <v>Online</v>
      </c>
      <c r="N841" s="1">
        <f t="shared" si="27"/>
        <v>267.12</v>
      </c>
    </row>
    <row r="842" spans="1:14" x14ac:dyDescent="0.3">
      <c r="A842" s="1" t="s">
        <v>1437</v>
      </c>
      <c r="B842" s="1" t="s">
        <v>1438</v>
      </c>
      <c r="C842" s="1" t="s">
        <v>14</v>
      </c>
      <c r="D842" s="1" t="s">
        <v>35</v>
      </c>
      <c r="E842" s="1" t="s">
        <v>28</v>
      </c>
      <c r="F842" s="1" t="s">
        <v>17</v>
      </c>
      <c r="G842" s="1" t="s">
        <v>98</v>
      </c>
      <c r="H842" s="1" t="s">
        <v>31</v>
      </c>
      <c r="I842" s="1">
        <v>13</v>
      </c>
      <c r="J842" s="1">
        <v>405</v>
      </c>
      <c r="K842" s="1">
        <v>0.08</v>
      </c>
      <c r="L842" s="1">
        <v>4843.8</v>
      </c>
      <c r="M842" s="1" t="str">
        <f t="shared" si="26"/>
        <v>Online</v>
      </c>
      <c r="N842" s="1">
        <f t="shared" si="27"/>
        <v>16.2</v>
      </c>
    </row>
    <row r="843" spans="1:14" x14ac:dyDescent="0.3">
      <c r="A843" s="1" t="s">
        <v>1439</v>
      </c>
      <c r="B843" s="1" t="s">
        <v>1438</v>
      </c>
      <c r="C843" s="1" t="s">
        <v>54</v>
      </c>
      <c r="D843" s="1" t="s">
        <v>15</v>
      </c>
      <c r="E843" s="1" t="s">
        <v>16</v>
      </c>
      <c r="F843" s="1" t="s">
        <v>29</v>
      </c>
      <c r="G843" s="1" t="s">
        <v>33</v>
      </c>
      <c r="H843" s="1" t="s">
        <v>56</v>
      </c>
      <c r="I843" s="1">
        <v>2</v>
      </c>
      <c r="J843" s="1">
        <v>12.83</v>
      </c>
      <c r="K843" s="1">
        <v>0</v>
      </c>
      <c r="L843" s="1">
        <v>25.65</v>
      </c>
      <c r="M843" s="1" t="str">
        <f t="shared" si="26"/>
        <v>Online</v>
      </c>
      <c r="N843" s="1">
        <f t="shared" si="27"/>
        <v>267.12</v>
      </c>
    </row>
    <row r="844" spans="1:14" x14ac:dyDescent="0.3">
      <c r="A844" s="1" t="s">
        <v>1433</v>
      </c>
      <c r="B844" s="1" t="s">
        <v>1434</v>
      </c>
      <c r="C844" s="1" t="s">
        <v>47</v>
      </c>
      <c r="D844" s="1" t="s">
        <v>15</v>
      </c>
      <c r="E844" s="1" t="s">
        <v>16</v>
      </c>
      <c r="F844" s="1" t="s">
        <v>82</v>
      </c>
      <c r="G844" s="1" t="s">
        <v>96</v>
      </c>
      <c r="H844" s="1" t="s">
        <v>78</v>
      </c>
      <c r="I844" s="1">
        <v>2</v>
      </c>
      <c r="J844" s="1">
        <v>2700</v>
      </c>
      <c r="K844" s="1">
        <v>0.03</v>
      </c>
      <c r="L844" s="1">
        <v>5238</v>
      </c>
      <c r="M844" s="1" t="str">
        <f t="shared" si="26"/>
        <v>Retail Store</v>
      </c>
      <c r="N844" s="1">
        <f t="shared" si="27"/>
        <v>421.2</v>
      </c>
    </row>
    <row r="845" spans="1:14" x14ac:dyDescent="0.3">
      <c r="A845" s="1" t="s">
        <v>1435</v>
      </c>
      <c r="B845" s="1" t="s">
        <v>1434</v>
      </c>
      <c r="C845" s="1" t="s">
        <v>54</v>
      </c>
      <c r="D845" s="1" t="s">
        <v>27</v>
      </c>
      <c r="E845" s="1" t="s">
        <v>16</v>
      </c>
      <c r="F845" s="1" t="s">
        <v>23</v>
      </c>
      <c r="G845" s="1" t="s">
        <v>142</v>
      </c>
      <c r="H845" s="1" t="s">
        <v>80</v>
      </c>
      <c r="I845" s="1">
        <v>4</v>
      </c>
      <c r="J845" s="1">
        <v>16.2</v>
      </c>
      <c r="K845" s="1">
        <v>0.1</v>
      </c>
      <c r="L845" s="1">
        <v>58.32</v>
      </c>
      <c r="M845" s="1" t="str">
        <f t="shared" si="26"/>
        <v>Marketplace</v>
      </c>
      <c r="N845" s="1">
        <f t="shared" si="27"/>
        <v>267.12</v>
      </c>
    </row>
    <row r="846" spans="1:14" x14ac:dyDescent="0.3">
      <c r="A846" s="1" t="s">
        <v>1436</v>
      </c>
      <c r="B846" s="1" t="s">
        <v>1434</v>
      </c>
      <c r="C846" s="1" t="s">
        <v>21</v>
      </c>
      <c r="D846" s="1" t="s">
        <v>22</v>
      </c>
      <c r="E846" s="1" t="s">
        <v>28</v>
      </c>
      <c r="F846" s="1" t="s">
        <v>17</v>
      </c>
      <c r="G846" s="1" t="s">
        <v>189</v>
      </c>
      <c r="H846" s="1" t="s">
        <v>86</v>
      </c>
      <c r="I846" s="1">
        <v>7</v>
      </c>
      <c r="J846" s="1">
        <v>273.60000000000002</v>
      </c>
      <c r="K846" s="1">
        <v>0.1</v>
      </c>
      <c r="L846" s="1">
        <v>1723.68</v>
      </c>
      <c r="M846" s="1" t="str">
        <f t="shared" si="26"/>
        <v>Online</v>
      </c>
      <c r="N846" s="1">
        <f t="shared" si="27"/>
        <v>405</v>
      </c>
    </row>
    <row r="847" spans="1:14" x14ac:dyDescent="0.3">
      <c r="A847" s="1" t="s">
        <v>1428</v>
      </c>
      <c r="B847" s="1" t="s">
        <v>1429</v>
      </c>
      <c r="C847" s="1" t="s">
        <v>47</v>
      </c>
      <c r="D847" s="1" t="s">
        <v>27</v>
      </c>
      <c r="E847" s="1" t="s">
        <v>16</v>
      </c>
      <c r="F847" s="1" t="s">
        <v>23</v>
      </c>
      <c r="G847" s="1" t="s">
        <v>116</v>
      </c>
      <c r="H847" s="1" t="s">
        <v>58</v>
      </c>
      <c r="I847" s="1">
        <v>5</v>
      </c>
      <c r="J847" s="1">
        <v>7.34</v>
      </c>
      <c r="K847" s="1">
        <v>0</v>
      </c>
      <c r="L847" s="1">
        <v>36.72</v>
      </c>
      <c r="M847" s="1" t="str">
        <f t="shared" si="26"/>
        <v>Corporate Sales</v>
      </c>
      <c r="N847" s="1">
        <f t="shared" si="27"/>
        <v>421.2</v>
      </c>
    </row>
    <row r="848" spans="1:14" x14ac:dyDescent="0.3">
      <c r="A848" s="1" t="s">
        <v>1430</v>
      </c>
      <c r="B848" s="1" t="s">
        <v>1429</v>
      </c>
      <c r="C848" s="1" t="s">
        <v>61</v>
      </c>
      <c r="D848" s="1" t="s">
        <v>22</v>
      </c>
      <c r="E848" s="1" t="s">
        <v>16</v>
      </c>
      <c r="F848" s="1" t="s">
        <v>36</v>
      </c>
      <c r="G848" s="1" t="s">
        <v>37</v>
      </c>
      <c r="H848" s="1" t="s">
        <v>112</v>
      </c>
      <c r="I848" s="1">
        <v>2</v>
      </c>
      <c r="J848" s="1">
        <v>742.05</v>
      </c>
      <c r="K848" s="1">
        <v>0.05</v>
      </c>
      <c r="L848" s="1">
        <v>1409.9</v>
      </c>
      <c r="M848" s="1" t="str">
        <f t="shared" si="26"/>
        <v>Online</v>
      </c>
      <c r="N848" s="1">
        <f t="shared" si="27"/>
        <v>62.01</v>
      </c>
    </row>
    <row r="849" spans="1:14" x14ac:dyDescent="0.3">
      <c r="A849" s="1" t="s">
        <v>1431</v>
      </c>
      <c r="B849" s="1" t="s">
        <v>1429</v>
      </c>
      <c r="C849" s="1" t="s">
        <v>61</v>
      </c>
      <c r="D849" s="1" t="s">
        <v>22</v>
      </c>
      <c r="E849" s="1" t="s">
        <v>16</v>
      </c>
      <c r="F849" s="1" t="s">
        <v>17</v>
      </c>
      <c r="G849" s="1" t="s">
        <v>18</v>
      </c>
      <c r="H849" s="1" t="s">
        <v>112</v>
      </c>
      <c r="I849" s="1">
        <v>3</v>
      </c>
      <c r="J849" s="1">
        <v>78.569999999999993</v>
      </c>
      <c r="K849" s="1">
        <v>0.15</v>
      </c>
      <c r="L849" s="1">
        <v>200.35</v>
      </c>
      <c r="M849" s="1" t="str">
        <f t="shared" si="26"/>
        <v>Online</v>
      </c>
      <c r="N849" s="1">
        <f t="shared" si="27"/>
        <v>62.01</v>
      </c>
    </row>
    <row r="850" spans="1:14" x14ac:dyDescent="0.3">
      <c r="A850" s="1" t="s">
        <v>1432</v>
      </c>
      <c r="B850" s="1" t="s">
        <v>1429</v>
      </c>
      <c r="C850" s="1" t="s">
        <v>61</v>
      </c>
      <c r="D850" s="1" t="s">
        <v>15</v>
      </c>
      <c r="E850" s="1" t="s">
        <v>28</v>
      </c>
      <c r="F850" s="1" t="s">
        <v>42</v>
      </c>
      <c r="G850" s="1" t="s">
        <v>43</v>
      </c>
      <c r="H850" s="1" t="s">
        <v>73</v>
      </c>
      <c r="I850" s="1">
        <v>4</v>
      </c>
      <c r="J850" s="1">
        <v>171.72</v>
      </c>
      <c r="K850" s="1">
        <v>0.1</v>
      </c>
      <c r="L850" s="1">
        <v>618.19000000000005</v>
      </c>
      <c r="M850" s="1" t="str">
        <f t="shared" si="26"/>
        <v>Online</v>
      </c>
      <c r="N850" s="1">
        <f t="shared" si="27"/>
        <v>62.01</v>
      </c>
    </row>
    <row r="851" spans="1:14" x14ac:dyDescent="0.3">
      <c r="A851" s="1" t="s">
        <v>1423</v>
      </c>
      <c r="B851" s="1" t="s">
        <v>1424</v>
      </c>
      <c r="C851" s="1" t="s">
        <v>21</v>
      </c>
      <c r="D851" s="1" t="s">
        <v>27</v>
      </c>
      <c r="E851" s="1" t="s">
        <v>28</v>
      </c>
      <c r="F851" s="1" t="s">
        <v>36</v>
      </c>
      <c r="G851" s="1" t="s">
        <v>37</v>
      </c>
      <c r="H851" s="1" t="s">
        <v>86</v>
      </c>
      <c r="I851" s="1">
        <v>6</v>
      </c>
      <c r="J851" s="1">
        <v>765</v>
      </c>
      <c r="K851" s="1">
        <v>0.2</v>
      </c>
      <c r="L851" s="1">
        <v>3672</v>
      </c>
      <c r="M851" s="1" t="str">
        <f t="shared" si="26"/>
        <v>Online</v>
      </c>
      <c r="N851" s="1">
        <f t="shared" si="27"/>
        <v>405</v>
      </c>
    </row>
    <row r="852" spans="1:14" x14ac:dyDescent="0.3">
      <c r="A852" s="1" t="s">
        <v>1425</v>
      </c>
      <c r="B852" s="1" t="s">
        <v>1424</v>
      </c>
      <c r="C852" s="1" t="s">
        <v>61</v>
      </c>
      <c r="D852" s="1" t="s">
        <v>15</v>
      </c>
      <c r="E852" s="1" t="s">
        <v>16</v>
      </c>
      <c r="F852" s="1" t="s">
        <v>17</v>
      </c>
      <c r="G852" s="1" t="s">
        <v>98</v>
      </c>
      <c r="H852" s="1" t="s">
        <v>73</v>
      </c>
      <c r="I852" s="1">
        <v>2</v>
      </c>
      <c r="J852" s="1">
        <v>405</v>
      </c>
      <c r="K852" s="1">
        <v>0</v>
      </c>
      <c r="L852" s="1">
        <v>810</v>
      </c>
      <c r="M852" s="1" t="str">
        <f t="shared" si="26"/>
        <v>Online</v>
      </c>
      <c r="N852" s="1">
        <f t="shared" si="27"/>
        <v>62.01</v>
      </c>
    </row>
    <row r="853" spans="1:14" x14ac:dyDescent="0.3">
      <c r="A853" s="1" t="s">
        <v>1426</v>
      </c>
      <c r="B853" s="1" t="s">
        <v>1424</v>
      </c>
      <c r="C853" s="1" t="s">
        <v>54</v>
      </c>
      <c r="D853" s="1" t="s">
        <v>27</v>
      </c>
      <c r="E853" s="1" t="s">
        <v>16</v>
      </c>
      <c r="F853" s="1" t="s">
        <v>23</v>
      </c>
      <c r="G853" s="1" t="s">
        <v>116</v>
      </c>
      <c r="H853" s="1" t="s">
        <v>71</v>
      </c>
      <c r="I853" s="1">
        <v>2</v>
      </c>
      <c r="J853" s="1">
        <v>7.2</v>
      </c>
      <c r="K853" s="1">
        <v>0</v>
      </c>
      <c r="L853" s="1">
        <v>14.4</v>
      </c>
      <c r="M853" s="1" t="str">
        <f t="shared" si="26"/>
        <v>Online</v>
      </c>
      <c r="N853" s="1">
        <f t="shared" si="27"/>
        <v>267.12</v>
      </c>
    </row>
    <row r="854" spans="1:14" x14ac:dyDescent="0.3">
      <c r="A854" s="1" t="s">
        <v>1427</v>
      </c>
      <c r="B854" s="1" t="s">
        <v>1424</v>
      </c>
      <c r="C854" s="1" t="s">
        <v>61</v>
      </c>
      <c r="D854" s="1" t="s">
        <v>22</v>
      </c>
      <c r="E854" s="1" t="s">
        <v>16</v>
      </c>
      <c r="F854" s="1" t="s">
        <v>23</v>
      </c>
      <c r="G854" s="1" t="s">
        <v>24</v>
      </c>
      <c r="H854" s="1" t="s">
        <v>112</v>
      </c>
      <c r="I854" s="1">
        <v>2</v>
      </c>
      <c r="J854" s="1">
        <v>21.38</v>
      </c>
      <c r="K854" s="1">
        <v>0.05</v>
      </c>
      <c r="L854" s="1">
        <v>40.61</v>
      </c>
      <c r="M854" s="1" t="str">
        <f t="shared" si="26"/>
        <v>Online</v>
      </c>
      <c r="N854" s="1">
        <f t="shared" si="27"/>
        <v>62.01</v>
      </c>
    </row>
    <row r="855" spans="1:14" x14ac:dyDescent="0.3">
      <c r="A855" s="1" t="s">
        <v>1416</v>
      </c>
      <c r="B855" s="1" t="s">
        <v>1417</v>
      </c>
      <c r="C855" s="1" t="s">
        <v>61</v>
      </c>
      <c r="D855" s="1" t="s">
        <v>27</v>
      </c>
      <c r="E855" s="1" t="s">
        <v>28</v>
      </c>
      <c r="F855" s="1" t="s">
        <v>42</v>
      </c>
      <c r="G855" s="1" t="s">
        <v>65</v>
      </c>
      <c r="H855" s="1" t="s">
        <v>73</v>
      </c>
      <c r="I855" s="1">
        <v>7</v>
      </c>
      <c r="J855" s="1">
        <v>675</v>
      </c>
      <c r="K855" s="1">
        <v>0.03</v>
      </c>
      <c r="L855" s="1">
        <v>4583.25</v>
      </c>
      <c r="M855" s="1" t="str">
        <f t="shared" si="26"/>
        <v>Online</v>
      </c>
      <c r="N855" s="1">
        <f t="shared" si="27"/>
        <v>62.01</v>
      </c>
    </row>
    <row r="856" spans="1:14" x14ac:dyDescent="0.3">
      <c r="A856" s="1" t="s">
        <v>1418</v>
      </c>
      <c r="B856" s="1" t="s">
        <v>1417</v>
      </c>
      <c r="C856" s="1" t="s">
        <v>54</v>
      </c>
      <c r="D856" s="1" t="s">
        <v>27</v>
      </c>
      <c r="E856" s="1" t="s">
        <v>16</v>
      </c>
      <c r="F856" s="1" t="s">
        <v>29</v>
      </c>
      <c r="G856" s="1" t="s">
        <v>33</v>
      </c>
      <c r="H856" s="1" t="s">
        <v>80</v>
      </c>
      <c r="I856" s="1">
        <v>3</v>
      </c>
      <c r="J856" s="1">
        <v>12.83</v>
      </c>
      <c r="K856" s="1">
        <v>0.1</v>
      </c>
      <c r="L856" s="1">
        <v>34.630000000000003</v>
      </c>
      <c r="M856" s="1" t="str">
        <f t="shared" si="26"/>
        <v>Marketplace</v>
      </c>
      <c r="N856" s="1">
        <f t="shared" si="27"/>
        <v>267.12</v>
      </c>
    </row>
    <row r="857" spans="1:14" x14ac:dyDescent="0.3">
      <c r="A857" s="1" t="s">
        <v>1419</v>
      </c>
      <c r="B857" s="1" t="s">
        <v>1417</v>
      </c>
      <c r="C857" s="1" t="s">
        <v>54</v>
      </c>
      <c r="D857" s="1" t="s">
        <v>15</v>
      </c>
      <c r="E857" s="1" t="s">
        <v>16</v>
      </c>
      <c r="F857" s="1" t="s">
        <v>29</v>
      </c>
      <c r="G857" s="1" t="s">
        <v>39</v>
      </c>
      <c r="H857" s="1" t="s">
        <v>80</v>
      </c>
      <c r="I857" s="1">
        <v>5</v>
      </c>
      <c r="J857" s="1">
        <v>72</v>
      </c>
      <c r="K857" s="1">
        <v>0.08</v>
      </c>
      <c r="L857" s="1">
        <v>331.2</v>
      </c>
      <c r="M857" s="1" t="str">
        <f t="shared" si="26"/>
        <v>Marketplace</v>
      </c>
      <c r="N857" s="1">
        <f t="shared" si="27"/>
        <v>267.12</v>
      </c>
    </row>
    <row r="858" spans="1:14" x14ac:dyDescent="0.3">
      <c r="A858" s="1" t="s">
        <v>1420</v>
      </c>
      <c r="B858" s="1" t="s">
        <v>1417</v>
      </c>
      <c r="C858" s="1" t="s">
        <v>54</v>
      </c>
      <c r="D858" s="1" t="s">
        <v>15</v>
      </c>
      <c r="E858" s="1" t="s">
        <v>16</v>
      </c>
      <c r="F858" s="1" t="s">
        <v>82</v>
      </c>
      <c r="G858" s="1" t="s">
        <v>83</v>
      </c>
      <c r="H858" s="1" t="s">
        <v>80</v>
      </c>
      <c r="I858" s="1">
        <v>2</v>
      </c>
      <c r="J858" s="1">
        <v>3780</v>
      </c>
      <c r="K858" s="1">
        <v>0</v>
      </c>
      <c r="L858" s="1">
        <v>7560</v>
      </c>
      <c r="M858" s="1" t="str">
        <f t="shared" si="26"/>
        <v>Marketplace</v>
      </c>
      <c r="N858" s="1">
        <f t="shared" si="27"/>
        <v>267.12</v>
      </c>
    </row>
    <row r="859" spans="1:14" x14ac:dyDescent="0.3">
      <c r="A859" s="1" t="s">
        <v>1421</v>
      </c>
      <c r="B859" s="1" t="s">
        <v>1417</v>
      </c>
      <c r="C859" s="1" t="s">
        <v>21</v>
      </c>
      <c r="D859" s="1" t="s">
        <v>27</v>
      </c>
      <c r="E859" s="1" t="s">
        <v>16</v>
      </c>
      <c r="F859" s="1" t="s">
        <v>42</v>
      </c>
      <c r="G859" s="1" t="s">
        <v>67</v>
      </c>
      <c r="H859" s="1" t="s">
        <v>25</v>
      </c>
      <c r="I859" s="1">
        <v>4</v>
      </c>
      <c r="J859" s="1">
        <v>267.12</v>
      </c>
      <c r="K859" s="1">
        <v>0.1</v>
      </c>
      <c r="L859" s="1">
        <v>961.63</v>
      </c>
      <c r="M859" s="1" t="str">
        <f t="shared" si="26"/>
        <v>Marketplace</v>
      </c>
      <c r="N859" s="1">
        <f t="shared" si="27"/>
        <v>405</v>
      </c>
    </row>
    <row r="860" spans="1:14" x14ac:dyDescent="0.3">
      <c r="A860" s="1" t="s">
        <v>1422</v>
      </c>
      <c r="B860" s="1" t="s">
        <v>1417</v>
      </c>
      <c r="C860" s="1" t="s">
        <v>54</v>
      </c>
      <c r="D860" s="1" t="s">
        <v>22</v>
      </c>
      <c r="E860" s="1" t="s">
        <v>28</v>
      </c>
      <c r="F860" s="1" t="s">
        <v>29</v>
      </c>
      <c r="G860" s="1" t="s">
        <v>55</v>
      </c>
      <c r="H860" s="1" t="s">
        <v>71</v>
      </c>
      <c r="I860" s="1">
        <v>3</v>
      </c>
      <c r="J860" s="1">
        <v>34.200000000000003</v>
      </c>
      <c r="K860" s="1">
        <v>0.1</v>
      </c>
      <c r="L860" s="1">
        <v>92.34</v>
      </c>
      <c r="M860" s="1" t="str">
        <f t="shared" si="26"/>
        <v>Online</v>
      </c>
      <c r="N860" s="1">
        <f t="shared" si="27"/>
        <v>267.12</v>
      </c>
    </row>
    <row r="861" spans="1:14" x14ac:dyDescent="0.3">
      <c r="A861" s="1" t="s">
        <v>1412</v>
      </c>
      <c r="B861" s="1" t="s">
        <v>1413</v>
      </c>
      <c r="C861" s="1" t="s">
        <v>47</v>
      </c>
      <c r="D861" s="1" t="s">
        <v>15</v>
      </c>
      <c r="E861" s="1" t="s">
        <v>16</v>
      </c>
      <c r="F861" s="1" t="s">
        <v>23</v>
      </c>
      <c r="G861" s="1" t="s">
        <v>142</v>
      </c>
      <c r="H861" s="1" t="s">
        <v>58</v>
      </c>
      <c r="I861" s="1">
        <v>2</v>
      </c>
      <c r="J861" s="1">
        <v>16.2</v>
      </c>
      <c r="K861" s="1">
        <v>0</v>
      </c>
      <c r="L861" s="1">
        <v>32.4</v>
      </c>
      <c r="M861" s="1" t="str">
        <f t="shared" si="26"/>
        <v>Corporate Sales</v>
      </c>
      <c r="N861" s="1">
        <f t="shared" si="27"/>
        <v>421.2</v>
      </c>
    </row>
    <row r="862" spans="1:14" x14ac:dyDescent="0.3">
      <c r="A862" s="1" t="s">
        <v>1414</v>
      </c>
      <c r="B862" s="1" t="s">
        <v>1413</v>
      </c>
      <c r="C862" s="1" t="s">
        <v>61</v>
      </c>
      <c r="D862" s="1" t="s">
        <v>22</v>
      </c>
      <c r="E862" s="1" t="s">
        <v>16</v>
      </c>
      <c r="F862" s="1" t="s">
        <v>36</v>
      </c>
      <c r="G862" s="1" t="s">
        <v>77</v>
      </c>
      <c r="H862" s="1" t="s">
        <v>73</v>
      </c>
      <c r="I862" s="1">
        <v>2</v>
      </c>
      <c r="J862" s="1">
        <v>1431</v>
      </c>
      <c r="K862" s="1">
        <v>0</v>
      </c>
      <c r="L862" s="1">
        <v>2862</v>
      </c>
      <c r="M862" s="1" t="str">
        <f t="shared" si="26"/>
        <v>Online</v>
      </c>
      <c r="N862" s="1">
        <f t="shared" si="27"/>
        <v>62.01</v>
      </c>
    </row>
    <row r="863" spans="1:14" x14ac:dyDescent="0.3">
      <c r="A863" s="1" t="s">
        <v>1415</v>
      </c>
      <c r="B863" s="1" t="s">
        <v>1413</v>
      </c>
      <c r="C863" s="1" t="s">
        <v>54</v>
      </c>
      <c r="D863" s="1" t="s">
        <v>22</v>
      </c>
      <c r="E863" s="1" t="s">
        <v>16</v>
      </c>
      <c r="F863" s="1" t="s">
        <v>17</v>
      </c>
      <c r="G863" s="1" t="s">
        <v>189</v>
      </c>
      <c r="H863" s="1" t="s">
        <v>71</v>
      </c>
      <c r="I863" s="1">
        <v>4</v>
      </c>
      <c r="J863" s="1">
        <v>288</v>
      </c>
      <c r="K863" s="1">
        <v>0.08</v>
      </c>
      <c r="L863" s="1">
        <v>1059.8399999999999</v>
      </c>
      <c r="M863" s="1" t="str">
        <f t="shared" si="26"/>
        <v>Online</v>
      </c>
      <c r="N863" s="1">
        <f t="shared" si="27"/>
        <v>267.12</v>
      </c>
    </row>
    <row r="864" spans="1:14" x14ac:dyDescent="0.3">
      <c r="A864" s="1" t="s">
        <v>1402</v>
      </c>
      <c r="B864" s="1" t="s">
        <v>1403</v>
      </c>
      <c r="C864" s="1" t="s">
        <v>21</v>
      </c>
      <c r="D864" s="1" t="s">
        <v>22</v>
      </c>
      <c r="E864" s="1" t="s">
        <v>28</v>
      </c>
      <c r="F864" s="1" t="s">
        <v>23</v>
      </c>
      <c r="G864" s="1" t="s">
        <v>103</v>
      </c>
      <c r="H864" s="1" t="s">
        <v>44</v>
      </c>
      <c r="I864" s="1">
        <v>2</v>
      </c>
      <c r="J864" s="1">
        <v>11.45</v>
      </c>
      <c r="K864" s="1">
        <v>0.2</v>
      </c>
      <c r="L864" s="1">
        <v>18.32</v>
      </c>
      <c r="M864" s="1" t="str">
        <f t="shared" si="26"/>
        <v>Retail Store</v>
      </c>
      <c r="N864" s="1">
        <f t="shared" si="27"/>
        <v>405</v>
      </c>
    </row>
    <row r="865" spans="1:14" x14ac:dyDescent="0.3">
      <c r="A865" s="1" t="s">
        <v>1404</v>
      </c>
      <c r="B865" s="1" t="s">
        <v>1403</v>
      </c>
      <c r="C865" s="1" t="s">
        <v>61</v>
      </c>
      <c r="D865" s="1" t="s">
        <v>22</v>
      </c>
      <c r="E865" s="1" t="s">
        <v>16</v>
      </c>
      <c r="F865" s="1" t="s">
        <v>29</v>
      </c>
      <c r="G865" s="1" t="s">
        <v>33</v>
      </c>
      <c r="H865" s="1" t="s">
        <v>63</v>
      </c>
      <c r="I865" s="1">
        <v>6</v>
      </c>
      <c r="J865" s="1">
        <v>13.5</v>
      </c>
      <c r="K865" s="1">
        <v>0.03</v>
      </c>
      <c r="L865" s="1">
        <v>78.569999999999993</v>
      </c>
      <c r="M865" s="1" t="str">
        <f t="shared" si="26"/>
        <v>Retail Store</v>
      </c>
      <c r="N865" s="1">
        <f t="shared" si="27"/>
        <v>62.01</v>
      </c>
    </row>
    <row r="866" spans="1:14" x14ac:dyDescent="0.3">
      <c r="A866" s="1" t="s">
        <v>1405</v>
      </c>
      <c r="B866" s="1" t="s">
        <v>1403</v>
      </c>
      <c r="C866" s="1" t="s">
        <v>54</v>
      </c>
      <c r="D866" s="1" t="s">
        <v>15</v>
      </c>
      <c r="E866" s="1" t="s">
        <v>16</v>
      </c>
      <c r="F866" s="1" t="s">
        <v>17</v>
      </c>
      <c r="G866" s="1" t="s">
        <v>98</v>
      </c>
      <c r="H866" s="1" t="s">
        <v>80</v>
      </c>
      <c r="I866" s="1">
        <v>6</v>
      </c>
      <c r="J866" s="1">
        <v>405</v>
      </c>
      <c r="K866" s="1">
        <v>0.15</v>
      </c>
      <c r="L866" s="1">
        <v>2065.5</v>
      </c>
      <c r="M866" s="1" t="str">
        <f t="shared" si="26"/>
        <v>Marketplace</v>
      </c>
      <c r="N866" s="1">
        <f t="shared" si="27"/>
        <v>267.12</v>
      </c>
    </row>
    <row r="867" spans="1:14" x14ac:dyDescent="0.3">
      <c r="A867" s="1" t="s">
        <v>1406</v>
      </c>
      <c r="B867" s="1" t="s">
        <v>1403</v>
      </c>
      <c r="C867" s="1" t="s">
        <v>47</v>
      </c>
      <c r="D867" s="1" t="s">
        <v>22</v>
      </c>
      <c r="E867" s="1" t="s">
        <v>16</v>
      </c>
      <c r="F867" s="1" t="s">
        <v>17</v>
      </c>
      <c r="G867" s="1" t="s">
        <v>18</v>
      </c>
      <c r="H867" s="1" t="s">
        <v>78</v>
      </c>
      <c r="I867" s="1">
        <v>2</v>
      </c>
      <c r="J867" s="1">
        <v>81</v>
      </c>
      <c r="K867" s="1">
        <v>0.08</v>
      </c>
      <c r="L867" s="1">
        <v>149.04</v>
      </c>
      <c r="M867" s="1" t="str">
        <f t="shared" si="26"/>
        <v>Retail Store</v>
      </c>
      <c r="N867" s="1">
        <f t="shared" si="27"/>
        <v>421.2</v>
      </c>
    </row>
    <row r="868" spans="1:14" x14ac:dyDescent="0.3">
      <c r="A868" s="1" t="s">
        <v>1407</v>
      </c>
      <c r="B868" s="1" t="s">
        <v>1403</v>
      </c>
      <c r="C868" s="1" t="s">
        <v>14</v>
      </c>
      <c r="D868" s="1" t="s">
        <v>27</v>
      </c>
      <c r="E868" s="1" t="s">
        <v>16</v>
      </c>
      <c r="F868" s="1" t="s">
        <v>42</v>
      </c>
      <c r="G868" s="1" t="s">
        <v>48</v>
      </c>
      <c r="H868" s="1" t="s">
        <v>31</v>
      </c>
      <c r="I868" s="1">
        <v>4</v>
      </c>
      <c r="J868" s="1">
        <v>17.100000000000001</v>
      </c>
      <c r="K868" s="1">
        <v>0.1</v>
      </c>
      <c r="L868" s="1">
        <v>61.56</v>
      </c>
      <c r="M868" s="1" t="str">
        <f t="shared" si="26"/>
        <v>Online</v>
      </c>
      <c r="N868" s="1">
        <f t="shared" si="27"/>
        <v>16.2</v>
      </c>
    </row>
    <row r="869" spans="1:14" x14ac:dyDescent="0.3">
      <c r="A869" s="1" t="s">
        <v>1408</v>
      </c>
      <c r="B869" s="1" t="s">
        <v>1403</v>
      </c>
      <c r="C869" s="1" t="s">
        <v>14</v>
      </c>
      <c r="D869" s="1" t="s">
        <v>15</v>
      </c>
      <c r="E869" s="1" t="s">
        <v>28</v>
      </c>
      <c r="F869" s="1" t="s">
        <v>36</v>
      </c>
      <c r="G869" s="1" t="s">
        <v>70</v>
      </c>
      <c r="H869" s="1" t="s">
        <v>40</v>
      </c>
      <c r="I869" s="1">
        <v>3</v>
      </c>
      <c r="J869" s="1">
        <v>553.32000000000005</v>
      </c>
      <c r="K869" s="1">
        <v>0.08</v>
      </c>
      <c r="L869" s="1">
        <v>1527.16</v>
      </c>
      <c r="M869" s="1" t="str">
        <f t="shared" si="26"/>
        <v>Online</v>
      </c>
      <c r="N869" s="1">
        <f t="shared" si="27"/>
        <v>16.2</v>
      </c>
    </row>
    <row r="870" spans="1:14" x14ac:dyDescent="0.3">
      <c r="A870" s="1" t="s">
        <v>1409</v>
      </c>
      <c r="B870" s="1" t="s">
        <v>1403</v>
      </c>
      <c r="C870" s="1" t="s">
        <v>54</v>
      </c>
      <c r="D870" s="1" t="s">
        <v>35</v>
      </c>
      <c r="E870" s="1" t="s">
        <v>28</v>
      </c>
      <c r="F870" s="1" t="s">
        <v>42</v>
      </c>
      <c r="G870" s="1" t="s">
        <v>43</v>
      </c>
      <c r="H870" s="1" t="s">
        <v>56</v>
      </c>
      <c r="I870" s="1">
        <v>4</v>
      </c>
      <c r="J870" s="1">
        <v>157.13999999999999</v>
      </c>
      <c r="K870" s="1">
        <v>0.1</v>
      </c>
      <c r="L870" s="1">
        <v>565.70000000000005</v>
      </c>
      <c r="M870" s="1" t="str">
        <f t="shared" si="26"/>
        <v>Online</v>
      </c>
      <c r="N870" s="1">
        <f t="shared" si="27"/>
        <v>267.12</v>
      </c>
    </row>
    <row r="871" spans="1:14" x14ac:dyDescent="0.3">
      <c r="A871" s="1" t="s">
        <v>1410</v>
      </c>
      <c r="B871" s="1" t="s">
        <v>1403</v>
      </c>
      <c r="C871" s="1" t="s">
        <v>21</v>
      </c>
      <c r="D871" s="1" t="s">
        <v>35</v>
      </c>
      <c r="E871" s="1" t="s">
        <v>28</v>
      </c>
      <c r="F871" s="1" t="s">
        <v>82</v>
      </c>
      <c r="G871" s="1" t="s">
        <v>114</v>
      </c>
      <c r="H871" s="1" t="s">
        <v>86</v>
      </c>
      <c r="I871" s="1">
        <v>3</v>
      </c>
      <c r="J871" s="1">
        <v>2137.5</v>
      </c>
      <c r="K871" s="1">
        <v>0.1</v>
      </c>
      <c r="L871" s="1">
        <v>5771.25</v>
      </c>
      <c r="M871" s="1" t="str">
        <f t="shared" si="26"/>
        <v>Online</v>
      </c>
      <c r="N871" s="1">
        <f t="shared" si="27"/>
        <v>405</v>
      </c>
    </row>
    <row r="872" spans="1:14" x14ac:dyDescent="0.3">
      <c r="A872" s="1" t="s">
        <v>1411</v>
      </c>
      <c r="B872" s="1" t="s">
        <v>1403</v>
      </c>
      <c r="C872" s="1" t="s">
        <v>21</v>
      </c>
      <c r="D872" s="1" t="s">
        <v>15</v>
      </c>
      <c r="E872" s="1" t="s">
        <v>28</v>
      </c>
      <c r="F872" s="1" t="s">
        <v>29</v>
      </c>
      <c r="G872" s="1" t="s">
        <v>30</v>
      </c>
      <c r="H872" s="1" t="s">
        <v>44</v>
      </c>
      <c r="I872" s="1">
        <v>5</v>
      </c>
      <c r="J872" s="1">
        <v>50.49</v>
      </c>
      <c r="K872" s="1">
        <v>0.05</v>
      </c>
      <c r="L872" s="1">
        <v>239.83</v>
      </c>
      <c r="M872" s="1" t="str">
        <f t="shared" si="26"/>
        <v>Retail Store</v>
      </c>
      <c r="N872" s="1">
        <f t="shared" si="27"/>
        <v>405</v>
      </c>
    </row>
    <row r="873" spans="1:14" x14ac:dyDescent="0.3">
      <c r="A873" s="1" t="s">
        <v>1398</v>
      </c>
      <c r="B873" s="1" t="s">
        <v>1399</v>
      </c>
      <c r="C873" s="1" t="s">
        <v>61</v>
      </c>
      <c r="D873" s="1" t="s">
        <v>15</v>
      </c>
      <c r="E873" s="1" t="s">
        <v>16</v>
      </c>
      <c r="F873" s="1" t="s">
        <v>17</v>
      </c>
      <c r="G873" s="1" t="s">
        <v>189</v>
      </c>
      <c r="H873" s="1" t="s">
        <v>63</v>
      </c>
      <c r="I873" s="1">
        <v>2</v>
      </c>
      <c r="J873" s="1">
        <v>305.27999999999997</v>
      </c>
      <c r="K873" s="1">
        <v>0.03</v>
      </c>
      <c r="L873" s="1">
        <v>592.24</v>
      </c>
      <c r="M873" s="1" t="str">
        <f t="shared" si="26"/>
        <v>Retail Store</v>
      </c>
      <c r="N873" s="1">
        <f t="shared" si="27"/>
        <v>62.01</v>
      </c>
    </row>
    <row r="874" spans="1:14" x14ac:dyDescent="0.3">
      <c r="A874" s="1" t="s">
        <v>1400</v>
      </c>
      <c r="B874" s="1" t="s">
        <v>1399</v>
      </c>
      <c r="C874" s="1" t="s">
        <v>61</v>
      </c>
      <c r="D874" s="1" t="s">
        <v>35</v>
      </c>
      <c r="E874" s="1" t="s">
        <v>16</v>
      </c>
      <c r="F874" s="1" t="s">
        <v>36</v>
      </c>
      <c r="G874" s="1" t="s">
        <v>37</v>
      </c>
      <c r="H874" s="1" t="s">
        <v>73</v>
      </c>
      <c r="I874" s="1">
        <v>2</v>
      </c>
      <c r="J874" s="1">
        <v>765</v>
      </c>
      <c r="K874" s="1">
        <v>0.08</v>
      </c>
      <c r="L874" s="1">
        <v>1407.6</v>
      </c>
      <c r="M874" s="1" t="str">
        <f t="shared" si="26"/>
        <v>Online</v>
      </c>
      <c r="N874" s="1">
        <f t="shared" si="27"/>
        <v>62.01</v>
      </c>
    </row>
    <row r="875" spans="1:14" x14ac:dyDescent="0.3">
      <c r="A875" s="1" t="s">
        <v>1401</v>
      </c>
      <c r="B875" s="1" t="s">
        <v>1399</v>
      </c>
      <c r="C875" s="1" t="s">
        <v>47</v>
      </c>
      <c r="D875" s="1" t="s">
        <v>27</v>
      </c>
      <c r="E875" s="1" t="s">
        <v>28</v>
      </c>
      <c r="F875" s="1" t="s">
        <v>29</v>
      </c>
      <c r="G875" s="1" t="s">
        <v>51</v>
      </c>
      <c r="H875" s="1" t="s">
        <v>49</v>
      </c>
      <c r="I875" s="1">
        <v>3</v>
      </c>
      <c r="J875" s="1">
        <v>38.479999999999997</v>
      </c>
      <c r="K875" s="1">
        <v>0</v>
      </c>
      <c r="L875" s="1">
        <v>115.43</v>
      </c>
      <c r="M875" s="1" t="str">
        <f t="shared" si="26"/>
        <v>Retail Store</v>
      </c>
      <c r="N875" s="1">
        <f t="shared" si="27"/>
        <v>421.2</v>
      </c>
    </row>
    <row r="876" spans="1:14" x14ac:dyDescent="0.3">
      <c r="A876" s="1" t="s">
        <v>1394</v>
      </c>
      <c r="B876" s="1" t="s">
        <v>1395</v>
      </c>
      <c r="C876" s="1" t="s">
        <v>47</v>
      </c>
      <c r="D876" s="1" t="s">
        <v>35</v>
      </c>
      <c r="E876" s="1" t="s">
        <v>16</v>
      </c>
      <c r="F876" s="1" t="s">
        <v>23</v>
      </c>
      <c r="G876" s="1" t="s">
        <v>142</v>
      </c>
      <c r="H876" s="1" t="s">
        <v>78</v>
      </c>
      <c r="I876" s="1">
        <v>15</v>
      </c>
      <c r="J876" s="1">
        <v>16.2</v>
      </c>
      <c r="K876" s="1">
        <v>0.15</v>
      </c>
      <c r="L876" s="1">
        <v>206.55</v>
      </c>
      <c r="M876" s="1" t="str">
        <f t="shared" si="26"/>
        <v>Retail Store</v>
      </c>
      <c r="N876" s="1">
        <f t="shared" si="27"/>
        <v>421.2</v>
      </c>
    </row>
    <row r="877" spans="1:14" x14ac:dyDescent="0.3">
      <c r="A877" s="1" t="s">
        <v>1396</v>
      </c>
      <c r="B877" s="1" t="s">
        <v>1395</v>
      </c>
      <c r="C877" s="1" t="s">
        <v>61</v>
      </c>
      <c r="D877" s="1" t="s">
        <v>27</v>
      </c>
      <c r="E877" s="1" t="s">
        <v>28</v>
      </c>
      <c r="F877" s="1" t="s">
        <v>36</v>
      </c>
      <c r="G877" s="1" t="s">
        <v>70</v>
      </c>
      <c r="H877" s="1" t="s">
        <v>112</v>
      </c>
      <c r="I877" s="1">
        <v>2</v>
      </c>
      <c r="J877" s="1">
        <v>553.32000000000005</v>
      </c>
      <c r="K877" s="1">
        <v>0.1</v>
      </c>
      <c r="L877" s="1">
        <v>995.98</v>
      </c>
      <c r="M877" s="1" t="str">
        <f t="shared" si="26"/>
        <v>Online</v>
      </c>
      <c r="N877" s="1">
        <f t="shared" si="27"/>
        <v>62.01</v>
      </c>
    </row>
    <row r="878" spans="1:14" x14ac:dyDescent="0.3">
      <c r="A878" s="1" t="s">
        <v>1397</v>
      </c>
      <c r="B878" s="1" t="s">
        <v>1395</v>
      </c>
      <c r="C878" s="1" t="s">
        <v>47</v>
      </c>
      <c r="D878" s="1" t="s">
        <v>35</v>
      </c>
      <c r="E878" s="1" t="s">
        <v>28</v>
      </c>
      <c r="F878" s="1" t="s">
        <v>36</v>
      </c>
      <c r="G878" s="1" t="s">
        <v>70</v>
      </c>
      <c r="H878" s="1" t="s">
        <v>49</v>
      </c>
      <c r="I878" s="1">
        <v>2</v>
      </c>
      <c r="J878" s="1">
        <v>532.44000000000005</v>
      </c>
      <c r="K878" s="1">
        <v>0</v>
      </c>
      <c r="L878" s="1">
        <v>1064.8800000000001</v>
      </c>
      <c r="M878" s="1" t="str">
        <f t="shared" si="26"/>
        <v>Retail Store</v>
      </c>
      <c r="N878" s="1">
        <f t="shared" si="27"/>
        <v>421.2</v>
      </c>
    </row>
    <row r="879" spans="1:14" x14ac:dyDescent="0.3">
      <c r="A879" s="1" t="s">
        <v>1379</v>
      </c>
      <c r="B879" s="1" t="s">
        <v>1380</v>
      </c>
      <c r="C879" s="1" t="s">
        <v>14</v>
      </c>
      <c r="D879" s="1" t="s">
        <v>35</v>
      </c>
      <c r="E879" s="1" t="s">
        <v>16</v>
      </c>
      <c r="F879" s="1" t="s">
        <v>82</v>
      </c>
      <c r="G879" s="1" t="s">
        <v>96</v>
      </c>
      <c r="H879" s="1" t="s">
        <v>31</v>
      </c>
      <c r="I879" s="1">
        <v>2</v>
      </c>
      <c r="J879" s="1">
        <v>2862</v>
      </c>
      <c r="K879" s="1">
        <v>0.05</v>
      </c>
      <c r="L879" s="1">
        <v>5437.8</v>
      </c>
      <c r="M879" s="1" t="str">
        <f t="shared" si="26"/>
        <v>Online</v>
      </c>
      <c r="N879" s="1">
        <f t="shared" si="27"/>
        <v>16.2</v>
      </c>
    </row>
    <row r="880" spans="1:14" x14ac:dyDescent="0.3">
      <c r="A880" s="1" t="s">
        <v>1381</v>
      </c>
      <c r="B880" s="1" t="s">
        <v>1380</v>
      </c>
      <c r="C880" s="1" t="s">
        <v>47</v>
      </c>
      <c r="D880" s="1" t="s">
        <v>35</v>
      </c>
      <c r="E880" s="1" t="s">
        <v>16</v>
      </c>
      <c r="F880" s="1" t="s">
        <v>82</v>
      </c>
      <c r="G880" s="1" t="s">
        <v>85</v>
      </c>
      <c r="H880" s="1" t="s">
        <v>58</v>
      </c>
      <c r="I880" s="1">
        <v>3</v>
      </c>
      <c r="J880" s="1">
        <v>1539</v>
      </c>
      <c r="K880" s="1">
        <v>0.1</v>
      </c>
      <c r="L880" s="1">
        <v>4155.3</v>
      </c>
      <c r="M880" s="1" t="str">
        <f t="shared" si="26"/>
        <v>Corporate Sales</v>
      </c>
      <c r="N880" s="1">
        <f t="shared" si="27"/>
        <v>421.2</v>
      </c>
    </row>
    <row r="881" spans="1:14" x14ac:dyDescent="0.3">
      <c r="A881" s="1" t="s">
        <v>1382</v>
      </c>
      <c r="B881" s="1" t="s">
        <v>1380</v>
      </c>
      <c r="C881" s="1" t="s">
        <v>14</v>
      </c>
      <c r="D881" s="1" t="s">
        <v>22</v>
      </c>
      <c r="E881" s="1" t="s">
        <v>16</v>
      </c>
      <c r="F881" s="1" t="s">
        <v>29</v>
      </c>
      <c r="G881" s="1" t="s">
        <v>55</v>
      </c>
      <c r="H881" s="1" t="s">
        <v>19</v>
      </c>
      <c r="I881" s="1">
        <v>3</v>
      </c>
      <c r="J881" s="1">
        <v>34.200000000000003</v>
      </c>
      <c r="K881" s="1">
        <v>0</v>
      </c>
      <c r="L881" s="1">
        <v>102.6</v>
      </c>
      <c r="M881" s="1" t="str">
        <f t="shared" si="26"/>
        <v>Retail Store</v>
      </c>
      <c r="N881" s="1">
        <f t="shared" si="27"/>
        <v>16.2</v>
      </c>
    </row>
    <row r="882" spans="1:14" x14ac:dyDescent="0.3">
      <c r="A882" s="1" t="s">
        <v>1383</v>
      </c>
      <c r="B882" s="1" t="s">
        <v>1380</v>
      </c>
      <c r="C882" s="1" t="s">
        <v>61</v>
      </c>
      <c r="D882" s="1" t="s">
        <v>27</v>
      </c>
      <c r="E882" s="1" t="s">
        <v>16</v>
      </c>
      <c r="F882" s="1" t="s">
        <v>36</v>
      </c>
      <c r="G882" s="1" t="s">
        <v>70</v>
      </c>
      <c r="H882" s="1" t="s">
        <v>112</v>
      </c>
      <c r="I882" s="1">
        <v>3</v>
      </c>
      <c r="J882" s="1">
        <v>542.88</v>
      </c>
      <c r="K882" s="1">
        <v>0.2</v>
      </c>
      <c r="L882" s="1">
        <v>1302.9100000000001</v>
      </c>
      <c r="M882" s="1" t="str">
        <f t="shared" si="26"/>
        <v>Online</v>
      </c>
      <c r="N882" s="1">
        <f t="shared" si="27"/>
        <v>62.01</v>
      </c>
    </row>
    <row r="883" spans="1:14" x14ac:dyDescent="0.3">
      <c r="A883" s="1" t="s">
        <v>1384</v>
      </c>
      <c r="B883" s="1" t="s">
        <v>1380</v>
      </c>
      <c r="C883" s="1" t="s">
        <v>21</v>
      </c>
      <c r="D883" s="1" t="s">
        <v>22</v>
      </c>
      <c r="E883" s="1" t="s">
        <v>28</v>
      </c>
      <c r="F883" s="1" t="s">
        <v>29</v>
      </c>
      <c r="G883" s="1" t="s">
        <v>30</v>
      </c>
      <c r="H883" s="1" t="s">
        <v>25</v>
      </c>
      <c r="I883" s="1">
        <v>2</v>
      </c>
      <c r="J883" s="1">
        <v>49.5</v>
      </c>
      <c r="K883" s="1">
        <v>0.1</v>
      </c>
      <c r="L883" s="1">
        <v>89.1</v>
      </c>
      <c r="M883" s="1" t="str">
        <f t="shared" si="26"/>
        <v>Marketplace</v>
      </c>
      <c r="N883" s="1">
        <f t="shared" si="27"/>
        <v>405</v>
      </c>
    </row>
    <row r="884" spans="1:14" x14ac:dyDescent="0.3">
      <c r="A884" s="1" t="s">
        <v>1385</v>
      </c>
      <c r="B884" s="1" t="s">
        <v>1380</v>
      </c>
      <c r="C884" s="1" t="s">
        <v>54</v>
      </c>
      <c r="D884" s="1" t="s">
        <v>27</v>
      </c>
      <c r="E884" s="1" t="s">
        <v>16</v>
      </c>
      <c r="F884" s="1" t="s">
        <v>36</v>
      </c>
      <c r="G884" s="1" t="s">
        <v>119</v>
      </c>
      <c r="H884" s="1" t="s">
        <v>71</v>
      </c>
      <c r="I884" s="1">
        <v>4</v>
      </c>
      <c r="J884" s="1">
        <v>642.6</v>
      </c>
      <c r="K884" s="1">
        <v>0.03</v>
      </c>
      <c r="L884" s="1">
        <v>2493.29</v>
      </c>
      <c r="M884" s="1" t="str">
        <f t="shared" si="26"/>
        <v>Online</v>
      </c>
      <c r="N884" s="1">
        <f t="shared" si="27"/>
        <v>267.12</v>
      </c>
    </row>
    <row r="885" spans="1:14" x14ac:dyDescent="0.3">
      <c r="A885" s="1" t="s">
        <v>1386</v>
      </c>
      <c r="B885" s="1" t="s">
        <v>1380</v>
      </c>
      <c r="C885" s="1" t="s">
        <v>14</v>
      </c>
      <c r="D885" s="1" t="s">
        <v>27</v>
      </c>
      <c r="E885" s="1" t="s">
        <v>16</v>
      </c>
      <c r="F885" s="1" t="s">
        <v>82</v>
      </c>
      <c r="G885" s="1" t="s">
        <v>150</v>
      </c>
      <c r="H885" s="1" t="s">
        <v>40</v>
      </c>
      <c r="I885" s="1">
        <v>2</v>
      </c>
      <c r="J885" s="1">
        <v>2880</v>
      </c>
      <c r="K885" s="1">
        <v>0.05</v>
      </c>
      <c r="L885" s="1">
        <v>5472</v>
      </c>
      <c r="M885" s="1" t="str">
        <f t="shared" si="26"/>
        <v>Online</v>
      </c>
      <c r="N885" s="1">
        <f t="shared" si="27"/>
        <v>16.2</v>
      </c>
    </row>
    <row r="886" spans="1:14" x14ac:dyDescent="0.3">
      <c r="A886" s="1" t="s">
        <v>1387</v>
      </c>
      <c r="B886" s="1" t="s">
        <v>1380</v>
      </c>
      <c r="C886" s="1" t="s">
        <v>61</v>
      </c>
      <c r="D886" s="1" t="s">
        <v>35</v>
      </c>
      <c r="E886" s="1" t="s">
        <v>28</v>
      </c>
      <c r="F886" s="1" t="s">
        <v>36</v>
      </c>
      <c r="G886" s="1" t="s">
        <v>119</v>
      </c>
      <c r="H886" s="1" t="s">
        <v>112</v>
      </c>
      <c r="I886" s="1">
        <v>2</v>
      </c>
      <c r="J886" s="1">
        <v>655.20000000000005</v>
      </c>
      <c r="K886" s="1">
        <v>0.08</v>
      </c>
      <c r="L886" s="1">
        <v>1205.57</v>
      </c>
      <c r="M886" s="1" t="str">
        <f t="shared" si="26"/>
        <v>Online</v>
      </c>
      <c r="N886" s="1">
        <f t="shared" si="27"/>
        <v>62.01</v>
      </c>
    </row>
    <row r="887" spans="1:14" x14ac:dyDescent="0.3">
      <c r="A887" s="1" t="s">
        <v>1388</v>
      </c>
      <c r="B887" s="1" t="s">
        <v>1380</v>
      </c>
      <c r="C887" s="1" t="s">
        <v>21</v>
      </c>
      <c r="D887" s="1" t="s">
        <v>15</v>
      </c>
      <c r="E887" s="1" t="s">
        <v>28</v>
      </c>
      <c r="F887" s="1" t="s">
        <v>29</v>
      </c>
      <c r="G887" s="1" t="s">
        <v>51</v>
      </c>
      <c r="H887" s="1" t="s">
        <v>44</v>
      </c>
      <c r="I887" s="1">
        <v>4</v>
      </c>
      <c r="J887" s="1">
        <v>39.29</v>
      </c>
      <c r="K887" s="1">
        <v>0.08</v>
      </c>
      <c r="L887" s="1">
        <v>144.57</v>
      </c>
      <c r="M887" s="1" t="str">
        <f t="shared" si="26"/>
        <v>Retail Store</v>
      </c>
      <c r="N887" s="1">
        <f t="shared" si="27"/>
        <v>405</v>
      </c>
    </row>
    <row r="888" spans="1:14" x14ac:dyDescent="0.3">
      <c r="A888" s="1" t="s">
        <v>1389</v>
      </c>
      <c r="B888" s="1" t="s">
        <v>1380</v>
      </c>
      <c r="C888" s="1" t="s">
        <v>61</v>
      </c>
      <c r="D888" s="1" t="s">
        <v>15</v>
      </c>
      <c r="E888" s="1" t="s">
        <v>16</v>
      </c>
      <c r="F888" s="1" t="s">
        <v>29</v>
      </c>
      <c r="G888" s="1" t="s">
        <v>51</v>
      </c>
      <c r="H888" s="1" t="s">
        <v>73</v>
      </c>
      <c r="I888" s="1">
        <v>3</v>
      </c>
      <c r="J888" s="1">
        <v>40.5</v>
      </c>
      <c r="K888" s="1">
        <v>0.1</v>
      </c>
      <c r="L888" s="1">
        <v>109.35</v>
      </c>
      <c r="M888" s="1" t="str">
        <f t="shared" si="26"/>
        <v>Online</v>
      </c>
      <c r="N888" s="1">
        <f t="shared" si="27"/>
        <v>62.01</v>
      </c>
    </row>
    <row r="889" spans="1:14" x14ac:dyDescent="0.3">
      <c r="A889" s="1" t="s">
        <v>1390</v>
      </c>
      <c r="B889" s="1" t="s">
        <v>1380</v>
      </c>
      <c r="C889" s="1" t="s">
        <v>21</v>
      </c>
      <c r="D889" s="1" t="s">
        <v>27</v>
      </c>
      <c r="E889" s="1" t="s">
        <v>16</v>
      </c>
      <c r="F889" s="1" t="s">
        <v>23</v>
      </c>
      <c r="G889" s="1" t="s">
        <v>142</v>
      </c>
      <c r="H889" s="1" t="s">
        <v>44</v>
      </c>
      <c r="I889" s="1">
        <v>3</v>
      </c>
      <c r="J889" s="1">
        <v>17.170000000000002</v>
      </c>
      <c r="K889" s="1">
        <v>0.2</v>
      </c>
      <c r="L889" s="1">
        <v>41.21</v>
      </c>
      <c r="M889" s="1" t="str">
        <f t="shared" si="26"/>
        <v>Retail Store</v>
      </c>
      <c r="N889" s="1">
        <f t="shared" si="27"/>
        <v>405</v>
      </c>
    </row>
    <row r="890" spans="1:14" x14ac:dyDescent="0.3">
      <c r="A890" s="1" t="s">
        <v>1391</v>
      </c>
      <c r="B890" s="1" t="s">
        <v>1380</v>
      </c>
      <c r="C890" s="1" t="s">
        <v>14</v>
      </c>
      <c r="D890" s="1" t="s">
        <v>35</v>
      </c>
      <c r="E890" s="1" t="s">
        <v>16</v>
      </c>
      <c r="F890" s="1" t="s">
        <v>36</v>
      </c>
      <c r="G890" s="1" t="s">
        <v>77</v>
      </c>
      <c r="H890" s="1" t="s">
        <v>40</v>
      </c>
      <c r="I890" s="1">
        <v>4</v>
      </c>
      <c r="J890" s="1">
        <v>1350</v>
      </c>
      <c r="K890" s="1">
        <v>0.05</v>
      </c>
      <c r="L890" s="1">
        <v>5130</v>
      </c>
      <c r="M890" s="1" t="str">
        <f t="shared" si="26"/>
        <v>Online</v>
      </c>
      <c r="N890" s="1">
        <f t="shared" si="27"/>
        <v>16.2</v>
      </c>
    </row>
    <row r="891" spans="1:14" x14ac:dyDescent="0.3">
      <c r="A891" s="1" t="s">
        <v>1392</v>
      </c>
      <c r="B891" s="1" t="s">
        <v>1380</v>
      </c>
      <c r="C891" s="1" t="s">
        <v>61</v>
      </c>
      <c r="D891" s="1" t="s">
        <v>15</v>
      </c>
      <c r="E891" s="1" t="s">
        <v>16</v>
      </c>
      <c r="F891" s="1" t="s">
        <v>17</v>
      </c>
      <c r="G891" s="1" t="s">
        <v>18</v>
      </c>
      <c r="H891" s="1" t="s">
        <v>63</v>
      </c>
      <c r="I891" s="1">
        <v>3</v>
      </c>
      <c r="J891" s="1">
        <v>81</v>
      </c>
      <c r="K891" s="1">
        <v>0.1</v>
      </c>
      <c r="L891" s="1">
        <v>218.7</v>
      </c>
      <c r="M891" s="1" t="str">
        <f t="shared" si="26"/>
        <v>Retail Store</v>
      </c>
      <c r="N891" s="1">
        <f t="shared" si="27"/>
        <v>62.01</v>
      </c>
    </row>
    <row r="892" spans="1:14" x14ac:dyDescent="0.3">
      <c r="A892" s="1" t="s">
        <v>1393</v>
      </c>
      <c r="B892" s="1" t="s">
        <v>1380</v>
      </c>
      <c r="C892" s="1" t="s">
        <v>14</v>
      </c>
      <c r="D892" s="1" t="s">
        <v>22</v>
      </c>
      <c r="E892" s="1" t="s">
        <v>16</v>
      </c>
      <c r="F892" s="1" t="s">
        <v>29</v>
      </c>
      <c r="G892" s="1" t="s">
        <v>88</v>
      </c>
      <c r="H892" s="1" t="s">
        <v>19</v>
      </c>
      <c r="I892" s="1">
        <v>8</v>
      </c>
      <c r="J892" s="1">
        <v>58.5</v>
      </c>
      <c r="K892" s="1">
        <v>0</v>
      </c>
      <c r="L892" s="1">
        <v>468</v>
      </c>
      <c r="M892" s="1" t="str">
        <f t="shared" si="26"/>
        <v>Retail Store</v>
      </c>
      <c r="N892" s="1">
        <f t="shared" si="27"/>
        <v>16.2</v>
      </c>
    </row>
    <row r="893" spans="1:14" x14ac:dyDescent="0.3">
      <c r="A893" s="1" t="s">
        <v>1371</v>
      </c>
      <c r="B893" s="1" t="s">
        <v>1372</v>
      </c>
      <c r="C893" s="1" t="s">
        <v>14</v>
      </c>
      <c r="D893" s="1" t="s">
        <v>27</v>
      </c>
      <c r="E893" s="1" t="s">
        <v>16</v>
      </c>
      <c r="F893" s="1" t="s">
        <v>29</v>
      </c>
      <c r="G893" s="1" t="s">
        <v>30</v>
      </c>
      <c r="H893" s="1" t="s">
        <v>40</v>
      </c>
      <c r="I893" s="1">
        <v>3</v>
      </c>
      <c r="J893" s="1">
        <v>51.48</v>
      </c>
      <c r="K893" s="1">
        <v>0.1</v>
      </c>
      <c r="L893" s="1">
        <v>139</v>
      </c>
      <c r="M893" s="1" t="str">
        <f t="shared" si="26"/>
        <v>Online</v>
      </c>
      <c r="N893" s="1">
        <f t="shared" si="27"/>
        <v>16.2</v>
      </c>
    </row>
    <row r="894" spans="1:14" x14ac:dyDescent="0.3">
      <c r="A894" s="1" t="s">
        <v>1373</v>
      </c>
      <c r="B894" s="1" t="s">
        <v>1372</v>
      </c>
      <c r="C894" s="1" t="s">
        <v>47</v>
      </c>
      <c r="D894" s="1" t="s">
        <v>22</v>
      </c>
      <c r="E894" s="1" t="s">
        <v>28</v>
      </c>
      <c r="F894" s="1" t="s">
        <v>17</v>
      </c>
      <c r="G894" s="1" t="s">
        <v>62</v>
      </c>
      <c r="H894" s="1" t="s">
        <v>58</v>
      </c>
      <c r="I894" s="1">
        <v>8</v>
      </c>
      <c r="J894" s="1">
        <v>56.16</v>
      </c>
      <c r="K894" s="1">
        <v>0.1</v>
      </c>
      <c r="L894" s="1">
        <v>404.35</v>
      </c>
      <c r="M894" s="1" t="str">
        <f t="shared" si="26"/>
        <v>Corporate Sales</v>
      </c>
      <c r="N894" s="1">
        <f t="shared" si="27"/>
        <v>421.2</v>
      </c>
    </row>
    <row r="895" spans="1:14" x14ac:dyDescent="0.3">
      <c r="A895" s="1" t="s">
        <v>1374</v>
      </c>
      <c r="B895" s="1" t="s">
        <v>1372</v>
      </c>
      <c r="C895" s="1" t="s">
        <v>21</v>
      </c>
      <c r="D895" s="1" t="s">
        <v>22</v>
      </c>
      <c r="E895" s="1" t="s">
        <v>16</v>
      </c>
      <c r="F895" s="1" t="s">
        <v>23</v>
      </c>
      <c r="G895" s="1" t="s">
        <v>178</v>
      </c>
      <c r="H895" s="1" t="s">
        <v>44</v>
      </c>
      <c r="I895" s="1">
        <v>3</v>
      </c>
      <c r="J895" s="1">
        <v>31.5</v>
      </c>
      <c r="K895" s="1">
        <v>0.1</v>
      </c>
      <c r="L895" s="1">
        <v>85.05</v>
      </c>
      <c r="M895" s="1" t="str">
        <f t="shared" si="26"/>
        <v>Retail Store</v>
      </c>
      <c r="N895" s="1">
        <f t="shared" si="27"/>
        <v>405</v>
      </c>
    </row>
    <row r="896" spans="1:14" x14ac:dyDescent="0.3">
      <c r="A896" s="1" t="s">
        <v>1375</v>
      </c>
      <c r="B896" s="1" t="s">
        <v>1372</v>
      </c>
      <c r="C896" s="1" t="s">
        <v>61</v>
      </c>
      <c r="D896" s="1" t="s">
        <v>35</v>
      </c>
      <c r="E896" s="1" t="s">
        <v>28</v>
      </c>
      <c r="F896" s="1" t="s">
        <v>36</v>
      </c>
      <c r="G896" s="1" t="s">
        <v>37</v>
      </c>
      <c r="H896" s="1" t="s">
        <v>73</v>
      </c>
      <c r="I896" s="1">
        <v>5</v>
      </c>
      <c r="J896" s="1">
        <v>742.05</v>
      </c>
      <c r="K896" s="1">
        <v>0.03</v>
      </c>
      <c r="L896" s="1">
        <v>3598.94</v>
      </c>
      <c r="M896" s="1" t="str">
        <f t="shared" si="26"/>
        <v>Online</v>
      </c>
      <c r="N896" s="1">
        <f t="shared" si="27"/>
        <v>62.01</v>
      </c>
    </row>
    <row r="897" spans="1:14" x14ac:dyDescent="0.3">
      <c r="A897" s="1" t="s">
        <v>1376</v>
      </c>
      <c r="B897" s="1" t="s">
        <v>1372</v>
      </c>
      <c r="C897" s="1" t="s">
        <v>61</v>
      </c>
      <c r="D897" s="1" t="s">
        <v>27</v>
      </c>
      <c r="E897" s="1" t="s">
        <v>16</v>
      </c>
      <c r="F897" s="1" t="s">
        <v>82</v>
      </c>
      <c r="G897" s="1" t="s">
        <v>114</v>
      </c>
      <c r="H897" s="1" t="s">
        <v>112</v>
      </c>
      <c r="I897" s="1">
        <v>2</v>
      </c>
      <c r="J897" s="1">
        <v>2137.5</v>
      </c>
      <c r="K897" s="1">
        <v>0.1</v>
      </c>
      <c r="L897" s="1">
        <v>3847.5</v>
      </c>
      <c r="M897" s="1" t="str">
        <f t="shared" si="26"/>
        <v>Online</v>
      </c>
      <c r="N897" s="1">
        <f t="shared" si="27"/>
        <v>62.01</v>
      </c>
    </row>
    <row r="898" spans="1:14" x14ac:dyDescent="0.3">
      <c r="A898" s="1" t="s">
        <v>1377</v>
      </c>
      <c r="B898" s="1" t="s">
        <v>1372</v>
      </c>
      <c r="C898" s="1" t="s">
        <v>14</v>
      </c>
      <c r="D898" s="1" t="s">
        <v>15</v>
      </c>
      <c r="E898" s="1" t="s">
        <v>16</v>
      </c>
      <c r="F898" s="1" t="s">
        <v>42</v>
      </c>
      <c r="G898" s="1" t="s">
        <v>67</v>
      </c>
      <c r="H898" s="1" t="s">
        <v>19</v>
      </c>
      <c r="I898" s="1">
        <v>5</v>
      </c>
      <c r="J898" s="1">
        <v>252</v>
      </c>
      <c r="K898" s="1">
        <v>0.05</v>
      </c>
      <c r="L898" s="1">
        <v>1197</v>
      </c>
      <c r="M898" s="1" t="str">
        <f t="shared" ref="M898:M961" si="28">INDEX(D:D,MATCH(H898,H:H,0))</f>
        <v>Retail Store</v>
      </c>
      <c r="N898" s="1">
        <f t="shared" ref="N898:N961" si="29">VLOOKUP(C:C,C:J,8,FALSE)</f>
        <v>16.2</v>
      </c>
    </row>
    <row r="899" spans="1:14" x14ac:dyDescent="0.3">
      <c r="A899" s="1" t="s">
        <v>1378</v>
      </c>
      <c r="B899" s="1" t="s">
        <v>1372</v>
      </c>
      <c r="C899" s="1" t="s">
        <v>14</v>
      </c>
      <c r="D899" s="1" t="s">
        <v>15</v>
      </c>
      <c r="E899" s="1" t="s">
        <v>16</v>
      </c>
      <c r="F899" s="1" t="s">
        <v>82</v>
      </c>
      <c r="G899" s="1" t="s">
        <v>83</v>
      </c>
      <c r="H899" s="1" t="s">
        <v>19</v>
      </c>
      <c r="I899" s="1">
        <v>4</v>
      </c>
      <c r="J899" s="1">
        <v>4006.8</v>
      </c>
      <c r="K899" s="1">
        <v>0.05</v>
      </c>
      <c r="L899" s="1">
        <v>15225.84</v>
      </c>
      <c r="M899" s="1" t="str">
        <f t="shared" si="28"/>
        <v>Retail Store</v>
      </c>
      <c r="N899" s="1">
        <f t="shared" si="29"/>
        <v>16.2</v>
      </c>
    </row>
    <row r="900" spans="1:14" x14ac:dyDescent="0.3">
      <c r="A900" s="1" t="s">
        <v>1366</v>
      </c>
      <c r="B900" s="1" t="s">
        <v>1367</v>
      </c>
      <c r="C900" s="1" t="s">
        <v>47</v>
      </c>
      <c r="D900" s="1" t="s">
        <v>15</v>
      </c>
      <c r="E900" s="1" t="s">
        <v>28</v>
      </c>
      <c r="F900" s="1" t="s">
        <v>17</v>
      </c>
      <c r="G900" s="1" t="s">
        <v>98</v>
      </c>
      <c r="H900" s="1" t="s">
        <v>58</v>
      </c>
      <c r="I900" s="1">
        <v>2</v>
      </c>
      <c r="J900" s="1">
        <v>405</v>
      </c>
      <c r="K900" s="1">
        <v>0.1</v>
      </c>
      <c r="L900" s="1">
        <v>729</v>
      </c>
      <c r="M900" s="1" t="str">
        <f t="shared" si="28"/>
        <v>Corporate Sales</v>
      </c>
      <c r="N900" s="1">
        <f t="shared" si="29"/>
        <v>421.2</v>
      </c>
    </row>
    <row r="901" spans="1:14" x14ac:dyDescent="0.3">
      <c r="A901" s="1" t="s">
        <v>1368</v>
      </c>
      <c r="B901" s="1" t="s">
        <v>1367</v>
      </c>
      <c r="C901" s="1" t="s">
        <v>47</v>
      </c>
      <c r="D901" s="1" t="s">
        <v>15</v>
      </c>
      <c r="E901" s="1" t="s">
        <v>28</v>
      </c>
      <c r="F901" s="1" t="s">
        <v>29</v>
      </c>
      <c r="G901" s="1" t="s">
        <v>33</v>
      </c>
      <c r="H901" s="1" t="s">
        <v>78</v>
      </c>
      <c r="I901" s="1">
        <v>4</v>
      </c>
      <c r="J901" s="1">
        <v>13.5</v>
      </c>
      <c r="K901" s="1">
        <v>0.03</v>
      </c>
      <c r="L901" s="1">
        <v>52.38</v>
      </c>
      <c r="M901" s="1" t="str">
        <f t="shared" si="28"/>
        <v>Retail Store</v>
      </c>
      <c r="N901" s="1">
        <f t="shared" si="29"/>
        <v>421.2</v>
      </c>
    </row>
    <row r="902" spans="1:14" x14ac:dyDescent="0.3">
      <c r="A902" s="1" t="s">
        <v>1369</v>
      </c>
      <c r="B902" s="1" t="s">
        <v>1367</v>
      </c>
      <c r="C902" s="1" t="s">
        <v>14</v>
      </c>
      <c r="D902" s="1" t="s">
        <v>22</v>
      </c>
      <c r="E902" s="1" t="s">
        <v>16</v>
      </c>
      <c r="F902" s="1" t="s">
        <v>36</v>
      </c>
      <c r="G902" s="1" t="s">
        <v>70</v>
      </c>
      <c r="H902" s="1" t="s">
        <v>31</v>
      </c>
      <c r="I902" s="1">
        <v>2</v>
      </c>
      <c r="J902" s="1">
        <v>542.88</v>
      </c>
      <c r="K902" s="1">
        <v>0</v>
      </c>
      <c r="L902" s="1">
        <v>1085.76</v>
      </c>
      <c r="M902" s="1" t="str">
        <f t="shared" si="28"/>
        <v>Online</v>
      </c>
      <c r="N902" s="1">
        <f t="shared" si="29"/>
        <v>16.2</v>
      </c>
    </row>
    <row r="903" spans="1:14" x14ac:dyDescent="0.3">
      <c r="A903" s="1" t="s">
        <v>1370</v>
      </c>
      <c r="B903" s="1" t="s">
        <v>1367</v>
      </c>
      <c r="C903" s="1" t="s">
        <v>54</v>
      </c>
      <c r="D903" s="1" t="s">
        <v>27</v>
      </c>
      <c r="E903" s="1" t="s">
        <v>28</v>
      </c>
      <c r="F903" s="1" t="s">
        <v>42</v>
      </c>
      <c r="G903" s="1" t="s">
        <v>43</v>
      </c>
      <c r="H903" s="1" t="s">
        <v>71</v>
      </c>
      <c r="I903" s="1">
        <v>3</v>
      </c>
      <c r="J903" s="1">
        <v>162</v>
      </c>
      <c r="K903" s="1">
        <v>0</v>
      </c>
      <c r="L903" s="1">
        <v>486</v>
      </c>
      <c r="M903" s="1" t="str">
        <f t="shared" si="28"/>
        <v>Online</v>
      </c>
      <c r="N903" s="1">
        <f t="shared" si="29"/>
        <v>267.12</v>
      </c>
    </row>
    <row r="904" spans="1:14" x14ac:dyDescent="0.3">
      <c r="A904" s="1" t="s">
        <v>1359</v>
      </c>
      <c r="B904" s="1" t="s">
        <v>1360</v>
      </c>
      <c r="C904" s="1" t="s">
        <v>21</v>
      </c>
      <c r="D904" s="1" t="s">
        <v>22</v>
      </c>
      <c r="E904" s="1" t="s">
        <v>28</v>
      </c>
      <c r="F904" s="1" t="s">
        <v>29</v>
      </c>
      <c r="G904" s="1" t="s">
        <v>51</v>
      </c>
      <c r="H904" s="1" t="s">
        <v>86</v>
      </c>
      <c r="I904" s="1">
        <v>2</v>
      </c>
      <c r="J904" s="1">
        <v>40.5</v>
      </c>
      <c r="K904" s="1">
        <v>0.08</v>
      </c>
      <c r="L904" s="1">
        <v>74.52</v>
      </c>
      <c r="M904" s="1" t="str">
        <f t="shared" si="28"/>
        <v>Online</v>
      </c>
      <c r="N904" s="1">
        <f t="shared" si="29"/>
        <v>405</v>
      </c>
    </row>
    <row r="905" spans="1:14" x14ac:dyDescent="0.3">
      <c r="A905" s="1" t="s">
        <v>1361</v>
      </c>
      <c r="B905" s="1" t="s">
        <v>1360</v>
      </c>
      <c r="C905" s="1" t="s">
        <v>61</v>
      </c>
      <c r="D905" s="1" t="s">
        <v>22</v>
      </c>
      <c r="E905" s="1" t="s">
        <v>16</v>
      </c>
      <c r="F905" s="1" t="s">
        <v>17</v>
      </c>
      <c r="G905" s="1" t="s">
        <v>189</v>
      </c>
      <c r="H905" s="1" t="s">
        <v>112</v>
      </c>
      <c r="I905" s="1">
        <v>2</v>
      </c>
      <c r="J905" s="1">
        <v>288</v>
      </c>
      <c r="K905" s="1">
        <v>0.03</v>
      </c>
      <c r="L905" s="1">
        <v>558.72</v>
      </c>
      <c r="M905" s="1" t="str">
        <f t="shared" si="28"/>
        <v>Online</v>
      </c>
      <c r="N905" s="1">
        <f t="shared" si="29"/>
        <v>62.01</v>
      </c>
    </row>
    <row r="906" spans="1:14" x14ac:dyDescent="0.3">
      <c r="A906" s="1" t="s">
        <v>1362</v>
      </c>
      <c r="B906" s="1" t="s">
        <v>1360</v>
      </c>
      <c r="C906" s="1" t="s">
        <v>54</v>
      </c>
      <c r="D906" s="1" t="s">
        <v>15</v>
      </c>
      <c r="E906" s="1" t="s">
        <v>16</v>
      </c>
      <c r="F906" s="1" t="s">
        <v>82</v>
      </c>
      <c r="G906" s="1" t="s">
        <v>150</v>
      </c>
      <c r="H906" s="1" t="s">
        <v>80</v>
      </c>
      <c r="I906" s="1">
        <v>4</v>
      </c>
      <c r="J906" s="1">
        <v>2937.6</v>
      </c>
      <c r="K906" s="1">
        <v>0.03</v>
      </c>
      <c r="L906" s="1">
        <v>11397.89</v>
      </c>
      <c r="M906" s="1" t="str">
        <f t="shared" si="28"/>
        <v>Marketplace</v>
      </c>
      <c r="N906" s="1">
        <f t="shared" si="29"/>
        <v>267.12</v>
      </c>
    </row>
    <row r="907" spans="1:14" x14ac:dyDescent="0.3">
      <c r="A907" s="1" t="s">
        <v>1363</v>
      </c>
      <c r="B907" s="1" t="s">
        <v>1360</v>
      </c>
      <c r="C907" s="1" t="s">
        <v>14</v>
      </c>
      <c r="D907" s="1" t="s">
        <v>27</v>
      </c>
      <c r="E907" s="1" t="s">
        <v>16</v>
      </c>
      <c r="F907" s="1" t="s">
        <v>36</v>
      </c>
      <c r="G907" s="1" t="s">
        <v>119</v>
      </c>
      <c r="H907" s="1" t="s">
        <v>19</v>
      </c>
      <c r="I907" s="1">
        <v>3</v>
      </c>
      <c r="J907" s="1">
        <v>630</v>
      </c>
      <c r="K907" s="1">
        <v>0.05</v>
      </c>
      <c r="L907" s="1">
        <v>1795.5</v>
      </c>
      <c r="M907" s="1" t="str">
        <f t="shared" si="28"/>
        <v>Retail Store</v>
      </c>
      <c r="N907" s="1">
        <f t="shared" si="29"/>
        <v>16.2</v>
      </c>
    </row>
    <row r="908" spans="1:14" x14ac:dyDescent="0.3">
      <c r="A908" s="1" t="s">
        <v>1364</v>
      </c>
      <c r="B908" s="1" t="s">
        <v>1360</v>
      </c>
      <c r="C908" s="1" t="s">
        <v>54</v>
      </c>
      <c r="D908" s="1" t="s">
        <v>22</v>
      </c>
      <c r="E908" s="1" t="s">
        <v>28</v>
      </c>
      <c r="F908" s="1" t="s">
        <v>29</v>
      </c>
      <c r="G908" s="1" t="s">
        <v>55</v>
      </c>
      <c r="H908" s="1" t="s">
        <v>56</v>
      </c>
      <c r="I908" s="1">
        <v>4</v>
      </c>
      <c r="J908" s="1">
        <v>34.880000000000003</v>
      </c>
      <c r="K908" s="1">
        <v>0</v>
      </c>
      <c r="L908" s="1">
        <v>139.54</v>
      </c>
      <c r="M908" s="1" t="str">
        <f t="shared" si="28"/>
        <v>Online</v>
      </c>
      <c r="N908" s="1">
        <f t="shared" si="29"/>
        <v>267.12</v>
      </c>
    </row>
    <row r="909" spans="1:14" x14ac:dyDescent="0.3">
      <c r="A909" s="1" t="s">
        <v>1365</v>
      </c>
      <c r="B909" s="1" t="s">
        <v>1360</v>
      </c>
      <c r="C909" s="1" t="s">
        <v>14</v>
      </c>
      <c r="D909" s="1" t="s">
        <v>35</v>
      </c>
      <c r="E909" s="1" t="s">
        <v>16</v>
      </c>
      <c r="F909" s="1" t="s">
        <v>36</v>
      </c>
      <c r="G909" s="1" t="s">
        <v>70</v>
      </c>
      <c r="H909" s="1" t="s">
        <v>19</v>
      </c>
      <c r="I909" s="1">
        <v>2</v>
      </c>
      <c r="J909" s="1">
        <v>522</v>
      </c>
      <c r="K909" s="1">
        <v>0.05</v>
      </c>
      <c r="L909" s="1">
        <v>991.8</v>
      </c>
      <c r="M909" s="1" t="str">
        <f t="shared" si="28"/>
        <v>Retail Store</v>
      </c>
      <c r="N909" s="1">
        <f t="shared" si="29"/>
        <v>16.2</v>
      </c>
    </row>
    <row r="910" spans="1:14" x14ac:dyDescent="0.3">
      <c r="A910" s="1" t="s">
        <v>1356</v>
      </c>
      <c r="B910" s="1" t="s">
        <v>1357</v>
      </c>
      <c r="C910" s="1" t="s">
        <v>54</v>
      </c>
      <c r="D910" s="1" t="s">
        <v>35</v>
      </c>
      <c r="E910" s="1" t="s">
        <v>16</v>
      </c>
      <c r="F910" s="1" t="s">
        <v>36</v>
      </c>
      <c r="G910" s="1" t="s">
        <v>77</v>
      </c>
      <c r="H910" s="1" t="s">
        <v>71</v>
      </c>
      <c r="I910" s="1">
        <v>2</v>
      </c>
      <c r="J910" s="1">
        <v>1431</v>
      </c>
      <c r="K910" s="1">
        <v>0.15</v>
      </c>
      <c r="L910" s="1">
        <v>2432.6999999999998</v>
      </c>
      <c r="M910" s="1" t="str">
        <f t="shared" si="28"/>
        <v>Online</v>
      </c>
      <c r="N910" s="1">
        <f t="shared" si="29"/>
        <v>267.12</v>
      </c>
    </row>
    <row r="911" spans="1:14" x14ac:dyDescent="0.3">
      <c r="A911" s="1" t="s">
        <v>1358</v>
      </c>
      <c r="B911" s="1" t="s">
        <v>1357</v>
      </c>
      <c r="C911" s="1" t="s">
        <v>47</v>
      </c>
      <c r="D911" s="1" t="s">
        <v>35</v>
      </c>
      <c r="E911" s="1" t="s">
        <v>16</v>
      </c>
      <c r="F911" s="1" t="s">
        <v>42</v>
      </c>
      <c r="G911" s="1" t="s">
        <v>67</v>
      </c>
      <c r="H911" s="1" t="s">
        <v>58</v>
      </c>
      <c r="I911" s="1">
        <v>3</v>
      </c>
      <c r="J911" s="1">
        <v>262.08</v>
      </c>
      <c r="K911" s="1">
        <v>0.1</v>
      </c>
      <c r="L911" s="1">
        <v>707.62</v>
      </c>
      <c r="M911" s="1" t="str">
        <f t="shared" si="28"/>
        <v>Corporate Sales</v>
      </c>
      <c r="N911" s="1">
        <f t="shared" si="29"/>
        <v>421.2</v>
      </c>
    </row>
    <row r="912" spans="1:14" x14ac:dyDescent="0.3">
      <c r="A912" s="1" t="s">
        <v>1347</v>
      </c>
      <c r="B912" s="1" t="s">
        <v>1348</v>
      </c>
      <c r="C912" s="1" t="s">
        <v>47</v>
      </c>
      <c r="D912" s="1" t="s">
        <v>22</v>
      </c>
      <c r="E912" s="1" t="s">
        <v>16</v>
      </c>
      <c r="F912" s="1" t="s">
        <v>82</v>
      </c>
      <c r="G912" s="1" t="s">
        <v>114</v>
      </c>
      <c r="H912" s="1" t="s">
        <v>58</v>
      </c>
      <c r="I912" s="1">
        <v>3</v>
      </c>
      <c r="J912" s="1">
        <v>2182.5</v>
      </c>
      <c r="K912" s="1">
        <v>0.03</v>
      </c>
      <c r="L912" s="1">
        <v>6351.08</v>
      </c>
      <c r="M912" s="1" t="str">
        <f t="shared" si="28"/>
        <v>Corporate Sales</v>
      </c>
      <c r="N912" s="1">
        <f t="shared" si="29"/>
        <v>421.2</v>
      </c>
    </row>
    <row r="913" spans="1:14" x14ac:dyDescent="0.3">
      <c r="A913" s="1" t="s">
        <v>1349</v>
      </c>
      <c r="B913" s="1" t="s">
        <v>1348</v>
      </c>
      <c r="C913" s="1" t="s">
        <v>54</v>
      </c>
      <c r="D913" s="1" t="s">
        <v>15</v>
      </c>
      <c r="E913" s="1" t="s">
        <v>28</v>
      </c>
      <c r="F913" s="1" t="s">
        <v>17</v>
      </c>
      <c r="G913" s="1" t="s">
        <v>62</v>
      </c>
      <c r="H913" s="1" t="s">
        <v>56</v>
      </c>
      <c r="I913" s="1">
        <v>4</v>
      </c>
      <c r="J913" s="1">
        <v>52.38</v>
      </c>
      <c r="K913" s="1">
        <v>0</v>
      </c>
      <c r="L913" s="1">
        <v>209.52</v>
      </c>
      <c r="M913" s="1" t="str">
        <f t="shared" si="28"/>
        <v>Online</v>
      </c>
      <c r="N913" s="1">
        <f t="shared" si="29"/>
        <v>267.12</v>
      </c>
    </row>
    <row r="914" spans="1:14" x14ac:dyDescent="0.3">
      <c r="A914" s="1" t="s">
        <v>1350</v>
      </c>
      <c r="B914" s="1" t="s">
        <v>1348</v>
      </c>
      <c r="C914" s="1" t="s">
        <v>54</v>
      </c>
      <c r="D914" s="1" t="s">
        <v>27</v>
      </c>
      <c r="E914" s="1" t="s">
        <v>16</v>
      </c>
      <c r="F914" s="1" t="s">
        <v>29</v>
      </c>
      <c r="G914" s="1" t="s">
        <v>30</v>
      </c>
      <c r="H914" s="1" t="s">
        <v>80</v>
      </c>
      <c r="I914" s="1">
        <v>6</v>
      </c>
      <c r="J914" s="1">
        <v>52.47</v>
      </c>
      <c r="K914" s="1">
        <v>0</v>
      </c>
      <c r="L914" s="1">
        <v>314.82</v>
      </c>
      <c r="M914" s="1" t="str">
        <f t="shared" si="28"/>
        <v>Marketplace</v>
      </c>
      <c r="N914" s="1">
        <f t="shared" si="29"/>
        <v>267.12</v>
      </c>
    </row>
    <row r="915" spans="1:14" x14ac:dyDescent="0.3">
      <c r="A915" s="1" t="s">
        <v>1351</v>
      </c>
      <c r="B915" s="1" t="s">
        <v>1348</v>
      </c>
      <c r="C915" s="1" t="s">
        <v>47</v>
      </c>
      <c r="D915" s="1" t="s">
        <v>27</v>
      </c>
      <c r="E915" s="1" t="s">
        <v>16</v>
      </c>
      <c r="F915" s="1" t="s">
        <v>23</v>
      </c>
      <c r="G915" s="1" t="s">
        <v>103</v>
      </c>
      <c r="H915" s="1" t="s">
        <v>58</v>
      </c>
      <c r="I915" s="1">
        <v>2</v>
      </c>
      <c r="J915" s="1">
        <v>10.8</v>
      </c>
      <c r="K915" s="1">
        <v>0</v>
      </c>
      <c r="L915" s="1">
        <v>21.6</v>
      </c>
      <c r="M915" s="1" t="str">
        <f t="shared" si="28"/>
        <v>Corporate Sales</v>
      </c>
      <c r="N915" s="1">
        <f t="shared" si="29"/>
        <v>421.2</v>
      </c>
    </row>
    <row r="916" spans="1:14" x14ac:dyDescent="0.3">
      <c r="A916" s="1" t="s">
        <v>1352</v>
      </c>
      <c r="B916" s="1" t="s">
        <v>1348</v>
      </c>
      <c r="C916" s="1" t="s">
        <v>21</v>
      </c>
      <c r="D916" s="1" t="s">
        <v>35</v>
      </c>
      <c r="E916" s="1" t="s">
        <v>28</v>
      </c>
      <c r="F916" s="1" t="s">
        <v>36</v>
      </c>
      <c r="G916" s="1" t="s">
        <v>119</v>
      </c>
      <c r="H916" s="1" t="s">
        <v>86</v>
      </c>
      <c r="I916" s="1">
        <v>4</v>
      </c>
      <c r="J916" s="1">
        <v>630</v>
      </c>
      <c r="K916" s="1">
        <v>0.03</v>
      </c>
      <c r="L916" s="1">
        <v>2444.4</v>
      </c>
      <c r="M916" s="1" t="str">
        <f t="shared" si="28"/>
        <v>Online</v>
      </c>
      <c r="N916" s="1">
        <f t="shared" si="29"/>
        <v>405</v>
      </c>
    </row>
    <row r="917" spans="1:14" x14ac:dyDescent="0.3">
      <c r="A917" s="1" t="s">
        <v>1353</v>
      </c>
      <c r="B917" s="1" t="s">
        <v>1348</v>
      </c>
      <c r="C917" s="1" t="s">
        <v>47</v>
      </c>
      <c r="D917" s="1" t="s">
        <v>15</v>
      </c>
      <c r="E917" s="1" t="s">
        <v>16</v>
      </c>
      <c r="F917" s="1" t="s">
        <v>36</v>
      </c>
      <c r="G917" s="1" t="s">
        <v>77</v>
      </c>
      <c r="H917" s="1" t="s">
        <v>58</v>
      </c>
      <c r="I917" s="1">
        <v>2</v>
      </c>
      <c r="J917" s="1">
        <v>1309.5</v>
      </c>
      <c r="K917" s="1">
        <v>0.2</v>
      </c>
      <c r="L917" s="1">
        <v>2095.1999999999998</v>
      </c>
      <c r="M917" s="1" t="str">
        <f t="shared" si="28"/>
        <v>Corporate Sales</v>
      </c>
      <c r="N917" s="1">
        <f t="shared" si="29"/>
        <v>421.2</v>
      </c>
    </row>
    <row r="918" spans="1:14" x14ac:dyDescent="0.3">
      <c r="A918" s="1" t="s">
        <v>1354</v>
      </c>
      <c r="B918" s="1" t="s">
        <v>1348</v>
      </c>
      <c r="C918" s="1" t="s">
        <v>14</v>
      </c>
      <c r="D918" s="1" t="s">
        <v>15</v>
      </c>
      <c r="E918" s="1" t="s">
        <v>28</v>
      </c>
      <c r="F918" s="1" t="s">
        <v>29</v>
      </c>
      <c r="G918" s="1" t="s">
        <v>55</v>
      </c>
      <c r="H918" s="1" t="s">
        <v>31</v>
      </c>
      <c r="I918" s="1">
        <v>7</v>
      </c>
      <c r="J918" s="1">
        <v>36.25</v>
      </c>
      <c r="K918" s="1">
        <v>0.05</v>
      </c>
      <c r="L918" s="1">
        <v>241.08</v>
      </c>
      <c r="M918" s="1" t="str">
        <f t="shared" si="28"/>
        <v>Online</v>
      </c>
      <c r="N918" s="1">
        <f t="shared" si="29"/>
        <v>16.2</v>
      </c>
    </row>
    <row r="919" spans="1:14" x14ac:dyDescent="0.3">
      <c r="A919" s="1" t="s">
        <v>1355</v>
      </c>
      <c r="B919" s="1" t="s">
        <v>1348</v>
      </c>
      <c r="C919" s="1" t="s">
        <v>21</v>
      </c>
      <c r="D919" s="1" t="s">
        <v>15</v>
      </c>
      <c r="E919" s="1" t="s">
        <v>16</v>
      </c>
      <c r="F919" s="1" t="s">
        <v>82</v>
      </c>
      <c r="G919" s="1" t="s">
        <v>85</v>
      </c>
      <c r="H919" s="1" t="s">
        <v>44</v>
      </c>
      <c r="I919" s="1">
        <v>2</v>
      </c>
      <c r="J919" s="1">
        <v>1620</v>
      </c>
      <c r="K919" s="1">
        <v>0.08</v>
      </c>
      <c r="L919" s="1">
        <v>2980.8</v>
      </c>
      <c r="M919" s="1" t="str">
        <f t="shared" si="28"/>
        <v>Retail Store</v>
      </c>
      <c r="N919" s="1">
        <f t="shared" si="29"/>
        <v>405</v>
      </c>
    </row>
    <row r="920" spans="1:14" x14ac:dyDescent="0.3">
      <c r="A920" s="1" t="s">
        <v>1341</v>
      </c>
      <c r="B920" s="1" t="s">
        <v>1342</v>
      </c>
      <c r="C920" s="1" t="s">
        <v>61</v>
      </c>
      <c r="D920" s="1" t="s">
        <v>22</v>
      </c>
      <c r="E920" s="1" t="s">
        <v>16</v>
      </c>
      <c r="F920" s="1" t="s">
        <v>42</v>
      </c>
      <c r="G920" s="1" t="s">
        <v>65</v>
      </c>
      <c r="H920" s="1" t="s">
        <v>112</v>
      </c>
      <c r="I920" s="1">
        <v>8</v>
      </c>
      <c r="J920" s="1">
        <v>715.5</v>
      </c>
      <c r="K920" s="1">
        <v>0</v>
      </c>
      <c r="L920" s="1">
        <v>5724</v>
      </c>
      <c r="M920" s="1" t="str">
        <f t="shared" si="28"/>
        <v>Online</v>
      </c>
      <c r="N920" s="1">
        <f t="shared" si="29"/>
        <v>62.01</v>
      </c>
    </row>
    <row r="921" spans="1:14" x14ac:dyDescent="0.3">
      <c r="A921" s="1" t="s">
        <v>1343</v>
      </c>
      <c r="B921" s="1" t="s">
        <v>1342</v>
      </c>
      <c r="C921" s="1" t="s">
        <v>54</v>
      </c>
      <c r="D921" s="1" t="s">
        <v>15</v>
      </c>
      <c r="E921" s="1" t="s">
        <v>28</v>
      </c>
      <c r="F921" s="1" t="s">
        <v>29</v>
      </c>
      <c r="G921" s="1" t="s">
        <v>39</v>
      </c>
      <c r="H921" s="1" t="s">
        <v>71</v>
      </c>
      <c r="I921" s="1">
        <v>2</v>
      </c>
      <c r="J921" s="1">
        <v>69.84</v>
      </c>
      <c r="K921" s="1">
        <v>0.15</v>
      </c>
      <c r="L921" s="1">
        <v>118.73</v>
      </c>
      <c r="M921" s="1" t="str">
        <f t="shared" si="28"/>
        <v>Online</v>
      </c>
      <c r="N921" s="1">
        <f t="shared" si="29"/>
        <v>267.12</v>
      </c>
    </row>
    <row r="922" spans="1:14" x14ac:dyDescent="0.3">
      <c r="A922" s="1" t="s">
        <v>1344</v>
      </c>
      <c r="B922" s="1" t="s">
        <v>1342</v>
      </c>
      <c r="C922" s="1" t="s">
        <v>54</v>
      </c>
      <c r="D922" s="1" t="s">
        <v>15</v>
      </c>
      <c r="E922" s="1" t="s">
        <v>16</v>
      </c>
      <c r="F922" s="1" t="s">
        <v>17</v>
      </c>
      <c r="G922" s="1" t="s">
        <v>189</v>
      </c>
      <c r="H922" s="1" t="s">
        <v>71</v>
      </c>
      <c r="I922" s="1">
        <v>4</v>
      </c>
      <c r="J922" s="1">
        <v>273.60000000000002</v>
      </c>
      <c r="K922" s="1">
        <v>0.03</v>
      </c>
      <c r="L922" s="1">
        <v>1061.57</v>
      </c>
      <c r="M922" s="1" t="str">
        <f t="shared" si="28"/>
        <v>Online</v>
      </c>
      <c r="N922" s="1">
        <f t="shared" si="29"/>
        <v>267.12</v>
      </c>
    </row>
    <row r="923" spans="1:14" x14ac:dyDescent="0.3">
      <c r="A923" s="1" t="s">
        <v>1345</v>
      </c>
      <c r="B923" s="1" t="s">
        <v>1342</v>
      </c>
      <c r="C923" s="1" t="s">
        <v>21</v>
      </c>
      <c r="D923" s="1" t="s">
        <v>15</v>
      </c>
      <c r="E923" s="1" t="s">
        <v>16</v>
      </c>
      <c r="F923" s="1" t="s">
        <v>17</v>
      </c>
      <c r="G923" s="1" t="s">
        <v>18</v>
      </c>
      <c r="H923" s="1" t="s">
        <v>44</v>
      </c>
      <c r="I923" s="1">
        <v>2</v>
      </c>
      <c r="J923" s="1">
        <v>85.86</v>
      </c>
      <c r="K923" s="1">
        <v>0.1</v>
      </c>
      <c r="L923" s="1">
        <v>154.55000000000001</v>
      </c>
      <c r="M923" s="1" t="str">
        <f t="shared" si="28"/>
        <v>Retail Store</v>
      </c>
      <c r="N923" s="1">
        <f t="shared" si="29"/>
        <v>405</v>
      </c>
    </row>
    <row r="924" spans="1:14" x14ac:dyDescent="0.3">
      <c r="A924" s="1" t="s">
        <v>1346</v>
      </c>
      <c r="B924" s="1" t="s">
        <v>1342</v>
      </c>
      <c r="C924" s="1" t="s">
        <v>54</v>
      </c>
      <c r="D924" s="1" t="s">
        <v>15</v>
      </c>
      <c r="E924" s="1" t="s">
        <v>28</v>
      </c>
      <c r="F924" s="1" t="s">
        <v>29</v>
      </c>
      <c r="G924" s="1" t="s">
        <v>39</v>
      </c>
      <c r="H924" s="1" t="s">
        <v>80</v>
      </c>
      <c r="I924" s="1">
        <v>2</v>
      </c>
      <c r="J924" s="1">
        <v>69.84</v>
      </c>
      <c r="K924" s="1">
        <v>0.03</v>
      </c>
      <c r="L924" s="1">
        <v>135.49</v>
      </c>
      <c r="M924" s="1" t="str">
        <f t="shared" si="28"/>
        <v>Marketplace</v>
      </c>
      <c r="N924" s="1">
        <f t="shared" si="29"/>
        <v>267.12</v>
      </c>
    </row>
    <row r="925" spans="1:14" x14ac:dyDescent="0.3">
      <c r="A925" s="1" t="s">
        <v>1335</v>
      </c>
      <c r="B925" s="1" t="s">
        <v>1336</v>
      </c>
      <c r="C925" s="1" t="s">
        <v>61</v>
      </c>
      <c r="D925" s="1" t="s">
        <v>15</v>
      </c>
      <c r="E925" s="1" t="s">
        <v>16</v>
      </c>
      <c r="F925" s="1" t="s">
        <v>36</v>
      </c>
      <c r="G925" s="1" t="s">
        <v>119</v>
      </c>
      <c r="H925" s="1" t="s">
        <v>63</v>
      </c>
      <c r="I925" s="1">
        <v>3</v>
      </c>
      <c r="J925" s="1">
        <v>630</v>
      </c>
      <c r="K925" s="1">
        <v>0.05</v>
      </c>
      <c r="L925" s="1">
        <v>1795.5</v>
      </c>
      <c r="M925" s="1" t="str">
        <f t="shared" si="28"/>
        <v>Retail Store</v>
      </c>
      <c r="N925" s="1">
        <f t="shared" si="29"/>
        <v>62.01</v>
      </c>
    </row>
    <row r="926" spans="1:14" x14ac:dyDescent="0.3">
      <c r="A926" s="1" t="s">
        <v>1337</v>
      </c>
      <c r="B926" s="1" t="s">
        <v>1336</v>
      </c>
      <c r="C926" s="1" t="s">
        <v>47</v>
      </c>
      <c r="D926" s="1" t="s">
        <v>15</v>
      </c>
      <c r="E926" s="1" t="s">
        <v>16</v>
      </c>
      <c r="F926" s="1" t="s">
        <v>82</v>
      </c>
      <c r="G926" s="1" t="s">
        <v>96</v>
      </c>
      <c r="H926" s="1" t="s">
        <v>49</v>
      </c>
      <c r="I926" s="1">
        <v>2</v>
      </c>
      <c r="J926" s="1">
        <v>2862</v>
      </c>
      <c r="K926" s="1">
        <v>0.03</v>
      </c>
      <c r="L926" s="1">
        <v>5552.28</v>
      </c>
      <c r="M926" s="1" t="str">
        <f t="shared" si="28"/>
        <v>Retail Store</v>
      </c>
      <c r="N926" s="1">
        <f t="shared" si="29"/>
        <v>421.2</v>
      </c>
    </row>
    <row r="927" spans="1:14" x14ac:dyDescent="0.3">
      <c r="A927" s="1" t="s">
        <v>1338</v>
      </c>
      <c r="B927" s="1" t="s">
        <v>1336</v>
      </c>
      <c r="C927" s="1" t="s">
        <v>61</v>
      </c>
      <c r="D927" s="1" t="s">
        <v>15</v>
      </c>
      <c r="E927" s="1" t="s">
        <v>16</v>
      </c>
      <c r="F927" s="1" t="s">
        <v>82</v>
      </c>
      <c r="G927" s="1" t="s">
        <v>85</v>
      </c>
      <c r="H927" s="1" t="s">
        <v>63</v>
      </c>
      <c r="I927" s="1">
        <v>2</v>
      </c>
      <c r="J927" s="1">
        <v>1620</v>
      </c>
      <c r="K927" s="1">
        <v>0.05</v>
      </c>
      <c r="L927" s="1">
        <v>3078</v>
      </c>
      <c r="M927" s="1" t="str">
        <f t="shared" si="28"/>
        <v>Retail Store</v>
      </c>
      <c r="N927" s="1">
        <f t="shared" si="29"/>
        <v>62.01</v>
      </c>
    </row>
    <row r="928" spans="1:14" x14ac:dyDescent="0.3">
      <c r="A928" s="1" t="s">
        <v>1339</v>
      </c>
      <c r="B928" s="1" t="s">
        <v>1336</v>
      </c>
      <c r="C928" s="1" t="s">
        <v>54</v>
      </c>
      <c r="D928" s="1" t="s">
        <v>22</v>
      </c>
      <c r="E928" s="1" t="s">
        <v>16</v>
      </c>
      <c r="F928" s="1" t="s">
        <v>36</v>
      </c>
      <c r="G928" s="1" t="s">
        <v>70</v>
      </c>
      <c r="H928" s="1" t="s">
        <v>56</v>
      </c>
      <c r="I928" s="1">
        <v>2</v>
      </c>
      <c r="J928" s="1">
        <v>522</v>
      </c>
      <c r="K928" s="1">
        <v>0.08</v>
      </c>
      <c r="L928" s="1">
        <v>960.48</v>
      </c>
      <c r="M928" s="1" t="str">
        <f t="shared" si="28"/>
        <v>Online</v>
      </c>
      <c r="N928" s="1">
        <f t="shared" si="29"/>
        <v>267.12</v>
      </c>
    </row>
    <row r="929" spans="1:14" x14ac:dyDescent="0.3">
      <c r="A929" s="1" t="s">
        <v>1340</v>
      </c>
      <c r="B929" s="1" t="s">
        <v>1336</v>
      </c>
      <c r="C929" s="1" t="s">
        <v>54</v>
      </c>
      <c r="D929" s="1" t="s">
        <v>15</v>
      </c>
      <c r="E929" s="1" t="s">
        <v>28</v>
      </c>
      <c r="F929" s="1" t="s">
        <v>17</v>
      </c>
      <c r="G929" s="1" t="s">
        <v>189</v>
      </c>
      <c r="H929" s="1" t="s">
        <v>56</v>
      </c>
      <c r="I929" s="1">
        <v>2</v>
      </c>
      <c r="J929" s="1">
        <v>288</v>
      </c>
      <c r="K929" s="1">
        <v>0.1</v>
      </c>
      <c r="L929" s="1">
        <v>518.4</v>
      </c>
      <c r="M929" s="1" t="str">
        <f t="shared" si="28"/>
        <v>Online</v>
      </c>
      <c r="N929" s="1">
        <f t="shared" si="29"/>
        <v>267.12</v>
      </c>
    </row>
    <row r="930" spans="1:14" x14ac:dyDescent="0.3">
      <c r="A930" s="1" t="s">
        <v>1327</v>
      </c>
      <c r="B930" s="1" t="s">
        <v>1328</v>
      </c>
      <c r="C930" s="1" t="s">
        <v>54</v>
      </c>
      <c r="D930" s="1" t="s">
        <v>27</v>
      </c>
      <c r="E930" s="1" t="s">
        <v>16</v>
      </c>
      <c r="F930" s="1" t="s">
        <v>82</v>
      </c>
      <c r="G930" s="1" t="s">
        <v>83</v>
      </c>
      <c r="H930" s="1" t="s">
        <v>71</v>
      </c>
      <c r="I930" s="1">
        <v>2</v>
      </c>
      <c r="J930" s="1">
        <v>3780</v>
      </c>
      <c r="K930" s="1">
        <v>0.1</v>
      </c>
      <c r="L930" s="1">
        <v>6804</v>
      </c>
      <c r="M930" s="1" t="str">
        <f t="shared" si="28"/>
        <v>Online</v>
      </c>
      <c r="N930" s="1">
        <f t="shared" si="29"/>
        <v>267.12</v>
      </c>
    </row>
    <row r="931" spans="1:14" x14ac:dyDescent="0.3">
      <c r="A931" s="1" t="s">
        <v>1329</v>
      </c>
      <c r="B931" s="1" t="s">
        <v>1328</v>
      </c>
      <c r="C931" s="1" t="s">
        <v>54</v>
      </c>
      <c r="D931" s="1" t="s">
        <v>22</v>
      </c>
      <c r="E931" s="1" t="s">
        <v>28</v>
      </c>
      <c r="F931" s="1" t="s">
        <v>29</v>
      </c>
      <c r="G931" s="1" t="s">
        <v>51</v>
      </c>
      <c r="H931" s="1" t="s">
        <v>71</v>
      </c>
      <c r="I931" s="1">
        <v>2</v>
      </c>
      <c r="J931" s="1">
        <v>42.93</v>
      </c>
      <c r="K931" s="1">
        <v>0.03</v>
      </c>
      <c r="L931" s="1">
        <v>83.28</v>
      </c>
      <c r="M931" s="1" t="str">
        <f t="shared" si="28"/>
        <v>Online</v>
      </c>
      <c r="N931" s="1">
        <f t="shared" si="29"/>
        <v>267.12</v>
      </c>
    </row>
    <row r="932" spans="1:14" x14ac:dyDescent="0.3">
      <c r="A932" s="1" t="s">
        <v>1330</v>
      </c>
      <c r="B932" s="1" t="s">
        <v>1328</v>
      </c>
      <c r="C932" s="1" t="s">
        <v>61</v>
      </c>
      <c r="D932" s="1" t="s">
        <v>27</v>
      </c>
      <c r="E932" s="1" t="s">
        <v>16</v>
      </c>
      <c r="F932" s="1" t="s">
        <v>82</v>
      </c>
      <c r="G932" s="1" t="s">
        <v>85</v>
      </c>
      <c r="H932" s="1" t="s">
        <v>73</v>
      </c>
      <c r="I932" s="1">
        <v>2</v>
      </c>
      <c r="J932" s="1">
        <v>1684.8</v>
      </c>
      <c r="K932" s="1">
        <v>0</v>
      </c>
      <c r="L932" s="1">
        <v>3369.6</v>
      </c>
      <c r="M932" s="1" t="str">
        <f t="shared" si="28"/>
        <v>Online</v>
      </c>
      <c r="N932" s="1">
        <f t="shared" si="29"/>
        <v>62.01</v>
      </c>
    </row>
    <row r="933" spans="1:14" x14ac:dyDescent="0.3">
      <c r="A933" s="1" t="s">
        <v>1331</v>
      </c>
      <c r="B933" s="1" t="s">
        <v>1328</v>
      </c>
      <c r="C933" s="1" t="s">
        <v>47</v>
      </c>
      <c r="D933" s="1" t="s">
        <v>27</v>
      </c>
      <c r="E933" s="1" t="s">
        <v>16</v>
      </c>
      <c r="F933" s="1" t="s">
        <v>29</v>
      </c>
      <c r="G933" s="1" t="s">
        <v>30</v>
      </c>
      <c r="H933" s="1" t="s">
        <v>49</v>
      </c>
      <c r="I933" s="1">
        <v>4</v>
      </c>
      <c r="J933" s="1">
        <v>50.49</v>
      </c>
      <c r="K933" s="1">
        <v>0.05</v>
      </c>
      <c r="L933" s="1">
        <v>191.86</v>
      </c>
      <c r="M933" s="1" t="str">
        <f t="shared" si="28"/>
        <v>Retail Store</v>
      </c>
      <c r="N933" s="1">
        <f t="shared" si="29"/>
        <v>421.2</v>
      </c>
    </row>
    <row r="934" spans="1:14" x14ac:dyDescent="0.3">
      <c r="A934" s="1" t="s">
        <v>1332</v>
      </c>
      <c r="B934" s="1" t="s">
        <v>1328</v>
      </c>
      <c r="C934" s="1" t="s">
        <v>47</v>
      </c>
      <c r="D934" s="1" t="s">
        <v>15</v>
      </c>
      <c r="E934" s="1" t="s">
        <v>16</v>
      </c>
      <c r="F934" s="1" t="s">
        <v>42</v>
      </c>
      <c r="G934" s="1" t="s">
        <v>43</v>
      </c>
      <c r="H934" s="1" t="s">
        <v>78</v>
      </c>
      <c r="I934" s="1">
        <v>2</v>
      </c>
      <c r="J934" s="1">
        <v>165.24</v>
      </c>
      <c r="K934" s="1">
        <v>0.2</v>
      </c>
      <c r="L934" s="1">
        <v>264.38</v>
      </c>
      <c r="M934" s="1" t="str">
        <f t="shared" si="28"/>
        <v>Retail Store</v>
      </c>
      <c r="N934" s="1">
        <f t="shared" si="29"/>
        <v>421.2</v>
      </c>
    </row>
    <row r="935" spans="1:14" x14ac:dyDescent="0.3">
      <c r="A935" s="1" t="s">
        <v>1333</v>
      </c>
      <c r="B935" s="1" t="s">
        <v>1328</v>
      </c>
      <c r="C935" s="1" t="s">
        <v>61</v>
      </c>
      <c r="D935" s="1" t="s">
        <v>15</v>
      </c>
      <c r="E935" s="1" t="s">
        <v>16</v>
      </c>
      <c r="F935" s="1" t="s">
        <v>36</v>
      </c>
      <c r="G935" s="1" t="s">
        <v>70</v>
      </c>
      <c r="H935" s="1" t="s">
        <v>73</v>
      </c>
      <c r="I935" s="1">
        <v>4</v>
      </c>
      <c r="J935" s="1">
        <v>522</v>
      </c>
      <c r="K935" s="1">
        <v>0.08</v>
      </c>
      <c r="L935" s="1">
        <v>1920.96</v>
      </c>
      <c r="M935" s="1" t="str">
        <f t="shared" si="28"/>
        <v>Online</v>
      </c>
      <c r="N935" s="1">
        <f t="shared" si="29"/>
        <v>62.01</v>
      </c>
    </row>
    <row r="936" spans="1:14" x14ac:dyDescent="0.3">
      <c r="A936" s="1" t="s">
        <v>1334</v>
      </c>
      <c r="B936" s="1" t="s">
        <v>1328</v>
      </c>
      <c r="C936" s="1" t="s">
        <v>21</v>
      </c>
      <c r="D936" s="1" t="s">
        <v>27</v>
      </c>
      <c r="E936" s="1" t="s">
        <v>28</v>
      </c>
      <c r="F936" s="1" t="s">
        <v>23</v>
      </c>
      <c r="G936" s="1" t="s">
        <v>178</v>
      </c>
      <c r="H936" s="1" t="s">
        <v>86</v>
      </c>
      <c r="I936" s="1">
        <v>2</v>
      </c>
      <c r="J936" s="1">
        <v>31.5</v>
      </c>
      <c r="K936" s="1">
        <v>0</v>
      </c>
      <c r="L936" s="1">
        <v>63</v>
      </c>
      <c r="M936" s="1" t="str">
        <f t="shared" si="28"/>
        <v>Online</v>
      </c>
      <c r="N936" s="1">
        <f t="shared" si="29"/>
        <v>405</v>
      </c>
    </row>
    <row r="937" spans="1:14" x14ac:dyDescent="0.3">
      <c r="A937" s="1" t="s">
        <v>1324</v>
      </c>
      <c r="B937" s="1" t="s">
        <v>1325</v>
      </c>
      <c r="C937" s="1" t="s">
        <v>61</v>
      </c>
      <c r="D937" s="1" t="s">
        <v>15</v>
      </c>
      <c r="E937" s="1" t="s">
        <v>16</v>
      </c>
      <c r="F937" s="1" t="s">
        <v>36</v>
      </c>
      <c r="G937" s="1" t="s">
        <v>70</v>
      </c>
      <c r="H937" s="1" t="s">
        <v>63</v>
      </c>
      <c r="I937" s="1">
        <v>2</v>
      </c>
      <c r="J937" s="1">
        <v>553.32000000000005</v>
      </c>
      <c r="K937" s="1">
        <v>0.05</v>
      </c>
      <c r="L937" s="1">
        <v>1051.31</v>
      </c>
      <c r="M937" s="1" t="str">
        <f t="shared" si="28"/>
        <v>Retail Store</v>
      </c>
      <c r="N937" s="1">
        <f t="shared" si="29"/>
        <v>62.01</v>
      </c>
    </row>
    <row r="938" spans="1:14" x14ac:dyDescent="0.3">
      <c r="A938" s="1" t="s">
        <v>1326</v>
      </c>
      <c r="B938" s="1" t="s">
        <v>1325</v>
      </c>
      <c r="C938" s="1" t="s">
        <v>47</v>
      </c>
      <c r="D938" s="1" t="s">
        <v>15</v>
      </c>
      <c r="E938" s="1" t="s">
        <v>16</v>
      </c>
      <c r="F938" s="1" t="s">
        <v>42</v>
      </c>
      <c r="G938" s="1" t="s">
        <v>48</v>
      </c>
      <c r="H938" s="1" t="s">
        <v>78</v>
      </c>
      <c r="I938" s="1">
        <v>5</v>
      </c>
      <c r="J938" s="1">
        <v>17.100000000000001</v>
      </c>
      <c r="K938" s="1">
        <v>0.03</v>
      </c>
      <c r="L938" s="1">
        <v>82.94</v>
      </c>
      <c r="M938" s="1" t="str">
        <f t="shared" si="28"/>
        <v>Retail Store</v>
      </c>
      <c r="N938" s="1">
        <f t="shared" si="29"/>
        <v>421.2</v>
      </c>
    </row>
    <row r="939" spans="1:14" x14ac:dyDescent="0.3">
      <c r="A939" s="1" t="s">
        <v>1318</v>
      </c>
      <c r="B939" s="1" t="s">
        <v>1319</v>
      </c>
      <c r="C939" s="1" t="s">
        <v>61</v>
      </c>
      <c r="D939" s="1" t="s">
        <v>27</v>
      </c>
      <c r="E939" s="1" t="s">
        <v>28</v>
      </c>
      <c r="F939" s="1" t="s">
        <v>36</v>
      </c>
      <c r="G939" s="1" t="s">
        <v>70</v>
      </c>
      <c r="H939" s="1" t="s">
        <v>112</v>
      </c>
      <c r="I939" s="1">
        <v>6</v>
      </c>
      <c r="J939" s="1">
        <v>495.9</v>
      </c>
      <c r="K939" s="1">
        <v>0.15</v>
      </c>
      <c r="L939" s="1">
        <v>2529.09</v>
      </c>
      <c r="M939" s="1" t="str">
        <f t="shared" si="28"/>
        <v>Online</v>
      </c>
      <c r="N939" s="1">
        <f t="shared" si="29"/>
        <v>62.01</v>
      </c>
    </row>
    <row r="940" spans="1:14" x14ac:dyDescent="0.3">
      <c r="A940" s="1" t="s">
        <v>1320</v>
      </c>
      <c r="B940" s="1" t="s">
        <v>1319</v>
      </c>
      <c r="C940" s="1" t="s">
        <v>14</v>
      </c>
      <c r="D940" s="1" t="s">
        <v>22</v>
      </c>
      <c r="E940" s="1" t="s">
        <v>16</v>
      </c>
      <c r="F940" s="1" t="s">
        <v>36</v>
      </c>
      <c r="G940" s="1" t="s">
        <v>37</v>
      </c>
      <c r="H940" s="1" t="s">
        <v>40</v>
      </c>
      <c r="I940" s="1">
        <v>4</v>
      </c>
      <c r="J940" s="1">
        <v>742.05</v>
      </c>
      <c r="K940" s="1">
        <v>0.15</v>
      </c>
      <c r="L940" s="1">
        <v>2522.9699999999998</v>
      </c>
      <c r="M940" s="1" t="str">
        <f t="shared" si="28"/>
        <v>Online</v>
      </c>
      <c r="N940" s="1">
        <f t="shared" si="29"/>
        <v>16.2</v>
      </c>
    </row>
    <row r="941" spans="1:14" x14ac:dyDescent="0.3">
      <c r="A941" s="1" t="s">
        <v>1321</v>
      </c>
      <c r="B941" s="1" t="s">
        <v>1319</v>
      </c>
      <c r="C941" s="1" t="s">
        <v>14</v>
      </c>
      <c r="D941" s="1" t="s">
        <v>15</v>
      </c>
      <c r="E941" s="1" t="s">
        <v>16</v>
      </c>
      <c r="F941" s="1" t="s">
        <v>29</v>
      </c>
      <c r="G941" s="1" t="s">
        <v>55</v>
      </c>
      <c r="H941" s="1" t="s">
        <v>40</v>
      </c>
      <c r="I941" s="1">
        <v>3</v>
      </c>
      <c r="J941" s="1">
        <v>34.200000000000003</v>
      </c>
      <c r="K941" s="1">
        <v>0.1</v>
      </c>
      <c r="L941" s="1">
        <v>92.34</v>
      </c>
      <c r="M941" s="1" t="str">
        <f t="shared" si="28"/>
        <v>Online</v>
      </c>
      <c r="N941" s="1">
        <f t="shared" si="29"/>
        <v>16.2</v>
      </c>
    </row>
    <row r="942" spans="1:14" x14ac:dyDescent="0.3">
      <c r="A942" s="1" t="s">
        <v>1322</v>
      </c>
      <c r="B942" s="1" t="s">
        <v>1319</v>
      </c>
      <c r="C942" s="1" t="s">
        <v>54</v>
      </c>
      <c r="D942" s="1" t="s">
        <v>27</v>
      </c>
      <c r="E942" s="1" t="s">
        <v>16</v>
      </c>
      <c r="F942" s="1" t="s">
        <v>17</v>
      </c>
      <c r="G942" s="1" t="s">
        <v>18</v>
      </c>
      <c r="H942" s="1" t="s">
        <v>56</v>
      </c>
      <c r="I942" s="1">
        <v>4</v>
      </c>
      <c r="J942" s="1">
        <v>84.24</v>
      </c>
      <c r="K942" s="1">
        <v>0.05</v>
      </c>
      <c r="L942" s="1">
        <v>320.11</v>
      </c>
      <c r="M942" s="1" t="str">
        <f t="shared" si="28"/>
        <v>Online</v>
      </c>
      <c r="N942" s="1">
        <f t="shared" si="29"/>
        <v>267.12</v>
      </c>
    </row>
    <row r="943" spans="1:14" x14ac:dyDescent="0.3">
      <c r="A943" s="1" t="s">
        <v>1323</v>
      </c>
      <c r="B943" s="1" t="s">
        <v>1319</v>
      </c>
      <c r="C943" s="1" t="s">
        <v>14</v>
      </c>
      <c r="D943" s="1" t="s">
        <v>27</v>
      </c>
      <c r="E943" s="1" t="s">
        <v>28</v>
      </c>
      <c r="F943" s="1" t="s">
        <v>23</v>
      </c>
      <c r="G943" s="1" t="s">
        <v>178</v>
      </c>
      <c r="H943" s="1" t="s">
        <v>19</v>
      </c>
      <c r="I943" s="1">
        <v>6</v>
      </c>
      <c r="J943" s="1">
        <v>32.76</v>
      </c>
      <c r="K943" s="1">
        <v>0.08</v>
      </c>
      <c r="L943" s="1">
        <v>180.84</v>
      </c>
      <c r="M943" s="1" t="str">
        <f t="shared" si="28"/>
        <v>Retail Store</v>
      </c>
      <c r="N943" s="1">
        <f t="shared" si="29"/>
        <v>16.2</v>
      </c>
    </row>
    <row r="944" spans="1:14" x14ac:dyDescent="0.3">
      <c r="A944" s="1" t="s">
        <v>1315</v>
      </c>
      <c r="B944" s="1" t="s">
        <v>1316</v>
      </c>
      <c r="C944" s="1" t="s">
        <v>21</v>
      </c>
      <c r="D944" s="1" t="s">
        <v>35</v>
      </c>
      <c r="E944" s="1" t="s">
        <v>28</v>
      </c>
      <c r="F944" s="1" t="s">
        <v>82</v>
      </c>
      <c r="G944" s="1" t="s">
        <v>150</v>
      </c>
      <c r="H944" s="1" t="s">
        <v>25</v>
      </c>
      <c r="I944" s="1">
        <v>2</v>
      </c>
      <c r="J944" s="1">
        <v>2937.6</v>
      </c>
      <c r="K944" s="1">
        <v>0.05</v>
      </c>
      <c r="L944" s="1">
        <v>5581.44</v>
      </c>
      <c r="M944" s="1" t="str">
        <f t="shared" si="28"/>
        <v>Marketplace</v>
      </c>
      <c r="N944" s="1">
        <f t="shared" si="29"/>
        <v>405</v>
      </c>
    </row>
    <row r="945" spans="1:14" x14ac:dyDescent="0.3">
      <c r="A945" s="1" t="s">
        <v>1317</v>
      </c>
      <c r="B945" s="1" t="s">
        <v>1316</v>
      </c>
      <c r="C945" s="1" t="s">
        <v>47</v>
      </c>
      <c r="D945" s="1" t="s">
        <v>27</v>
      </c>
      <c r="E945" s="1" t="s">
        <v>16</v>
      </c>
      <c r="F945" s="1" t="s">
        <v>23</v>
      </c>
      <c r="G945" s="1" t="s">
        <v>116</v>
      </c>
      <c r="H945" s="1" t="s">
        <v>58</v>
      </c>
      <c r="I945" s="1">
        <v>4</v>
      </c>
      <c r="J945" s="1">
        <v>7.2</v>
      </c>
      <c r="K945" s="1">
        <v>0</v>
      </c>
      <c r="L945" s="1">
        <v>28.8</v>
      </c>
      <c r="M945" s="1" t="str">
        <f t="shared" si="28"/>
        <v>Corporate Sales</v>
      </c>
      <c r="N945" s="1">
        <f t="shared" si="29"/>
        <v>421.2</v>
      </c>
    </row>
    <row r="946" spans="1:14" x14ac:dyDescent="0.3">
      <c r="A946" s="1" t="s">
        <v>1310</v>
      </c>
      <c r="B946" s="1" t="s">
        <v>1311</v>
      </c>
      <c r="C946" s="1" t="s">
        <v>21</v>
      </c>
      <c r="D946" s="1" t="s">
        <v>27</v>
      </c>
      <c r="E946" s="1" t="s">
        <v>16</v>
      </c>
      <c r="F946" s="1" t="s">
        <v>23</v>
      </c>
      <c r="G946" s="1" t="s">
        <v>103</v>
      </c>
      <c r="H946" s="1" t="s">
        <v>44</v>
      </c>
      <c r="I946" s="1">
        <v>3</v>
      </c>
      <c r="J946" s="1">
        <v>10.48</v>
      </c>
      <c r="K946" s="1">
        <v>0</v>
      </c>
      <c r="L946" s="1">
        <v>31.43</v>
      </c>
      <c r="M946" s="1" t="str">
        <f t="shared" si="28"/>
        <v>Retail Store</v>
      </c>
      <c r="N946" s="1">
        <f t="shared" si="29"/>
        <v>405</v>
      </c>
    </row>
    <row r="947" spans="1:14" x14ac:dyDescent="0.3">
      <c r="A947" s="1" t="s">
        <v>1312</v>
      </c>
      <c r="B947" s="1" t="s">
        <v>1311</v>
      </c>
      <c r="C947" s="1" t="s">
        <v>21</v>
      </c>
      <c r="D947" s="1" t="s">
        <v>15</v>
      </c>
      <c r="E947" s="1" t="s">
        <v>28</v>
      </c>
      <c r="F947" s="1" t="s">
        <v>42</v>
      </c>
      <c r="G947" s="1" t="s">
        <v>43</v>
      </c>
      <c r="H947" s="1" t="s">
        <v>25</v>
      </c>
      <c r="I947" s="1">
        <v>8</v>
      </c>
      <c r="J947" s="1">
        <v>165.24</v>
      </c>
      <c r="K947" s="1">
        <v>0.08</v>
      </c>
      <c r="L947" s="1">
        <v>1216.17</v>
      </c>
      <c r="M947" s="1" t="str">
        <f t="shared" si="28"/>
        <v>Marketplace</v>
      </c>
      <c r="N947" s="1">
        <f t="shared" si="29"/>
        <v>405</v>
      </c>
    </row>
    <row r="948" spans="1:14" x14ac:dyDescent="0.3">
      <c r="A948" s="1" t="s">
        <v>1313</v>
      </c>
      <c r="B948" s="1" t="s">
        <v>1311</v>
      </c>
      <c r="C948" s="1" t="s">
        <v>14</v>
      </c>
      <c r="D948" s="1" t="s">
        <v>22</v>
      </c>
      <c r="E948" s="1" t="s">
        <v>28</v>
      </c>
      <c r="F948" s="1" t="s">
        <v>82</v>
      </c>
      <c r="G948" s="1" t="s">
        <v>83</v>
      </c>
      <c r="H948" s="1" t="s">
        <v>19</v>
      </c>
      <c r="I948" s="1">
        <v>2</v>
      </c>
      <c r="J948" s="1">
        <v>3591</v>
      </c>
      <c r="K948" s="1">
        <v>0.03</v>
      </c>
      <c r="L948" s="1">
        <v>6966.54</v>
      </c>
      <c r="M948" s="1" t="str">
        <f t="shared" si="28"/>
        <v>Retail Store</v>
      </c>
      <c r="N948" s="1">
        <f t="shared" si="29"/>
        <v>16.2</v>
      </c>
    </row>
    <row r="949" spans="1:14" x14ac:dyDescent="0.3">
      <c r="A949" s="1" t="s">
        <v>1314</v>
      </c>
      <c r="B949" s="1" t="s">
        <v>1311</v>
      </c>
      <c r="C949" s="1" t="s">
        <v>61</v>
      </c>
      <c r="D949" s="1" t="s">
        <v>22</v>
      </c>
      <c r="E949" s="1" t="s">
        <v>16</v>
      </c>
      <c r="F949" s="1" t="s">
        <v>17</v>
      </c>
      <c r="G949" s="1" t="s">
        <v>189</v>
      </c>
      <c r="H949" s="1" t="s">
        <v>112</v>
      </c>
      <c r="I949" s="1">
        <v>2</v>
      </c>
      <c r="J949" s="1">
        <v>305.27999999999997</v>
      </c>
      <c r="K949" s="1">
        <v>0.05</v>
      </c>
      <c r="L949" s="1">
        <v>580.03</v>
      </c>
      <c r="M949" s="1" t="str">
        <f t="shared" si="28"/>
        <v>Online</v>
      </c>
      <c r="N949" s="1">
        <f t="shared" si="29"/>
        <v>62.01</v>
      </c>
    </row>
    <row r="950" spans="1:14" x14ac:dyDescent="0.3">
      <c r="A950" s="1" t="s">
        <v>1303</v>
      </c>
      <c r="B950" s="1" t="s">
        <v>1304</v>
      </c>
      <c r="C950" s="1" t="s">
        <v>61</v>
      </c>
      <c r="D950" s="1" t="s">
        <v>27</v>
      </c>
      <c r="E950" s="1" t="s">
        <v>16</v>
      </c>
      <c r="F950" s="1" t="s">
        <v>29</v>
      </c>
      <c r="G950" s="1" t="s">
        <v>88</v>
      </c>
      <c r="H950" s="1" t="s">
        <v>112</v>
      </c>
      <c r="I950" s="1">
        <v>3</v>
      </c>
      <c r="J950" s="1">
        <v>62.01</v>
      </c>
      <c r="K950" s="1">
        <v>0.15</v>
      </c>
      <c r="L950" s="1">
        <v>158.13</v>
      </c>
      <c r="M950" s="1" t="str">
        <f t="shared" si="28"/>
        <v>Online</v>
      </c>
      <c r="N950" s="1">
        <f t="shared" si="29"/>
        <v>62.01</v>
      </c>
    </row>
    <row r="951" spans="1:14" x14ac:dyDescent="0.3">
      <c r="A951" s="1" t="s">
        <v>1305</v>
      </c>
      <c r="B951" s="1" t="s">
        <v>1304</v>
      </c>
      <c r="C951" s="1" t="s">
        <v>21</v>
      </c>
      <c r="D951" s="1" t="s">
        <v>15</v>
      </c>
      <c r="E951" s="1" t="s">
        <v>16</v>
      </c>
      <c r="F951" s="1" t="s">
        <v>42</v>
      </c>
      <c r="G951" s="1" t="s">
        <v>48</v>
      </c>
      <c r="H951" s="1" t="s">
        <v>86</v>
      </c>
      <c r="I951" s="1">
        <v>3</v>
      </c>
      <c r="J951" s="1">
        <v>17.100000000000001</v>
      </c>
      <c r="K951" s="1">
        <v>0.05</v>
      </c>
      <c r="L951" s="1">
        <v>48.74</v>
      </c>
      <c r="M951" s="1" t="str">
        <f t="shared" si="28"/>
        <v>Online</v>
      </c>
      <c r="N951" s="1">
        <f t="shared" si="29"/>
        <v>405</v>
      </c>
    </row>
    <row r="952" spans="1:14" x14ac:dyDescent="0.3">
      <c r="A952" s="1" t="s">
        <v>1306</v>
      </c>
      <c r="B952" s="1" t="s">
        <v>1304</v>
      </c>
      <c r="C952" s="1" t="s">
        <v>61</v>
      </c>
      <c r="D952" s="1" t="s">
        <v>15</v>
      </c>
      <c r="E952" s="1" t="s">
        <v>28</v>
      </c>
      <c r="F952" s="1" t="s">
        <v>17</v>
      </c>
      <c r="G952" s="1" t="s">
        <v>62</v>
      </c>
      <c r="H952" s="1" t="s">
        <v>112</v>
      </c>
      <c r="I952" s="1">
        <v>6</v>
      </c>
      <c r="J952" s="1">
        <v>54</v>
      </c>
      <c r="K952" s="1">
        <v>0.08</v>
      </c>
      <c r="L952" s="1">
        <v>298.08</v>
      </c>
      <c r="M952" s="1" t="str">
        <f t="shared" si="28"/>
        <v>Online</v>
      </c>
      <c r="N952" s="1">
        <f t="shared" si="29"/>
        <v>62.01</v>
      </c>
    </row>
    <row r="953" spans="1:14" x14ac:dyDescent="0.3">
      <c r="A953" s="1" t="s">
        <v>1307</v>
      </c>
      <c r="B953" s="1" t="s">
        <v>1304</v>
      </c>
      <c r="C953" s="1" t="s">
        <v>61</v>
      </c>
      <c r="D953" s="1" t="s">
        <v>22</v>
      </c>
      <c r="E953" s="1" t="s">
        <v>16</v>
      </c>
      <c r="F953" s="1" t="s">
        <v>29</v>
      </c>
      <c r="G953" s="1" t="s">
        <v>33</v>
      </c>
      <c r="H953" s="1" t="s">
        <v>112</v>
      </c>
      <c r="I953" s="1">
        <v>5</v>
      </c>
      <c r="J953" s="1">
        <v>13.77</v>
      </c>
      <c r="K953" s="1">
        <v>0.08</v>
      </c>
      <c r="L953" s="1">
        <v>63.34</v>
      </c>
      <c r="M953" s="1" t="str">
        <f t="shared" si="28"/>
        <v>Online</v>
      </c>
      <c r="N953" s="1">
        <f t="shared" si="29"/>
        <v>62.01</v>
      </c>
    </row>
    <row r="954" spans="1:14" x14ac:dyDescent="0.3">
      <c r="A954" s="1" t="s">
        <v>1308</v>
      </c>
      <c r="B954" s="1" t="s">
        <v>1304</v>
      </c>
      <c r="C954" s="1" t="s">
        <v>47</v>
      </c>
      <c r="D954" s="1" t="s">
        <v>27</v>
      </c>
      <c r="E954" s="1" t="s">
        <v>28</v>
      </c>
      <c r="F954" s="1" t="s">
        <v>29</v>
      </c>
      <c r="G954" s="1" t="s">
        <v>30</v>
      </c>
      <c r="H954" s="1" t="s">
        <v>49</v>
      </c>
      <c r="I954" s="1">
        <v>5</v>
      </c>
      <c r="J954" s="1">
        <v>51.48</v>
      </c>
      <c r="K954" s="1">
        <v>0</v>
      </c>
      <c r="L954" s="1">
        <v>257.39999999999998</v>
      </c>
      <c r="M954" s="1" t="str">
        <f t="shared" si="28"/>
        <v>Retail Store</v>
      </c>
      <c r="N954" s="1">
        <f t="shared" si="29"/>
        <v>421.2</v>
      </c>
    </row>
    <row r="955" spans="1:14" x14ac:dyDescent="0.3">
      <c r="A955" s="1" t="s">
        <v>1309</v>
      </c>
      <c r="B955" s="1" t="s">
        <v>1304</v>
      </c>
      <c r="C955" s="1" t="s">
        <v>54</v>
      </c>
      <c r="D955" s="1" t="s">
        <v>27</v>
      </c>
      <c r="E955" s="1" t="s">
        <v>16</v>
      </c>
      <c r="F955" s="1" t="s">
        <v>82</v>
      </c>
      <c r="G955" s="1" t="s">
        <v>114</v>
      </c>
      <c r="H955" s="1" t="s">
        <v>80</v>
      </c>
      <c r="I955" s="1">
        <v>2</v>
      </c>
      <c r="J955" s="1">
        <v>2250</v>
      </c>
      <c r="K955" s="1">
        <v>0.08</v>
      </c>
      <c r="L955" s="1">
        <v>4140</v>
      </c>
      <c r="M955" s="1" t="str">
        <f t="shared" si="28"/>
        <v>Marketplace</v>
      </c>
      <c r="N955" s="1">
        <f t="shared" si="29"/>
        <v>267.12</v>
      </c>
    </row>
    <row r="956" spans="1:14" x14ac:dyDescent="0.3">
      <c r="A956" s="1" t="s">
        <v>1299</v>
      </c>
      <c r="B956" s="1" t="s">
        <v>1300</v>
      </c>
      <c r="C956" s="1" t="s">
        <v>54</v>
      </c>
      <c r="D956" s="1" t="s">
        <v>15</v>
      </c>
      <c r="E956" s="1" t="s">
        <v>16</v>
      </c>
      <c r="F956" s="1" t="s">
        <v>29</v>
      </c>
      <c r="G956" s="1" t="s">
        <v>55</v>
      </c>
      <c r="H956" s="1" t="s">
        <v>71</v>
      </c>
      <c r="I956" s="1">
        <v>2</v>
      </c>
      <c r="J956" s="1">
        <v>35.57</v>
      </c>
      <c r="K956" s="1">
        <v>0.05</v>
      </c>
      <c r="L956" s="1">
        <v>67.58</v>
      </c>
      <c r="M956" s="1" t="str">
        <f t="shared" si="28"/>
        <v>Online</v>
      </c>
      <c r="N956" s="1">
        <f t="shared" si="29"/>
        <v>267.12</v>
      </c>
    </row>
    <row r="957" spans="1:14" x14ac:dyDescent="0.3">
      <c r="A957" s="1" t="s">
        <v>1301</v>
      </c>
      <c r="B957" s="1" t="s">
        <v>1300</v>
      </c>
      <c r="C957" s="1" t="s">
        <v>61</v>
      </c>
      <c r="D957" s="1" t="s">
        <v>15</v>
      </c>
      <c r="E957" s="1" t="s">
        <v>16</v>
      </c>
      <c r="F957" s="1" t="s">
        <v>36</v>
      </c>
      <c r="G957" s="1" t="s">
        <v>119</v>
      </c>
      <c r="H957" s="1" t="s">
        <v>63</v>
      </c>
      <c r="I957" s="1">
        <v>2</v>
      </c>
      <c r="J957" s="1">
        <v>630</v>
      </c>
      <c r="K957" s="1">
        <v>0.08</v>
      </c>
      <c r="L957" s="1">
        <v>1159.2</v>
      </c>
      <c r="M957" s="1" t="str">
        <f t="shared" si="28"/>
        <v>Retail Store</v>
      </c>
      <c r="N957" s="1">
        <f t="shared" si="29"/>
        <v>62.01</v>
      </c>
    </row>
    <row r="958" spans="1:14" x14ac:dyDescent="0.3">
      <c r="A958" s="1" t="s">
        <v>1302</v>
      </c>
      <c r="B958" s="1" t="s">
        <v>1300</v>
      </c>
      <c r="C958" s="1" t="s">
        <v>47</v>
      </c>
      <c r="D958" s="1" t="s">
        <v>15</v>
      </c>
      <c r="E958" s="1" t="s">
        <v>16</v>
      </c>
      <c r="F958" s="1" t="s">
        <v>82</v>
      </c>
      <c r="G958" s="1" t="s">
        <v>150</v>
      </c>
      <c r="H958" s="1" t="s">
        <v>58</v>
      </c>
      <c r="I958" s="1">
        <v>3</v>
      </c>
      <c r="J958" s="1">
        <v>2880</v>
      </c>
      <c r="K958" s="1">
        <v>0.1</v>
      </c>
      <c r="L958" s="1">
        <v>7776</v>
      </c>
      <c r="M958" s="1" t="str">
        <f t="shared" si="28"/>
        <v>Corporate Sales</v>
      </c>
      <c r="N958" s="1">
        <f t="shared" si="29"/>
        <v>421.2</v>
      </c>
    </row>
    <row r="959" spans="1:14" x14ac:dyDescent="0.3">
      <c r="A959" s="1" t="s">
        <v>1294</v>
      </c>
      <c r="B959" s="1" t="s">
        <v>1295</v>
      </c>
      <c r="C959" s="1" t="s">
        <v>61</v>
      </c>
      <c r="D959" s="1" t="s">
        <v>22</v>
      </c>
      <c r="E959" s="1" t="s">
        <v>28</v>
      </c>
      <c r="F959" s="1" t="s">
        <v>29</v>
      </c>
      <c r="G959" s="1" t="s">
        <v>55</v>
      </c>
      <c r="H959" s="1" t="s">
        <v>73</v>
      </c>
      <c r="I959" s="1">
        <v>7</v>
      </c>
      <c r="J959" s="1">
        <v>32.49</v>
      </c>
      <c r="K959" s="1">
        <v>0.15</v>
      </c>
      <c r="L959" s="1">
        <v>193.32</v>
      </c>
      <c r="M959" s="1" t="str">
        <f t="shared" si="28"/>
        <v>Online</v>
      </c>
      <c r="N959" s="1">
        <f t="shared" si="29"/>
        <v>62.01</v>
      </c>
    </row>
    <row r="960" spans="1:14" x14ac:dyDescent="0.3">
      <c r="A960" s="1" t="s">
        <v>1296</v>
      </c>
      <c r="B960" s="1" t="s">
        <v>1295</v>
      </c>
      <c r="C960" s="1" t="s">
        <v>14</v>
      </c>
      <c r="D960" s="1" t="s">
        <v>27</v>
      </c>
      <c r="E960" s="1" t="s">
        <v>28</v>
      </c>
      <c r="F960" s="1" t="s">
        <v>36</v>
      </c>
      <c r="G960" s="1" t="s">
        <v>70</v>
      </c>
      <c r="H960" s="1" t="s">
        <v>40</v>
      </c>
      <c r="I960" s="1">
        <v>4</v>
      </c>
      <c r="J960" s="1">
        <v>553.32000000000005</v>
      </c>
      <c r="K960" s="1">
        <v>0</v>
      </c>
      <c r="L960" s="1">
        <v>2213.2800000000002</v>
      </c>
      <c r="M960" s="1" t="str">
        <f t="shared" si="28"/>
        <v>Online</v>
      </c>
      <c r="N960" s="1">
        <f t="shared" si="29"/>
        <v>16.2</v>
      </c>
    </row>
    <row r="961" spans="1:14" x14ac:dyDescent="0.3">
      <c r="A961" s="1" t="s">
        <v>1297</v>
      </c>
      <c r="B961" s="1" t="s">
        <v>1295</v>
      </c>
      <c r="C961" s="1" t="s">
        <v>14</v>
      </c>
      <c r="D961" s="1" t="s">
        <v>35</v>
      </c>
      <c r="E961" s="1" t="s">
        <v>28</v>
      </c>
      <c r="F961" s="1" t="s">
        <v>82</v>
      </c>
      <c r="G961" s="1" t="s">
        <v>83</v>
      </c>
      <c r="H961" s="1" t="s">
        <v>31</v>
      </c>
      <c r="I961" s="1">
        <v>2</v>
      </c>
      <c r="J961" s="1">
        <v>4006.8</v>
      </c>
      <c r="K961" s="1">
        <v>0.05</v>
      </c>
      <c r="L961" s="1">
        <v>7612.92</v>
      </c>
      <c r="M961" s="1" t="str">
        <f t="shared" si="28"/>
        <v>Online</v>
      </c>
      <c r="N961" s="1">
        <f t="shared" si="29"/>
        <v>16.2</v>
      </c>
    </row>
    <row r="962" spans="1:14" x14ac:dyDescent="0.3">
      <c r="A962" s="1" t="s">
        <v>1298</v>
      </c>
      <c r="B962" s="1" t="s">
        <v>1295</v>
      </c>
      <c r="C962" s="1" t="s">
        <v>47</v>
      </c>
      <c r="D962" s="1" t="s">
        <v>35</v>
      </c>
      <c r="E962" s="1" t="s">
        <v>16</v>
      </c>
      <c r="F962" s="1" t="s">
        <v>42</v>
      </c>
      <c r="G962" s="1" t="s">
        <v>43</v>
      </c>
      <c r="H962" s="1" t="s">
        <v>58</v>
      </c>
      <c r="I962" s="1">
        <v>6</v>
      </c>
      <c r="J962" s="1">
        <v>157.13999999999999</v>
      </c>
      <c r="K962" s="1">
        <v>0.05</v>
      </c>
      <c r="L962" s="1">
        <v>895.7</v>
      </c>
      <c r="M962" s="1" t="str">
        <f t="shared" ref="M962:M1025" si="30">INDEX(D:D,MATCH(H962,H:H,0))</f>
        <v>Corporate Sales</v>
      </c>
      <c r="N962" s="1">
        <f t="shared" ref="N962:N1025" si="31">VLOOKUP(C:C,C:J,8,FALSE)</f>
        <v>421.2</v>
      </c>
    </row>
    <row r="963" spans="1:14" x14ac:dyDescent="0.3">
      <c r="A963" s="1" t="s">
        <v>1288</v>
      </c>
      <c r="B963" s="1" t="s">
        <v>1289</v>
      </c>
      <c r="C963" s="1" t="s">
        <v>54</v>
      </c>
      <c r="D963" s="1" t="s">
        <v>22</v>
      </c>
      <c r="E963" s="1" t="s">
        <v>16</v>
      </c>
      <c r="F963" s="1" t="s">
        <v>29</v>
      </c>
      <c r="G963" s="1" t="s">
        <v>51</v>
      </c>
      <c r="H963" s="1" t="s">
        <v>80</v>
      </c>
      <c r="I963" s="1">
        <v>3</v>
      </c>
      <c r="J963" s="1">
        <v>42.93</v>
      </c>
      <c r="K963" s="1">
        <v>0.05</v>
      </c>
      <c r="L963" s="1">
        <v>122.35</v>
      </c>
      <c r="M963" s="1" t="str">
        <f t="shared" si="30"/>
        <v>Marketplace</v>
      </c>
      <c r="N963" s="1">
        <f t="shared" si="31"/>
        <v>267.12</v>
      </c>
    </row>
    <row r="964" spans="1:14" x14ac:dyDescent="0.3">
      <c r="A964" s="1" t="s">
        <v>1290</v>
      </c>
      <c r="B964" s="1" t="s">
        <v>1289</v>
      </c>
      <c r="C964" s="1" t="s">
        <v>54</v>
      </c>
      <c r="D964" s="1" t="s">
        <v>22</v>
      </c>
      <c r="E964" s="1" t="s">
        <v>16</v>
      </c>
      <c r="F964" s="1" t="s">
        <v>17</v>
      </c>
      <c r="G964" s="1" t="s">
        <v>98</v>
      </c>
      <c r="H964" s="1" t="s">
        <v>56</v>
      </c>
      <c r="I964" s="1">
        <v>3</v>
      </c>
      <c r="J964" s="1">
        <v>392.85</v>
      </c>
      <c r="K964" s="1">
        <v>0.1</v>
      </c>
      <c r="L964" s="1">
        <v>1060.7</v>
      </c>
      <c r="M964" s="1" t="str">
        <f t="shared" si="30"/>
        <v>Online</v>
      </c>
      <c r="N964" s="1">
        <f t="shared" si="31"/>
        <v>267.12</v>
      </c>
    </row>
    <row r="965" spans="1:14" x14ac:dyDescent="0.3">
      <c r="A965" s="1" t="s">
        <v>1291</v>
      </c>
      <c r="B965" s="1" t="s">
        <v>1289</v>
      </c>
      <c r="C965" s="1" t="s">
        <v>14</v>
      </c>
      <c r="D965" s="1" t="s">
        <v>27</v>
      </c>
      <c r="E965" s="1" t="s">
        <v>16</v>
      </c>
      <c r="F965" s="1" t="s">
        <v>29</v>
      </c>
      <c r="G965" s="1" t="s">
        <v>51</v>
      </c>
      <c r="H965" s="1" t="s">
        <v>31</v>
      </c>
      <c r="I965" s="1">
        <v>2</v>
      </c>
      <c r="J965" s="1">
        <v>40.5</v>
      </c>
      <c r="K965" s="1">
        <v>0.1</v>
      </c>
      <c r="L965" s="1">
        <v>72.900000000000006</v>
      </c>
      <c r="M965" s="1" t="str">
        <f t="shared" si="30"/>
        <v>Online</v>
      </c>
      <c r="N965" s="1">
        <f t="shared" si="31"/>
        <v>16.2</v>
      </c>
    </row>
    <row r="966" spans="1:14" x14ac:dyDescent="0.3">
      <c r="A966" s="1" t="s">
        <v>1292</v>
      </c>
      <c r="B966" s="1" t="s">
        <v>1289</v>
      </c>
      <c r="C966" s="1" t="s">
        <v>61</v>
      </c>
      <c r="D966" s="1" t="s">
        <v>15</v>
      </c>
      <c r="E966" s="1" t="s">
        <v>16</v>
      </c>
      <c r="F966" s="1" t="s">
        <v>42</v>
      </c>
      <c r="G966" s="1" t="s">
        <v>48</v>
      </c>
      <c r="H966" s="1" t="s">
        <v>112</v>
      </c>
      <c r="I966" s="1">
        <v>2</v>
      </c>
      <c r="J966" s="1">
        <v>18.72</v>
      </c>
      <c r="K966" s="1">
        <v>0.1</v>
      </c>
      <c r="L966" s="1">
        <v>33.700000000000003</v>
      </c>
      <c r="M966" s="1" t="str">
        <f t="shared" si="30"/>
        <v>Online</v>
      </c>
      <c r="N966" s="1">
        <f t="shared" si="31"/>
        <v>62.01</v>
      </c>
    </row>
    <row r="967" spans="1:14" x14ac:dyDescent="0.3">
      <c r="A967" s="1" t="s">
        <v>1293</v>
      </c>
      <c r="B967" s="1" t="s">
        <v>1289</v>
      </c>
      <c r="C967" s="1" t="s">
        <v>14</v>
      </c>
      <c r="D967" s="1" t="s">
        <v>15</v>
      </c>
      <c r="E967" s="1" t="s">
        <v>28</v>
      </c>
      <c r="F967" s="1" t="s">
        <v>17</v>
      </c>
      <c r="G967" s="1" t="s">
        <v>62</v>
      </c>
      <c r="H967" s="1" t="s">
        <v>40</v>
      </c>
      <c r="I967" s="1">
        <v>2</v>
      </c>
      <c r="J967" s="1">
        <v>55.08</v>
      </c>
      <c r="K967" s="1">
        <v>0.2</v>
      </c>
      <c r="L967" s="1">
        <v>88.13</v>
      </c>
      <c r="M967" s="1" t="str">
        <f t="shared" si="30"/>
        <v>Online</v>
      </c>
      <c r="N967" s="1">
        <f t="shared" si="31"/>
        <v>16.2</v>
      </c>
    </row>
    <row r="968" spans="1:14" x14ac:dyDescent="0.3">
      <c r="A968" s="1" t="s">
        <v>1282</v>
      </c>
      <c r="B968" s="1" t="s">
        <v>1283</v>
      </c>
      <c r="C968" s="1" t="s">
        <v>14</v>
      </c>
      <c r="D968" s="1" t="s">
        <v>27</v>
      </c>
      <c r="E968" s="1" t="s">
        <v>16</v>
      </c>
      <c r="F968" s="1" t="s">
        <v>82</v>
      </c>
      <c r="G968" s="1" t="s">
        <v>85</v>
      </c>
      <c r="H968" s="1" t="s">
        <v>19</v>
      </c>
      <c r="I968" s="1">
        <v>2</v>
      </c>
      <c r="J968" s="1">
        <v>1620</v>
      </c>
      <c r="K968" s="1">
        <v>0.05</v>
      </c>
      <c r="L968" s="1">
        <v>3078</v>
      </c>
      <c r="M968" s="1" t="str">
        <f t="shared" si="30"/>
        <v>Retail Store</v>
      </c>
      <c r="N968" s="1">
        <f t="shared" si="31"/>
        <v>16.2</v>
      </c>
    </row>
    <row r="969" spans="1:14" x14ac:dyDescent="0.3">
      <c r="A969" s="1" t="s">
        <v>1284</v>
      </c>
      <c r="B969" s="1" t="s">
        <v>1283</v>
      </c>
      <c r="C969" s="1" t="s">
        <v>14</v>
      </c>
      <c r="D969" s="1" t="s">
        <v>22</v>
      </c>
      <c r="E969" s="1" t="s">
        <v>28</v>
      </c>
      <c r="F969" s="1" t="s">
        <v>29</v>
      </c>
      <c r="G969" s="1" t="s">
        <v>39</v>
      </c>
      <c r="H969" s="1" t="s">
        <v>40</v>
      </c>
      <c r="I969" s="1">
        <v>4</v>
      </c>
      <c r="J969" s="1">
        <v>74.88</v>
      </c>
      <c r="K969" s="1">
        <v>0.15</v>
      </c>
      <c r="L969" s="1">
        <v>254.59</v>
      </c>
      <c r="M969" s="1" t="str">
        <f t="shared" si="30"/>
        <v>Online</v>
      </c>
      <c r="N969" s="1">
        <f t="shared" si="31"/>
        <v>16.2</v>
      </c>
    </row>
    <row r="970" spans="1:14" x14ac:dyDescent="0.3">
      <c r="A970" s="1" t="s">
        <v>1285</v>
      </c>
      <c r="B970" s="1" t="s">
        <v>1283</v>
      </c>
      <c r="C970" s="1" t="s">
        <v>61</v>
      </c>
      <c r="D970" s="1" t="s">
        <v>15</v>
      </c>
      <c r="E970" s="1" t="s">
        <v>16</v>
      </c>
      <c r="F970" s="1" t="s">
        <v>23</v>
      </c>
      <c r="G970" s="1" t="s">
        <v>142</v>
      </c>
      <c r="H970" s="1" t="s">
        <v>73</v>
      </c>
      <c r="I970" s="1">
        <v>5</v>
      </c>
      <c r="J970" s="1">
        <v>15.71</v>
      </c>
      <c r="K970" s="1">
        <v>0.03</v>
      </c>
      <c r="L970" s="1">
        <v>76.209999999999994</v>
      </c>
      <c r="M970" s="1" t="str">
        <f t="shared" si="30"/>
        <v>Online</v>
      </c>
      <c r="N970" s="1">
        <f t="shared" si="31"/>
        <v>62.01</v>
      </c>
    </row>
    <row r="971" spans="1:14" x14ac:dyDescent="0.3">
      <c r="A971" s="1" t="s">
        <v>1286</v>
      </c>
      <c r="B971" s="1" t="s">
        <v>1283</v>
      </c>
      <c r="C971" s="1" t="s">
        <v>21</v>
      </c>
      <c r="D971" s="1" t="s">
        <v>15</v>
      </c>
      <c r="E971" s="1" t="s">
        <v>16</v>
      </c>
      <c r="F971" s="1" t="s">
        <v>17</v>
      </c>
      <c r="G971" s="1" t="s">
        <v>98</v>
      </c>
      <c r="H971" s="1" t="s">
        <v>44</v>
      </c>
      <c r="I971" s="1">
        <v>5</v>
      </c>
      <c r="J971" s="1">
        <v>405</v>
      </c>
      <c r="K971" s="1">
        <v>0.05</v>
      </c>
      <c r="L971" s="1">
        <v>1923.75</v>
      </c>
      <c r="M971" s="1" t="str">
        <f t="shared" si="30"/>
        <v>Retail Store</v>
      </c>
      <c r="N971" s="1">
        <f t="shared" si="31"/>
        <v>405</v>
      </c>
    </row>
    <row r="972" spans="1:14" x14ac:dyDescent="0.3">
      <c r="A972" s="1" t="s">
        <v>1287</v>
      </c>
      <c r="B972" s="1" t="s">
        <v>1283</v>
      </c>
      <c r="C972" s="1" t="s">
        <v>21</v>
      </c>
      <c r="D972" s="1" t="s">
        <v>15</v>
      </c>
      <c r="E972" s="1" t="s">
        <v>28</v>
      </c>
      <c r="F972" s="1" t="s">
        <v>23</v>
      </c>
      <c r="G972" s="1" t="s">
        <v>178</v>
      </c>
      <c r="H972" s="1" t="s">
        <v>25</v>
      </c>
      <c r="I972" s="1">
        <v>9</v>
      </c>
      <c r="J972" s="1">
        <v>33.39</v>
      </c>
      <c r="K972" s="1">
        <v>0.08</v>
      </c>
      <c r="L972" s="1">
        <v>276.47000000000003</v>
      </c>
      <c r="M972" s="1" t="str">
        <f t="shared" si="30"/>
        <v>Marketplace</v>
      </c>
      <c r="N972" s="1">
        <f t="shared" si="31"/>
        <v>405</v>
      </c>
    </row>
    <row r="973" spans="1:14" x14ac:dyDescent="0.3">
      <c r="A973" s="1" t="s">
        <v>1276</v>
      </c>
      <c r="B973" s="1" t="s">
        <v>1277</v>
      </c>
      <c r="C973" s="1" t="s">
        <v>21</v>
      </c>
      <c r="D973" s="1" t="s">
        <v>15</v>
      </c>
      <c r="E973" s="1" t="s">
        <v>16</v>
      </c>
      <c r="F973" s="1" t="s">
        <v>82</v>
      </c>
      <c r="G973" s="1" t="s">
        <v>150</v>
      </c>
      <c r="H973" s="1" t="s">
        <v>44</v>
      </c>
      <c r="I973" s="1">
        <v>2</v>
      </c>
      <c r="J973" s="1">
        <v>2793.6</v>
      </c>
      <c r="K973" s="1">
        <v>0.05</v>
      </c>
      <c r="L973" s="1">
        <v>5307.84</v>
      </c>
      <c r="M973" s="1" t="str">
        <f t="shared" si="30"/>
        <v>Retail Store</v>
      </c>
      <c r="N973" s="1">
        <f t="shared" si="31"/>
        <v>405</v>
      </c>
    </row>
    <row r="974" spans="1:14" x14ac:dyDescent="0.3">
      <c r="A974" s="1" t="s">
        <v>1278</v>
      </c>
      <c r="B974" s="1" t="s">
        <v>1277</v>
      </c>
      <c r="C974" s="1" t="s">
        <v>61</v>
      </c>
      <c r="D974" s="1" t="s">
        <v>27</v>
      </c>
      <c r="E974" s="1" t="s">
        <v>28</v>
      </c>
      <c r="F974" s="1" t="s">
        <v>36</v>
      </c>
      <c r="G974" s="1" t="s">
        <v>37</v>
      </c>
      <c r="H974" s="1" t="s">
        <v>63</v>
      </c>
      <c r="I974" s="1">
        <v>3</v>
      </c>
      <c r="J974" s="1">
        <v>810.9</v>
      </c>
      <c r="K974" s="1">
        <v>0.1</v>
      </c>
      <c r="L974" s="1">
        <v>2189.4299999999998</v>
      </c>
      <c r="M974" s="1" t="str">
        <f t="shared" si="30"/>
        <v>Retail Store</v>
      </c>
      <c r="N974" s="1">
        <f t="shared" si="31"/>
        <v>62.01</v>
      </c>
    </row>
    <row r="975" spans="1:14" x14ac:dyDescent="0.3">
      <c r="A975" s="1" t="s">
        <v>1279</v>
      </c>
      <c r="B975" s="1" t="s">
        <v>1277</v>
      </c>
      <c r="C975" s="1" t="s">
        <v>14</v>
      </c>
      <c r="D975" s="1" t="s">
        <v>15</v>
      </c>
      <c r="E975" s="1" t="s">
        <v>16</v>
      </c>
      <c r="F975" s="1" t="s">
        <v>17</v>
      </c>
      <c r="G975" s="1" t="s">
        <v>18</v>
      </c>
      <c r="H975" s="1" t="s">
        <v>19</v>
      </c>
      <c r="I975" s="1">
        <v>2</v>
      </c>
      <c r="J975" s="1">
        <v>81</v>
      </c>
      <c r="K975" s="1">
        <v>0.05</v>
      </c>
      <c r="L975" s="1">
        <v>153.9</v>
      </c>
      <c r="M975" s="1" t="str">
        <f t="shared" si="30"/>
        <v>Retail Store</v>
      </c>
      <c r="N975" s="1">
        <f t="shared" si="31"/>
        <v>16.2</v>
      </c>
    </row>
    <row r="976" spans="1:14" x14ac:dyDescent="0.3">
      <c r="A976" s="1" t="s">
        <v>1280</v>
      </c>
      <c r="B976" s="1" t="s">
        <v>1277</v>
      </c>
      <c r="C976" s="1" t="s">
        <v>47</v>
      </c>
      <c r="D976" s="1" t="s">
        <v>15</v>
      </c>
      <c r="E976" s="1" t="s">
        <v>16</v>
      </c>
      <c r="F976" s="1" t="s">
        <v>17</v>
      </c>
      <c r="G976" s="1" t="s">
        <v>62</v>
      </c>
      <c r="H976" s="1" t="s">
        <v>78</v>
      </c>
      <c r="I976" s="1">
        <v>3</v>
      </c>
      <c r="J976" s="1">
        <v>51.3</v>
      </c>
      <c r="K976" s="1">
        <v>0.08</v>
      </c>
      <c r="L976" s="1">
        <v>141.59</v>
      </c>
      <c r="M976" s="1" t="str">
        <f t="shared" si="30"/>
        <v>Retail Store</v>
      </c>
      <c r="N976" s="1">
        <f t="shared" si="31"/>
        <v>421.2</v>
      </c>
    </row>
    <row r="977" spans="1:14" x14ac:dyDescent="0.3">
      <c r="A977" s="1" t="s">
        <v>1281</v>
      </c>
      <c r="B977" s="1" t="s">
        <v>1277</v>
      </c>
      <c r="C977" s="1" t="s">
        <v>14</v>
      </c>
      <c r="D977" s="1" t="s">
        <v>27</v>
      </c>
      <c r="E977" s="1" t="s">
        <v>16</v>
      </c>
      <c r="F977" s="1" t="s">
        <v>42</v>
      </c>
      <c r="G977" s="1" t="s">
        <v>43</v>
      </c>
      <c r="H977" s="1" t="s">
        <v>31</v>
      </c>
      <c r="I977" s="1">
        <v>3</v>
      </c>
      <c r="J977" s="1">
        <v>162</v>
      </c>
      <c r="K977" s="1">
        <v>0.1</v>
      </c>
      <c r="L977" s="1">
        <v>437.4</v>
      </c>
      <c r="M977" s="1" t="str">
        <f t="shared" si="30"/>
        <v>Online</v>
      </c>
      <c r="N977" s="1">
        <f t="shared" si="31"/>
        <v>16.2</v>
      </c>
    </row>
    <row r="978" spans="1:14" x14ac:dyDescent="0.3">
      <c r="A978" s="1" t="s">
        <v>1273</v>
      </c>
      <c r="B978" s="1" t="s">
        <v>1274</v>
      </c>
      <c r="C978" s="1" t="s">
        <v>54</v>
      </c>
      <c r="D978" s="1" t="s">
        <v>22</v>
      </c>
      <c r="E978" s="1" t="s">
        <v>16</v>
      </c>
      <c r="F978" s="1" t="s">
        <v>29</v>
      </c>
      <c r="G978" s="1" t="s">
        <v>51</v>
      </c>
      <c r="H978" s="1" t="s">
        <v>56</v>
      </c>
      <c r="I978" s="1">
        <v>9</v>
      </c>
      <c r="J978" s="1">
        <v>42.12</v>
      </c>
      <c r="K978" s="1">
        <v>0.1</v>
      </c>
      <c r="L978" s="1">
        <v>341.17</v>
      </c>
      <c r="M978" s="1" t="str">
        <f t="shared" si="30"/>
        <v>Online</v>
      </c>
      <c r="N978" s="1">
        <f t="shared" si="31"/>
        <v>267.12</v>
      </c>
    </row>
    <row r="979" spans="1:14" x14ac:dyDescent="0.3">
      <c r="A979" s="1" t="s">
        <v>1275</v>
      </c>
      <c r="B979" s="1" t="s">
        <v>1274</v>
      </c>
      <c r="C979" s="1" t="s">
        <v>54</v>
      </c>
      <c r="D979" s="1" t="s">
        <v>35</v>
      </c>
      <c r="E979" s="1" t="s">
        <v>16</v>
      </c>
      <c r="F979" s="1" t="s">
        <v>36</v>
      </c>
      <c r="G979" s="1" t="s">
        <v>37</v>
      </c>
      <c r="H979" s="1" t="s">
        <v>56</v>
      </c>
      <c r="I979" s="1">
        <v>3</v>
      </c>
      <c r="J979" s="1">
        <v>726.75</v>
      </c>
      <c r="K979" s="1">
        <v>0.08</v>
      </c>
      <c r="L979" s="1">
        <v>2005.83</v>
      </c>
      <c r="M979" s="1" t="str">
        <f t="shared" si="30"/>
        <v>Online</v>
      </c>
      <c r="N979" s="1">
        <f t="shared" si="31"/>
        <v>267.12</v>
      </c>
    </row>
    <row r="980" spans="1:14" x14ac:dyDescent="0.3">
      <c r="A980" s="1" t="s">
        <v>1261</v>
      </c>
      <c r="B980" s="1" t="s">
        <v>1262</v>
      </c>
      <c r="C980" s="1" t="s">
        <v>54</v>
      </c>
      <c r="D980" s="1" t="s">
        <v>22</v>
      </c>
      <c r="E980" s="1" t="s">
        <v>16</v>
      </c>
      <c r="F980" s="1" t="s">
        <v>42</v>
      </c>
      <c r="G980" s="1" t="s">
        <v>65</v>
      </c>
      <c r="H980" s="1" t="s">
        <v>71</v>
      </c>
      <c r="I980" s="1">
        <v>8</v>
      </c>
      <c r="J980" s="1">
        <v>702</v>
      </c>
      <c r="K980" s="1">
        <v>0.08</v>
      </c>
      <c r="L980" s="1">
        <v>5166.72</v>
      </c>
      <c r="M980" s="1" t="str">
        <f t="shared" si="30"/>
        <v>Online</v>
      </c>
      <c r="N980" s="1">
        <f t="shared" si="31"/>
        <v>267.12</v>
      </c>
    </row>
    <row r="981" spans="1:14" x14ac:dyDescent="0.3">
      <c r="A981" s="1" t="s">
        <v>1263</v>
      </c>
      <c r="B981" s="1" t="s">
        <v>1262</v>
      </c>
      <c r="C981" s="1" t="s">
        <v>14</v>
      </c>
      <c r="D981" s="1" t="s">
        <v>22</v>
      </c>
      <c r="E981" s="1" t="s">
        <v>16</v>
      </c>
      <c r="F981" s="1" t="s">
        <v>23</v>
      </c>
      <c r="G981" s="1" t="s">
        <v>103</v>
      </c>
      <c r="H981" s="1" t="s">
        <v>19</v>
      </c>
      <c r="I981" s="1">
        <v>3</v>
      </c>
      <c r="J981" s="1">
        <v>10.48</v>
      </c>
      <c r="K981" s="1">
        <v>0.08</v>
      </c>
      <c r="L981" s="1">
        <v>28.91</v>
      </c>
      <c r="M981" s="1" t="str">
        <f t="shared" si="30"/>
        <v>Retail Store</v>
      </c>
      <c r="N981" s="1">
        <f t="shared" si="31"/>
        <v>16.2</v>
      </c>
    </row>
    <row r="982" spans="1:14" x14ac:dyDescent="0.3">
      <c r="A982" s="1" t="s">
        <v>1264</v>
      </c>
      <c r="B982" s="1" t="s">
        <v>1262</v>
      </c>
      <c r="C982" s="1" t="s">
        <v>21</v>
      </c>
      <c r="D982" s="1" t="s">
        <v>35</v>
      </c>
      <c r="E982" s="1" t="s">
        <v>16</v>
      </c>
      <c r="F982" s="1" t="s">
        <v>36</v>
      </c>
      <c r="G982" s="1" t="s">
        <v>119</v>
      </c>
      <c r="H982" s="1" t="s">
        <v>86</v>
      </c>
      <c r="I982" s="1">
        <v>3</v>
      </c>
      <c r="J982" s="1">
        <v>630</v>
      </c>
      <c r="K982" s="1">
        <v>0.03</v>
      </c>
      <c r="L982" s="1">
        <v>1833.3</v>
      </c>
      <c r="M982" s="1" t="str">
        <f t="shared" si="30"/>
        <v>Online</v>
      </c>
      <c r="N982" s="1">
        <f t="shared" si="31"/>
        <v>405</v>
      </c>
    </row>
    <row r="983" spans="1:14" x14ac:dyDescent="0.3">
      <c r="A983" s="1" t="s">
        <v>1265</v>
      </c>
      <c r="B983" s="1" t="s">
        <v>1262</v>
      </c>
      <c r="C983" s="1" t="s">
        <v>21</v>
      </c>
      <c r="D983" s="1" t="s">
        <v>27</v>
      </c>
      <c r="E983" s="1" t="s">
        <v>28</v>
      </c>
      <c r="F983" s="1" t="s">
        <v>42</v>
      </c>
      <c r="G983" s="1" t="s">
        <v>43</v>
      </c>
      <c r="H983" s="1" t="s">
        <v>86</v>
      </c>
      <c r="I983" s="1">
        <v>7</v>
      </c>
      <c r="J983" s="1">
        <v>165.24</v>
      </c>
      <c r="K983" s="1">
        <v>0</v>
      </c>
      <c r="L983" s="1">
        <v>1156.68</v>
      </c>
      <c r="M983" s="1" t="str">
        <f t="shared" si="30"/>
        <v>Online</v>
      </c>
      <c r="N983" s="1">
        <f t="shared" si="31"/>
        <v>405</v>
      </c>
    </row>
    <row r="984" spans="1:14" x14ac:dyDescent="0.3">
      <c r="A984" s="1" t="s">
        <v>1266</v>
      </c>
      <c r="B984" s="1" t="s">
        <v>1262</v>
      </c>
      <c r="C984" s="1" t="s">
        <v>61</v>
      </c>
      <c r="D984" s="1" t="s">
        <v>15</v>
      </c>
      <c r="E984" s="1" t="s">
        <v>16</v>
      </c>
      <c r="F984" s="1" t="s">
        <v>42</v>
      </c>
      <c r="G984" s="1" t="s">
        <v>43</v>
      </c>
      <c r="H984" s="1" t="s">
        <v>73</v>
      </c>
      <c r="I984" s="1">
        <v>3</v>
      </c>
      <c r="J984" s="1">
        <v>168.48</v>
      </c>
      <c r="K984" s="1">
        <v>0.15</v>
      </c>
      <c r="L984" s="1">
        <v>429.62</v>
      </c>
      <c r="M984" s="1" t="str">
        <f t="shared" si="30"/>
        <v>Online</v>
      </c>
      <c r="N984" s="1">
        <f t="shared" si="31"/>
        <v>62.01</v>
      </c>
    </row>
    <row r="985" spans="1:14" x14ac:dyDescent="0.3">
      <c r="A985" s="1" t="s">
        <v>1267</v>
      </c>
      <c r="B985" s="1" t="s">
        <v>1262</v>
      </c>
      <c r="C985" s="1" t="s">
        <v>54</v>
      </c>
      <c r="D985" s="1" t="s">
        <v>15</v>
      </c>
      <c r="E985" s="1" t="s">
        <v>16</v>
      </c>
      <c r="F985" s="1" t="s">
        <v>82</v>
      </c>
      <c r="G985" s="1" t="s">
        <v>114</v>
      </c>
      <c r="H985" s="1" t="s">
        <v>71</v>
      </c>
      <c r="I985" s="1">
        <v>3</v>
      </c>
      <c r="J985" s="1">
        <v>2340</v>
      </c>
      <c r="K985" s="1">
        <v>0.08</v>
      </c>
      <c r="L985" s="1">
        <v>6458.4</v>
      </c>
      <c r="M985" s="1" t="str">
        <f t="shared" si="30"/>
        <v>Online</v>
      </c>
      <c r="N985" s="1">
        <f t="shared" si="31"/>
        <v>267.12</v>
      </c>
    </row>
    <row r="986" spans="1:14" x14ac:dyDescent="0.3">
      <c r="A986" s="1" t="s">
        <v>1268</v>
      </c>
      <c r="B986" s="1" t="s">
        <v>1262</v>
      </c>
      <c r="C986" s="1" t="s">
        <v>54</v>
      </c>
      <c r="D986" s="1" t="s">
        <v>15</v>
      </c>
      <c r="E986" s="1" t="s">
        <v>28</v>
      </c>
      <c r="F986" s="1" t="s">
        <v>17</v>
      </c>
      <c r="G986" s="1" t="s">
        <v>62</v>
      </c>
      <c r="H986" s="1" t="s">
        <v>56</v>
      </c>
      <c r="I986" s="1">
        <v>6</v>
      </c>
      <c r="J986" s="1">
        <v>54</v>
      </c>
      <c r="K986" s="1">
        <v>0.05</v>
      </c>
      <c r="L986" s="1">
        <v>307.8</v>
      </c>
      <c r="M986" s="1" t="str">
        <f t="shared" si="30"/>
        <v>Online</v>
      </c>
      <c r="N986" s="1">
        <f t="shared" si="31"/>
        <v>267.12</v>
      </c>
    </row>
    <row r="987" spans="1:14" x14ac:dyDescent="0.3">
      <c r="A987" s="1" t="s">
        <v>1269</v>
      </c>
      <c r="B987" s="1" t="s">
        <v>1262</v>
      </c>
      <c r="C987" s="1" t="s">
        <v>14</v>
      </c>
      <c r="D987" s="1" t="s">
        <v>15</v>
      </c>
      <c r="E987" s="1" t="s">
        <v>28</v>
      </c>
      <c r="F987" s="1" t="s">
        <v>82</v>
      </c>
      <c r="G987" s="1" t="s">
        <v>83</v>
      </c>
      <c r="H987" s="1" t="s">
        <v>31</v>
      </c>
      <c r="I987" s="1">
        <v>2</v>
      </c>
      <c r="J987" s="1">
        <v>3666.6</v>
      </c>
      <c r="K987" s="1">
        <v>0.08</v>
      </c>
      <c r="L987" s="1">
        <v>6746.54</v>
      </c>
      <c r="M987" s="1" t="str">
        <f t="shared" si="30"/>
        <v>Online</v>
      </c>
      <c r="N987" s="1">
        <f t="shared" si="31"/>
        <v>16.2</v>
      </c>
    </row>
    <row r="988" spans="1:14" x14ac:dyDescent="0.3">
      <c r="A988" s="1" t="s">
        <v>1270</v>
      </c>
      <c r="B988" s="1" t="s">
        <v>1262</v>
      </c>
      <c r="C988" s="1" t="s">
        <v>14</v>
      </c>
      <c r="D988" s="1" t="s">
        <v>22</v>
      </c>
      <c r="E988" s="1" t="s">
        <v>16</v>
      </c>
      <c r="F988" s="1" t="s">
        <v>29</v>
      </c>
      <c r="G988" s="1" t="s">
        <v>30</v>
      </c>
      <c r="H988" s="1" t="s">
        <v>31</v>
      </c>
      <c r="I988" s="1">
        <v>2</v>
      </c>
      <c r="J988" s="1">
        <v>49.5</v>
      </c>
      <c r="K988" s="1">
        <v>0.05</v>
      </c>
      <c r="L988" s="1">
        <v>94.05</v>
      </c>
      <c r="M988" s="1" t="str">
        <f t="shared" si="30"/>
        <v>Online</v>
      </c>
      <c r="N988" s="1">
        <f t="shared" si="31"/>
        <v>16.2</v>
      </c>
    </row>
    <row r="989" spans="1:14" x14ac:dyDescent="0.3">
      <c r="A989" s="1" t="s">
        <v>1271</v>
      </c>
      <c r="B989" s="1" t="s">
        <v>1262</v>
      </c>
      <c r="C989" s="1" t="s">
        <v>14</v>
      </c>
      <c r="D989" s="1" t="s">
        <v>27</v>
      </c>
      <c r="E989" s="1" t="s">
        <v>16</v>
      </c>
      <c r="F989" s="1" t="s">
        <v>82</v>
      </c>
      <c r="G989" s="1" t="s">
        <v>96</v>
      </c>
      <c r="H989" s="1" t="s">
        <v>40</v>
      </c>
      <c r="I989" s="1">
        <v>3</v>
      </c>
      <c r="J989" s="1">
        <v>2700</v>
      </c>
      <c r="K989" s="1">
        <v>0.1</v>
      </c>
      <c r="L989" s="1">
        <v>7290</v>
      </c>
      <c r="M989" s="1" t="str">
        <f t="shared" si="30"/>
        <v>Online</v>
      </c>
      <c r="N989" s="1">
        <f t="shared" si="31"/>
        <v>16.2</v>
      </c>
    </row>
    <row r="990" spans="1:14" x14ac:dyDescent="0.3">
      <c r="A990" s="1" t="s">
        <v>1272</v>
      </c>
      <c r="B990" s="1" t="s">
        <v>1262</v>
      </c>
      <c r="C990" s="1" t="s">
        <v>61</v>
      </c>
      <c r="D990" s="1" t="s">
        <v>15</v>
      </c>
      <c r="E990" s="1" t="s">
        <v>16</v>
      </c>
      <c r="F990" s="1" t="s">
        <v>36</v>
      </c>
      <c r="G990" s="1" t="s">
        <v>70</v>
      </c>
      <c r="H990" s="1" t="s">
        <v>112</v>
      </c>
      <c r="I990" s="1">
        <v>2</v>
      </c>
      <c r="J990" s="1">
        <v>542.88</v>
      </c>
      <c r="K990" s="1">
        <v>0.1</v>
      </c>
      <c r="L990" s="1">
        <v>977.18</v>
      </c>
      <c r="M990" s="1" t="str">
        <f t="shared" si="30"/>
        <v>Online</v>
      </c>
      <c r="N990" s="1">
        <f t="shared" si="31"/>
        <v>62.01</v>
      </c>
    </row>
    <row r="991" spans="1:14" x14ac:dyDescent="0.3">
      <c r="A991" s="1" t="s">
        <v>1255</v>
      </c>
      <c r="B991" s="1" t="s">
        <v>1256</v>
      </c>
      <c r="C991" s="1" t="s">
        <v>61</v>
      </c>
      <c r="D991" s="1" t="s">
        <v>27</v>
      </c>
      <c r="E991" s="1" t="s">
        <v>28</v>
      </c>
      <c r="F991" s="1" t="s">
        <v>17</v>
      </c>
      <c r="G991" s="1" t="s">
        <v>189</v>
      </c>
      <c r="H991" s="1" t="s">
        <v>63</v>
      </c>
      <c r="I991" s="1">
        <v>4</v>
      </c>
      <c r="J991" s="1">
        <v>293.76</v>
      </c>
      <c r="K991" s="1">
        <v>0.15</v>
      </c>
      <c r="L991" s="1">
        <v>998.78</v>
      </c>
      <c r="M991" s="1" t="str">
        <f t="shared" si="30"/>
        <v>Retail Store</v>
      </c>
      <c r="N991" s="1">
        <f t="shared" si="31"/>
        <v>62.01</v>
      </c>
    </row>
    <row r="992" spans="1:14" x14ac:dyDescent="0.3">
      <c r="A992" s="1" t="s">
        <v>1257</v>
      </c>
      <c r="B992" s="1" t="s">
        <v>1256</v>
      </c>
      <c r="C992" s="1" t="s">
        <v>21</v>
      </c>
      <c r="D992" s="1" t="s">
        <v>27</v>
      </c>
      <c r="E992" s="1" t="s">
        <v>16</v>
      </c>
      <c r="F992" s="1" t="s">
        <v>17</v>
      </c>
      <c r="G992" s="1" t="s">
        <v>18</v>
      </c>
      <c r="H992" s="1" t="s">
        <v>44</v>
      </c>
      <c r="I992" s="1">
        <v>4</v>
      </c>
      <c r="J992" s="1">
        <v>81</v>
      </c>
      <c r="K992" s="1">
        <v>0.03</v>
      </c>
      <c r="L992" s="1">
        <v>314.27999999999997</v>
      </c>
      <c r="M992" s="1" t="str">
        <f t="shared" si="30"/>
        <v>Retail Store</v>
      </c>
      <c r="N992" s="1">
        <f t="shared" si="31"/>
        <v>405</v>
      </c>
    </row>
    <row r="993" spans="1:14" x14ac:dyDescent="0.3">
      <c r="A993" s="1" t="s">
        <v>1258</v>
      </c>
      <c r="B993" s="1" t="s">
        <v>1256</v>
      </c>
      <c r="C993" s="1" t="s">
        <v>54</v>
      </c>
      <c r="D993" s="1" t="s">
        <v>22</v>
      </c>
      <c r="E993" s="1" t="s">
        <v>16</v>
      </c>
      <c r="F993" s="1" t="s">
        <v>82</v>
      </c>
      <c r="G993" s="1" t="s">
        <v>85</v>
      </c>
      <c r="H993" s="1" t="s">
        <v>56</v>
      </c>
      <c r="I993" s="1">
        <v>3</v>
      </c>
      <c r="J993" s="1">
        <v>1684.8</v>
      </c>
      <c r="K993" s="1">
        <v>0.08</v>
      </c>
      <c r="L993" s="1">
        <v>4650.05</v>
      </c>
      <c r="M993" s="1" t="str">
        <f t="shared" si="30"/>
        <v>Online</v>
      </c>
      <c r="N993" s="1">
        <f t="shared" si="31"/>
        <v>267.12</v>
      </c>
    </row>
    <row r="994" spans="1:14" x14ac:dyDescent="0.3">
      <c r="A994" s="1" t="s">
        <v>1259</v>
      </c>
      <c r="B994" s="1" t="s">
        <v>1256</v>
      </c>
      <c r="C994" s="1" t="s">
        <v>61</v>
      </c>
      <c r="D994" s="1" t="s">
        <v>35</v>
      </c>
      <c r="E994" s="1" t="s">
        <v>16</v>
      </c>
      <c r="F994" s="1" t="s">
        <v>82</v>
      </c>
      <c r="G994" s="1" t="s">
        <v>150</v>
      </c>
      <c r="H994" s="1" t="s">
        <v>112</v>
      </c>
      <c r="I994" s="1">
        <v>2</v>
      </c>
      <c r="J994" s="1">
        <v>2880</v>
      </c>
      <c r="K994" s="1">
        <v>0.2</v>
      </c>
      <c r="L994" s="1">
        <v>4608</v>
      </c>
      <c r="M994" s="1" t="str">
        <f t="shared" si="30"/>
        <v>Online</v>
      </c>
      <c r="N994" s="1">
        <f t="shared" si="31"/>
        <v>62.01</v>
      </c>
    </row>
    <row r="995" spans="1:14" x14ac:dyDescent="0.3">
      <c r="A995" s="1" t="s">
        <v>1260</v>
      </c>
      <c r="B995" s="1" t="s">
        <v>1256</v>
      </c>
      <c r="C995" s="1" t="s">
        <v>21</v>
      </c>
      <c r="D995" s="1" t="s">
        <v>15</v>
      </c>
      <c r="E995" s="1" t="s">
        <v>16</v>
      </c>
      <c r="F995" s="1" t="s">
        <v>82</v>
      </c>
      <c r="G995" s="1" t="s">
        <v>114</v>
      </c>
      <c r="H995" s="1" t="s">
        <v>25</v>
      </c>
      <c r="I995" s="1">
        <v>2</v>
      </c>
      <c r="J995" s="1">
        <v>2137.5</v>
      </c>
      <c r="K995" s="1">
        <v>0.08</v>
      </c>
      <c r="L995" s="1">
        <v>3933</v>
      </c>
      <c r="M995" s="1" t="str">
        <f t="shared" si="30"/>
        <v>Marketplace</v>
      </c>
      <c r="N995" s="1">
        <f t="shared" si="31"/>
        <v>405</v>
      </c>
    </row>
    <row r="996" spans="1:14" x14ac:dyDescent="0.3">
      <c r="A996" s="1" t="s">
        <v>1248</v>
      </c>
      <c r="B996" s="1" t="s">
        <v>1249</v>
      </c>
      <c r="C996" s="1" t="s">
        <v>61</v>
      </c>
      <c r="D996" s="1" t="s">
        <v>27</v>
      </c>
      <c r="E996" s="1" t="s">
        <v>16</v>
      </c>
      <c r="F996" s="1" t="s">
        <v>42</v>
      </c>
      <c r="G996" s="1" t="s">
        <v>65</v>
      </c>
      <c r="H996" s="1" t="s">
        <v>73</v>
      </c>
      <c r="I996" s="1">
        <v>7</v>
      </c>
      <c r="J996" s="1">
        <v>702</v>
      </c>
      <c r="K996" s="1">
        <v>0.05</v>
      </c>
      <c r="L996" s="1">
        <v>4668.3</v>
      </c>
      <c r="M996" s="1" t="str">
        <f t="shared" si="30"/>
        <v>Online</v>
      </c>
      <c r="N996" s="1">
        <f t="shared" si="31"/>
        <v>62.01</v>
      </c>
    </row>
    <row r="997" spans="1:14" x14ac:dyDescent="0.3">
      <c r="A997" s="1" t="s">
        <v>1250</v>
      </c>
      <c r="B997" s="1" t="s">
        <v>1249</v>
      </c>
      <c r="C997" s="1" t="s">
        <v>47</v>
      </c>
      <c r="D997" s="1" t="s">
        <v>15</v>
      </c>
      <c r="E997" s="1" t="s">
        <v>28</v>
      </c>
      <c r="F997" s="1" t="s">
        <v>36</v>
      </c>
      <c r="G997" s="1" t="s">
        <v>37</v>
      </c>
      <c r="H997" s="1" t="s">
        <v>78</v>
      </c>
      <c r="I997" s="1">
        <v>2</v>
      </c>
      <c r="J997" s="1">
        <v>742.05</v>
      </c>
      <c r="K997" s="1">
        <v>0.15</v>
      </c>
      <c r="L997" s="1">
        <v>1261.49</v>
      </c>
      <c r="M997" s="1" t="str">
        <f t="shared" si="30"/>
        <v>Retail Store</v>
      </c>
      <c r="N997" s="1">
        <f t="shared" si="31"/>
        <v>421.2</v>
      </c>
    </row>
    <row r="998" spans="1:14" x14ac:dyDescent="0.3">
      <c r="A998" s="1" t="s">
        <v>1251</v>
      </c>
      <c r="B998" s="1" t="s">
        <v>1249</v>
      </c>
      <c r="C998" s="1" t="s">
        <v>14</v>
      </c>
      <c r="D998" s="1" t="s">
        <v>22</v>
      </c>
      <c r="E998" s="1" t="s">
        <v>16</v>
      </c>
      <c r="F998" s="1" t="s">
        <v>17</v>
      </c>
      <c r="G998" s="1" t="s">
        <v>18</v>
      </c>
      <c r="H998" s="1" t="s">
        <v>31</v>
      </c>
      <c r="I998" s="1">
        <v>4</v>
      </c>
      <c r="J998" s="1">
        <v>82.62</v>
      </c>
      <c r="K998" s="1">
        <v>0.08</v>
      </c>
      <c r="L998" s="1">
        <v>304.04000000000002</v>
      </c>
      <c r="M998" s="1" t="str">
        <f t="shared" si="30"/>
        <v>Online</v>
      </c>
      <c r="N998" s="1">
        <f t="shared" si="31"/>
        <v>16.2</v>
      </c>
    </row>
    <row r="999" spans="1:14" x14ac:dyDescent="0.3">
      <c r="A999" s="1" t="s">
        <v>1252</v>
      </c>
      <c r="B999" s="1" t="s">
        <v>1249</v>
      </c>
      <c r="C999" s="1" t="s">
        <v>14</v>
      </c>
      <c r="D999" s="1" t="s">
        <v>15</v>
      </c>
      <c r="E999" s="1" t="s">
        <v>16</v>
      </c>
      <c r="F999" s="1" t="s">
        <v>29</v>
      </c>
      <c r="G999" s="1" t="s">
        <v>88</v>
      </c>
      <c r="H999" s="1" t="s">
        <v>40</v>
      </c>
      <c r="I999" s="1">
        <v>4</v>
      </c>
      <c r="J999" s="1">
        <v>58.5</v>
      </c>
      <c r="K999" s="1">
        <v>0.1</v>
      </c>
      <c r="L999" s="1">
        <v>210.6</v>
      </c>
      <c r="M999" s="1" t="str">
        <f t="shared" si="30"/>
        <v>Online</v>
      </c>
      <c r="N999" s="1">
        <f t="shared" si="31"/>
        <v>16.2</v>
      </c>
    </row>
    <row r="1000" spans="1:14" x14ac:dyDescent="0.3">
      <c r="A1000" s="1" t="s">
        <v>1253</v>
      </c>
      <c r="B1000" s="1" t="s">
        <v>1249</v>
      </c>
      <c r="C1000" s="1" t="s">
        <v>54</v>
      </c>
      <c r="D1000" s="1" t="s">
        <v>35</v>
      </c>
      <c r="E1000" s="1" t="s">
        <v>16</v>
      </c>
      <c r="F1000" s="1" t="s">
        <v>23</v>
      </c>
      <c r="G1000" s="1" t="s">
        <v>142</v>
      </c>
      <c r="H1000" s="1" t="s">
        <v>56</v>
      </c>
      <c r="I1000" s="1">
        <v>3</v>
      </c>
      <c r="J1000" s="1">
        <v>16.52</v>
      </c>
      <c r="K1000" s="1">
        <v>0.1</v>
      </c>
      <c r="L1000" s="1">
        <v>44.61</v>
      </c>
      <c r="M1000" s="1" t="str">
        <f t="shared" si="30"/>
        <v>Online</v>
      </c>
      <c r="N1000" s="1">
        <f t="shared" si="31"/>
        <v>267.12</v>
      </c>
    </row>
    <row r="1001" spans="1:14" x14ac:dyDescent="0.3">
      <c r="A1001" s="1" t="s">
        <v>1254</v>
      </c>
      <c r="B1001" s="1" t="s">
        <v>1249</v>
      </c>
      <c r="C1001" s="1" t="s">
        <v>61</v>
      </c>
      <c r="D1001" s="1" t="s">
        <v>22</v>
      </c>
      <c r="E1001" s="1" t="s">
        <v>28</v>
      </c>
      <c r="F1001" s="1" t="s">
        <v>23</v>
      </c>
      <c r="G1001" s="1" t="s">
        <v>103</v>
      </c>
      <c r="H1001" s="1" t="s">
        <v>73</v>
      </c>
      <c r="I1001" s="1">
        <v>7</v>
      </c>
      <c r="J1001" s="1">
        <v>10.8</v>
      </c>
      <c r="K1001" s="1">
        <v>0.1</v>
      </c>
      <c r="L1001" s="1">
        <v>68.040000000000006</v>
      </c>
      <c r="M1001" s="1" t="str">
        <f t="shared" si="30"/>
        <v>Online</v>
      </c>
      <c r="N1001" s="1">
        <f t="shared" si="31"/>
        <v>62.01</v>
      </c>
    </row>
    <row r="1002" spans="1:14" x14ac:dyDescent="0.3">
      <c r="A1002" s="1" t="s">
        <v>1238</v>
      </c>
      <c r="B1002" s="1" t="s">
        <v>1239</v>
      </c>
      <c r="C1002" s="1" t="s">
        <v>54</v>
      </c>
      <c r="D1002" s="1" t="s">
        <v>15</v>
      </c>
      <c r="E1002" s="1" t="s">
        <v>16</v>
      </c>
      <c r="F1002" s="1" t="s">
        <v>29</v>
      </c>
      <c r="G1002" s="1" t="s">
        <v>55</v>
      </c>
      <c r="H1002" s="1" t="s">
        <v>56</v>
      </c>
      <c r="I1002" s="1">
        <v>2</v>
      </c>
      <c r="J1002" s="1">
        <v>35.57</v>
      </c>
      <c r="K1002" s="1">
        <v>0.03</v>
      </c>
      <c r="L1002" s="1">
        <v>69</v>
      </c>
      <c r="M1002" s="1" t="str">
        <f t="shared" si="30"/>
        <v>Online</v>
      </c>
      <c r="N1002" s="1">
        <f t="shared" si="31"/>
        <v>267.12</v>
      </c>
    </row>
    <row r="1003" spans="1:14" x14ac:dyDescent="0.3">
      <c r="A1003" s="1" t="s">
        <v>1240</v>
      </c>
      <c r="B1003" s="1" t="s">
        <v>1239</v>
      </c>
      <c r="C1003" s="1" t="s">
        <v>47</v>
      </c>
      <c r="D1003" s="1" t="s">
        <v>35</v>
      </c>
      <c r="E1003" s="1" t="s">
        <v>28</v>
      </c>
      <c r="F1003" s="1" t="s">
        <v>42</v>
      </c>
      <c r="G1003" s="1" t="s">
        <v>67</v>
      </c>
      <c r="H1003" s="1" t="s">
        <v>49</v>
      </c>
      <c r="I1003" s="1">
        <v>11</v>
      </c>
      <c r="J1003" s="1">
        <v>244.44</v>
      </c>
      <c r="K1003" s="1">
        <v>0.08</v>
      </c>
      <c r="L1003" s="1">
        <v>2473.73</v>
      </c>
      <c r="M1003" s="1" t="str">
        <f t="shared" si="30"/>
        <v>Retail Store</v>
      </c>
      <c r="N1003" s="1">
        <f t="shared" si="31"/>
        <v>421.2</v>
      </c>
    </row>
    <row r="1004" spans="1:14" x14ac:dyDescent="0.3">
      <c r="A1004" s="1" t="s">
        <v>1241</v>
      </c>
      <c r="B1004" s="1" t="s">
        <v>1239</v>
      </c>
      <c r="C1004" s="1" t="s">
        <v>61</v>
      </c>
      <c r="D1004" s="1" t="s">
        <v>15</v>
      </c>
      <c r="E1004" s="1" t="s">
        <v>16</v>
      </c>
      <c r="F1004" s="1" t="s">
        <v>29</v>
      </c>
      <c r="G1004" s="1" t="s">
        <v>55</v>
      </c>
      <c r="H1004" s="1" t="s">
        <v>63</v>
      </c>
      <c r="I1004" s="1">
        <v>2</v>
      </c>
      <c r="J1004" s="1">
        <v>34.200000000000003</v>
      </c>
      <c r="K1004" s="1">
        <v>0.1</v>
      </c>
      <c r="L1004" s="1">
        <v>61.56</v>
      </c>
      <c r="M1004" s="1" t="str">
        <f t="shared" si="30"/>
        <v>Retail Store</v>
      </c>
      <c r="N1004" s="1">
        <f t="shared" si="31"/>
        <v>62.01</v>
      </c>
    </row>
    <row r="1005" spans="1:14" x14ac:dyDescent="0.3">
      <c r="A1005" s="1" t="s">
        <v>1242</v>
      </c>
      <c r="B1005" s="1" t="s">
        <v>1239</v>
      </c>
      <c r="C1005" s="1" t="s">
        <v>14</v>
      </c>
      <c r="D1005" s="1" t="s">
        <v>27</v>
      </c>
      <c r="E1005" s="1" t="s">
        <v>16</v>
      </c>
      <c r="F1005" s="1" t="s">
        <v>82</v>
      </c>
      <c r="G1005" s="1" t="s">
        <v>96</v>
      </c>
      <c r="H1005" s="1" t="s">
        <v>40</v>
      </c>
      <c r="I1005" s="1">
        <v>4</v>
      </c>
      <c r="J1005" s="1">
        <v>2700</v>
      </c>
      <c r="K1005" s="1">
        <v>0.05</v>
      </c>
      <c r="L1005" s="1">
        <v>10260</v>
      </c>
      <c r="M1005" s="1" t="str">
        <f t="shared" si="30"/>
        <v>Online</v>
      </c>
      <c r="N1005" s="1">
        <f t="shared" si="31"/>
        <v>16.2</v>
      </c>
    </row>
    <row r="1006" spans="1:14" x14ac:dyDescent="0.3">
      <c r="A1006" s="1" t="s">
        <v>1243</v>
      </c>
      <c r="B1006" s="1" t="s">
        <v>1239</v>
      </c>
      <c r="C1006" s="1" t="s">
        <v>61</v>
      </c>
      <c r="D1006" s="1" t="s">
        <v>35</v>
      </c>
      <c r="E1006" s="1" t="s">
        <v>16</v>
      </c>
      <c r="F1006" s="1" t="s">
        <v>42</v>
      </c>
      <c r="G1006" s="1" t="s">
        <v>43</v>
      </c>
      <c r="H1006" s="1" t="s">
        <v>63</v>
      </c>
      <c r="I1006" s="1">
        <v>12</v>
      </c>
      <c r="J1006" s="1">
        <v>162</v>
      </c>
      <c r="K1006" s="1">
        <v>0.03</v>
      </c>
      <c r="L1006" s="1">
        <v>1885.68</v>
      </c>
      <c r="M1006" s="1" t="str">
        <f t="shared" si="30"/>
        <v>Retail Store</v>
      </c>
      <c r="N1006" s="1">
        <f t="shared" si="31"/>
        <v>62.01</v>
      </c>
    </row>
    <row r="1007" spans="1:14" x14ac:dyDescent="0.3">
      <c r="A1007" s="1" t="s">
        <v>1244</v>
      </c>
      <c r="B1007" s="1" t="s">
        <v>1239</v>
      </c>
      <c r="C1007" s="1" t="s">
        <v>47</v>
      </c>
      <c r="D1007" s="1" t="s">
        <v>15</v>
      </c>
      <c r="E1007" s="1" t="s">
        <v>28</v>
      </c>
      <c r="F1007" s="1" t="s">
        <v>36</v>
      </c>
      <c r="G1007" s="1" t="s">
        <v>37</v>
      </c>
      <c r="H1007" s="1" t="s">
        <v>78</v>
      </c>
      <c r="I1007" s="1">
        <v>5</v>
      </c>
      <c r="J1007" s="1">
        <v>726.75</v>
      </c>
      <c r="K1007" s="1">
        <v>0.1</v>
      </c>
      <c r="L1007" s="1">
        <v>3270.38</v>
      </c>
      <c r="M1007" s="1" t="str">
        <f t="shared" si="30"/>
        <v>Retail Store</v>
      </c>
      <c r="N1007" s="1">
        <f t="shared" si="31"/>
        <v>421.2</v>
      </c>
    </row>
    <row r="1008" spans="1:14" x14ac:dyDescent="0.3">
      <c r="A1008" s="1" t="s">
        <v>1245</v>
      </c>
      <c r="B1008" s="1" t="s">
        <v>1239</v>
      </c>
      <c r="C1008" s="1" t="s">
        <v>21</v>
      </c>
      <c r="D1008" s="1" t="s">
        <v>15</v>
      </c>
      <c r="E1008" s="1" t="s">
        <v>16</v>
      </c>
      <c r="F1008" s="1" t="s">
        <v>82</v>
      </c>
      <c r="G1008" s="1" t="s">
        <v>96</v>
      </c>
      <c r="H1008" s="1" t="s">
        <v>44</v>
      </c>
      <c r="I1008" s="1">
        <v>2</v>
      </c>
      <c r="J1008" s="1">
        <v>2808</v>
      </c>
      <c r="K1008" s="1">
        <v>0.1</v>
      </c>
      <c r="L1008" s="1">
        <v>5054.3999999999996</v>
      </c>
      <c r="M1008" s="1" t="str">
        <f t="shared" si="30"/>
        <v>Retail Store</v>
      </c>
      <c r="N1008" s="1">
        <f t="shared" si="31"/>
        <v>405</v>
      </c>
    </row>
    <row r="1009" spans="1:14" x14ac:dyDescent="0.3">
      <c r="A1009" s="1" t="s">
        <v>1246</v>
      </c>
      <c r="B1009" s="1" t="s">
        <v>1239</v>
      </c>
      <c r="C1009" s="1" t="s">
        <v>61</v>
      </c>
      <c r="D1009" s="1" t="s">
        <v>22</v>
      </c>
      <c r="E1009" s="1" t="s">
        <v>28</v>
      </c>
      <c r="F1009" s="1" t="s">
        <v>17</v>
      </c>
      <c r="G1009" s="1" t="s">
        <v>189</v>
      </c>
      <c r="H1009" s="1" t="s">
        <v>112</v>
      </c>
      <c r="I1009" s="1">
        <v>5</v>
      </c>
      <c r="J1009" s="1">
        <v>293.76</v>
      </c>
      <c r="K1009" s="1">
        <v>0.05</v>
      </c>
      <c r="L1009" s="1">
        <v>1395.36</v>
      </c>
      <c r="M1009" s="1" t="str">
        <f t="shared" si="30"/>
        <v>Online</v>
      </c>
      <c r="N1009" s="1">
        <f t="shared" si="31"/>
        <v>62.01</v>
      </c>
    </row>
    <row r="1010" spans="1:14" x14ac:dyDescent="0.3">
      <c r="A1010" s="1" t="s">
        <v>1247</v>
      </c>
      <c r="B1010" s="1" t="s">
        <v>1239</v>
      </c>
      <c r="C1010" s="1" t="s">
        <v>61</v>
      </c>
      <c r="D1010" s="1" t="s">
        <v>15</v>
      </c>
      <c r="E1010" s="1" t="s">
        <v>16</v>
      </c>
      <c r="F1010" s="1" t="s">
        <v>36</v>
      </c>
      <c r="G1010" s="1" t="s">
        <v>119</v>
      </c>
      <c r="H1010" s="1" t="s">
        <v>112</v>
      </c>
      <c r="I1010" s="1">
        <v>2</v>
      </c>
      <c r="J1010" s="1">
        <v>667.8</v>
      </c>
      <c r="K1010" s="1">
        <v>0.1</v>
      </c>
      <c r="L1010" s="1">
        <v>1202.04</v>
      </c>
      <c r="M1010" s="1" t="str">
        <f t="shared" si="30"/>
        <v>Online</v>
      </c>
      <c r="N1010" s="1">
        <f t="shared" si="31"/>
        <v>62.01</v>
      </c>
    </row>
    <row r="1011" spans="1:14" x14ac:dyDescent="0.3">
      <c r="A1011" s="1" t="s">
        <v>1228</v>
      </c>
      <c r="B1011" s="1" t="s">
        <v>1229</v>
      </c>
      <c r="C1011" s="1" t="s">
        <v>47</v>
      </c>
      <c r="D1011" s="1" t="s">
        <v>27</v>
      </c>
      <c r="E1011" s="1" t="s">
        <v>28</v>
      </c>
      <c r="F1011" s="1" t="s">
        <v>17</v>
      </c>
      <c r="G1011" s="1" t="s">
        <v>98</v>
      </c>
      <c r="H1011" s="1" t="s">
        <v>49</v>
      </c>
      <c r="I1011" s="1">
        <v>5</v>
      </c>
      <c r="J1011" s="1">
        <v>413.1</v>
      </c>
      <c r="K1011" s="1">
        <v>0</v>
      </c>
      <c r="L1011" s="1">
        <v>2065.5</v>
      </c>
      <c r="M1011" s="1" t="str">
        <f t="shared" si="30"/>
        <v>Retail Store</v>
      </c>
      <c r="N1011" s="1">
        <f t="shared" si="31"/>
        <v>421.2</v>
      </c>
    </row>
    <row r="1012" spans="1:14" x14ac:dyDescent="0.3">
      <c r="A1012" s="1" t="s">
        <v>1230</v>
      </c>
      <c r="B1012" s="1" t="s">
        <v>1229</v>
      </c>
      <c r="C1012" s="1" t="s">
        <v>54</v>
      </c>
      <c r="D1012" s="1" t="s">
        <v>27</v>
      </c>
      <c r="E1012" s="1" t="s">
        <v>16</v>
      </c>
      <c r="F1012" s="1" t="s">
        <v>82</v>
      </c>
      <c r="G1012" s="1" t="s">
        <v>150</v>
      </c>
      <c r="H1012" s="1" t="s">
        <v>56</v>
      </c>
      <c r="I1012" s="1">
        <v>5</v>
      </c>
      <c r="J1012" s="1">
        <v>2880</v>
      </c>
      <c r="K1012" s="1">
        <v>0.2</v>
      </c>
      <c r="L1012" s="1">
        <v>11520</v>
      </c>
      <c r="M1012" s="1" t="str">
        <f t="shared" si="30"/>
        <v>Online</v>
      </c>
      <c r="N1012" s="1">
        <f t="shared" si="31"/>
        <v>267.12</v>
      </c>
    </row>
    <row r="1013" spans="1:14" x14ac:dyDescent="0.3">
      <c r="A1013" s="1" t="s">
        <v>1231</v>
      </c>
      <c r="B1013" s="1" t="s">
        <v>1229</v>
      </c>
      <c r="C1013" s="1" t="s">
        <v>61</v>
      </c>
      <c r="D1013" s="1" t="s">
        <v>15</v>
      </c>
      <c r="E1013" s="1" t="s">
        <v>16</v>
      </c>
      <c r="F1013" s="1" t="s">
        <v>42</v>
      </c>
      <c r="G1013" s="1" t="s">
        <v>67</v>
      </c>
      <c r="H1013" s="1" t="s">
        <v>73</v>
      </c>
      <c r="I1013" s="1">
        <v>4</v>
      </c>
      <c r="J1013" s="1">
        <v>252</v>
      </c>
      <c r="K1013" s="1">
        <v>0.05</v>
      </c>
      <c r="L1013" s="1">
        <v>957.6</v>
      </c>
      <c r="M1013" s="1" t="str">
        <f t="shared" si="30"/>
        <v>Online</v>
      </c>
      <c r="N1013" s="1">
        <f t="shared" si="31"/>
        <v>62.01</v>
      </c>
    </row>
    <row r="1014" spans="1:14" x14ac:dyDescent="0.3">
      <c r="A1014" s="1" t="s">
        <v>1232</v>
      </c>
      <c r="B1014" s="1" t="s">
        <v>1229</v>
      </c>
      <c r="C1014" s="1" t="s">
        <v>47</v>
      </c>
      <c r="D1014" s="1" t="s">
        <v>15</v>
      </c>
      <c r="E1014" s="1" t="s">
        <v>16</v>
      </c>
      <c r="F1014" s="1" t="s">
        <v>82</v>
      </c>
      <c r="G1014" s="1" t="s">
        <v>96</v>
      </c>
      <c r="H1014" s="1" t="s">
        <v>49</v>
      </c>
      <c r="I1014" s="1">
        <v>5</v>
      </c>
      <c r="J1014" s="1">
        <v>2862</v>
      </c>
      <c r="K1014" s="1">
        <v>0.03</v>
      </c>
      <c r="L1014" s="1">
        <v>13880.7</v>
      </c>
      <c r="M1014" s="1" t="str">
        <f t="shared" si="30"/>
        <v>Retail Store</v>
      </c>
      <c r="N1014" s="1">
        <f t="shared" si="31"/>
        <v>421.2</v>
      </c>
    </row>
    <row r="1015" spans="1:14" x14ac:dyDescent="0.3">
      <c r="A1015" s="1" t="s">
        <v>1233</v>
      </c>
      <c r="B1015" s="1" t="s">
        <v>1229</v>
      </c>
      <c r="C1015" s="1" t="s">
        <v>54</v>
      </c>
      <c r="D1015" s="1" t="s">
        <v>27</v>
      </c>
      <c r="E1015" s="1" t="s">
        <v>16</v>
      </c>
      <c r="F1015" s="1" t="s">
        <v>23</v>
      </c>
      <c r="G1015" s="1" t="s">
        <v>116</v>
      </c>
      <c r="H1015" s="1" t="s">
        <v>71</v>
      </c>
      <c r="I1015" s="1">
        <v>5</v>
      </c>
      <c r="J1015" s="1">
        <v>7.2</v>
      </c>
      <c r="K1015" s="1">
        <v>0.1</v>
      </c>
      <c r="L1015" s="1">
        <v>32.4</v>
      </c>
      <c r="M1015" s="1" t="str">
        <f t="shared" si="30"/>
        <v>Online</v>
      </c>
      <c r="N1015" s="1">
        <f t="shared" si="31"/>
        <v>267.12</v>
      </c>
    </row>
    <row r="1016" spans="1:14" x14ac:dyDescent="0.3">
      <c r="A1016" s="1" t="s">
        <v>1234</v>
      </c>
      <c r="B1016" s="1" t="s">
        <v>1229</v>
      </c>
      <c r="C1016" s="1" t="s">
        <v>61</v>
      </c>
      <c r="D1016" s="1" t="s">
        <v>15</v>
      </c>
      <c r="E1016" s="1" t="s">
        <v>16</v>
      </c>
      <c r="F1016" s="1" t="s">
        <v>42</v>
      </c>
      <c r="G1016" s="1" t="s">
        <v>67</v>
      </c>
      <c r="H1016" s="1" t="s">
        <v>73</v>
      </c>
      <c r="I1016" s="1">
        <v>2</v>
      </c>
      <c r="J1016" s="1">
        <v>262.08</v>
      </c>
      <c r="K1016" s="1">
        <v>0.05</v>
      </c>
      <c r="L1016" s="1">
        <v>497.95</v>
      </c>
      <c r="M1016" s="1" t="str">
        <f t="shared" si="30"/>
        <v>Online</v>
      </c>
      <c r="N1016" s="1">
        <f t="shared" si="31"/>
        <v>62.01</v>
      </c>
    </row>
    <row r="1017" spans="1:14" x14ac:dyDescent="0.3">
      <c r="A1017" s="1" t="s">
        <v>1235</v>
      </c>
      <c r="B1017" s="1" t="s">
        <v>1229</v>
      </c>
      <c r="C1017" s="1" t="s">
        <v>14</v>
      </c>
      <c r="D1017" s="1" t="s">
        <v>15</v>
      </c>
      <c r="E1017" s="1" t="s">
        <v>16</v>
      </c>
      <c r="F1017" s="1" t="s">
        <v>36</v>
      </c>
      <c r="G1017" s="1" t="s">
        <v>37</v>
      </c>
      <c r="H1017" s="1" t="s">
        <v>19</v>
      </c>
      <c r="I1017" s="1">
        <v>2</v>
      </c>
      <c r="J1017" s="1">
        <v>795.6</v>
      </c>
      <c r="K1017" s="1">
        <v>0.03</v>
      </c>
      <c r="L1017" s="1">
        <v>1543.46</v>
      </c>
      <c r="M1017" s="1" t="str">
        <f t="shared" si="30"/>
        <v>Retail Store</v>
      </c>
      <c r="N1017" s="1">
        <f t="shared" si="31"/>
        <v>16.2</v>
      </c>
    </row>
    <row r="1018" spans="1:14" x14ac:dyDescent="0.3">
      <c r="A1018" s="1" t="s">
        <v>1236</v>
      </c>
      <c r="B1018" s="1" t="s">
        <v>1229</v>
      </c>
      <c r="C1018" s="1" t="s">
        <v>61</v>
      </c>
      <c r="D1018" s="1" t="s">
        <v>35</v>
      </c>
      <c r="E1018" s="1" t="s">
        <v>28</v>
      </c>
      <c r="F1018" s="1" t="s">
        <v>17</v>
      </c>
      <c r="G1018" s="1" t="s">
        <v>18</v>
      </c>
      <c r="H1018" s="1" t="s">
        <v>112</v>
      </c>
      <c r="I1018" s="1">
        <v>8</v>
      </c>
      <c r="J1018" s="1">
        <v>81</v>
      </c>
      <c r="K1018" s="1">
        <v>0.03</v>
      </c>
      <c r="L1018" s="1">
        <v>628.55999999999995</v>
      </c>
      <c r="M1018" s="1" t="str">
        <f t="shared" si="30"/>
        <v>Online</v>
      </c>
      <c r="N1018" s="1">
        <f t="shared" si="31"/>
        <v>62.01</v>
      </c>
    </row>
    <row r="1019" spans="1:14" x14ac:dyDescent="0.3">
      <c r="A1019" s="1" t="s">
        <v>1237</v>
      </c>
      <c r="B1019" s="1" t="s">
        <v>1229</v>
      </c>
      <c r="C1019" s="1" t="s">
        <v>61</v>
      </c>
      <c r="D1019" s="1" t="s">
        <v>22</v>
      </c>
      <c r="E1019" s="1" t="s">
        <v>16</v>
      </c>
      <c r="F1019" s="1" t="s">
        <v>29</v>
      </c>
      <c r="G1019" s="1" t="s">
        <v>39</v>
      </c>
      <c r="H1019" s="1" t="s">
        <v>73</v>
      </c>
      <c r="I1019" s="1">
        <v>7</v>
      </c>
      <c r="J1019" s="1">
        <v>72</v>
      </c>
      <c r="K1019" s="1">
        <v>0.08</v>
      </c>
      <c r="L1019" s="1">
        <v>463.68</v>
      </c>
      <c r="M1019" s="1" t="str">
        <f t="shared" si="30"/>
        <v>Online</v>
      </c>
      <c r="N1019" s="1">
        <f t="shared" si="31"/>
        <v>62.01</v>
      </c>
    </row>
    <row r="1020" spans="1:14" x14ac:dyDescent="0.3">
      <c r="A1020" s="1" t="s">
        <v>1218</v>
      </c>
      <c r="B1020" s="1" t="s">
        <v>1219</v>
      </c>
      <c r="C1020" s="1" t="s">
        <v>54</v>
      </c>
      <c r="D1020" s="1" t="s">
        <v>22</v>
      </c>
      <c r="E1020" s="1" t="s">
        <v>16</v>
      </c>
      <c r="F1020" s="1" t="s">
        <v>82</v>
      </c>
      <c r="G1020" s="1" t="s">
        <v>83</v>
      </c>
      <c r="H1020" s="1" t="s">
        <v>71</v>
      </c>
      <c r="I1020" s="1">
        <v>2</v>
      </c>
      <c r="J1020" s="1">
        <v>3780</v>
      </c>
      <c r="K1020" s="1">
        <v>0.2</v>
      </c>
      <c r="L1020" s="1">
        <v>6048</v>
      </c>
      <c r="M1020" s="1" t="str">
        <f t="shared" si="30"/>
        <v>Online</v>
      </c>
      <c r="N1020" s="1">
        <f t="shared" si="31"/>
        <v>267.12</v>
      </c>
    </row>
    <row r="1021" spans="1:14" x14ac:dyDescent="0.3">
      <c r="A1021" s="1" t="s">
        <v>1220</v>
      </c>
      <c r="B1021" s="1" t="s">
        <v>1219</v>
      </c>
      <c r="C1021" s="1" t="s">
        <v>47</v>
      </c>
      <c r="D1021" s="1" t="s">
        <v>15</v>
      </c>
      <c r="E1021" s="1" t="s">
        <v>16</v>
      </c>
      <c r="F1021" s="1" t="s">
        <v>23</v>
      </c>
      <c r="G1021" s="1" t="s">
        <v>24</v>
      </c>
      <c r="H1021" s="1" t="s">
        <v>78</v>
      </c>
      <c r="I1021" s="1">
        <v>2</v>
      </c>
      <c r="J1021" s="1">
        <v>22.5</v>
      </c>
      <c r="K1021" s="1">
        <v>0</v>
      </c>
      <c r="L1021" s="1">
        <v>45</v>
      </c>
      <c r="M1021" s="1" t="str">
        <f t="shared" si="30"/>
        <v>Retail Store</v>
      </c>
      <c r="N1021" s="1">
        <f t="shared" si="31"/>
        <v>421.2</v>
      </c>
    </row>
    <row r="1022" spans="1:14" x14ac:dyDescent="0.3">
      <c r="A1022" s="1" t="s">
        <v>1221</v>
      </c>
      <c r="B1022" s="1" t="s">
        <v>1219</v>
      </c>
      <c r="C1022" s="1" t="s">
        <v>21</v>
      </c>
      <c r="D1022" s="1" t="s">
        <v>27</v>
      </c>
      <c r="E1022" s="1" t="s">
        <v>16</v>
      </c>
      <c r="F1022" s="1" t="s">
        <v>17</v>
      </c>
      <c r="G1022" s="1" t="s">
        <v>18</v>
      </c>
      <c r="H1022" s="1" t="s">
        <v>25</v>
      </c>
      <c r="I1022" s="1">
        <v>7</v>
      </c>
      <c r="J1022" s="1">
        <v>78.569999999999993</v>
      </c>
      <c r="K1022" s="1">
        <v>0.05</v>
      </c>
      <c r="L1022" s="1">
        <v>522.49</v>
      </c>
      <c r="M1022" s="1" t="str">
        <f t="shared" si="30"/>
        <v>Marketplace</v>
      </c>
      <c r="N1022" s="1">
        <f t="shared" si="31"/>
        <v>405</v>
      </c>
    </row>
    <row r="1023" spans="1:14" x14ac:dyDescent="0.3">
      <c r="A1023" s="1" t="s">
        <v>1222</v>
      </c>
      <c r="B1023" s="1" t="s">
        <v>1219</v>
      </c>
      <c r="C1023" s="1" t="s">
        <v>21</v>
      </c>
      <c r="D1023" s="1" t="s">
        <v>35</v>
      </c>
      <c r="E1023" s="1" t="s">
        <v>16</v>
      </c>
      <c r="F1023" s="1" t="s">
        <v>82</v>
      </c>
      <c r="G1023" s="1" t="s">
        <v>114</v>
      </c>
      <c r="H1023" s="1" t="s">
        <v>25</v>
      </c>
      <c r="I1023" s="1">
        <v>2</v>
      </c>
      <c r="J1023" s="1">
        <v>2182.5</v>
      </c>
      <c r="K1023" s="1">
        <v>0.05</v>
      </c>
      <c r="L1023" s="1">
        <v>4146.75</v>
      </c>
      <c r="M1023" s="1" t="str">
        <f t="shared" si="30"/>
        <v>Marketplace</v>
      </c>
      <c r="N1023" s="1">
        <f t="shared" si="31"/>
        <v>405</v>
      </c>
    </row>
    <row r="1024" spans="1:14" x14ac:dyDescent="0.3">
      <c r="A1024" s="1" t="s">
        <v>1223</v>
      </c>
      <c r="B1024" s="1" t="s">
        <v>1219</v>
      </c>
      <c r="C1024" s="1" t="s">
        <v>21</v>
      </c>
      <c r="D1024" s="1" t="s">
        <v>27</v>
      </c>
      <c r="E1024" s="1" t="s">
        <v>16</v>
      </c>
      <c r="F1024" s="1" t="s">
        <v>82</v>
      </c>
      <c r="G1024" s="1" t="s">
        <v>150</v>
      </c>
      <c r="H1024" s="1" t="s">
        <v>44</v>
      </c>
      <c r="I1024" s="1">
        <v>2</v>
      </c>
      <c r="J1024" s="1">
        <v>2880</v>
      </c>
      <c r="K1024" s="1">
        <v>0</v>
      </c>
      <c r="L1024" s="1">
        <v>5760</v>
      </c>
      <c r="M1024" s="1" t="str">
        <f t="shared" si="30"/>
        <v>Retail Store</v>
      </c>
      <c r="N1024" s="1">
        <f t="shared" si="31"/>
        <v>405</v>
      </c>
    </row>
    <row r="1025" spans="1:14" x14ac:dyDescent="0.3">
      <c r="A1025" s="1" t="s">
        <v>1224</v>
      </c>
      <c r="B1025" s="1" t="s">
        <v>1219</v>
      </c>
      <c r="C1025" s="1" t="s">
        <v>47</v>
      </c>
      <c r="D1025" s="1" t="s">
        <v>22</v>
      </c>
      <c r="E1025" s="1" t="s">
        <v>16</v>
      </c>
      <c r="F1025" s="1" t="s">
        <v>23</v>
      </c>
      <c r="G1025" s="1" t="s">
        <v>24</v>
      </c>
      <c r="H1025" s="1" t="s">
        <v>78</v>
      </c>
      <c r="I1025" s="1">
        <v>4</v>
      </c>
      <c r="J1025" s="1">
        <v>23.4</v>
      </c>
      <c r="K1025" s="1">
        <v>0</v>
      </c>
      <c r="L1025" s="1">
        <v>93.6</v>
      </c>
      <c r="M1025" s="1" t="str">
        <f t="shared" si="30"/>
        <v>Retail Store</v>
      </c>
      <c r="N1025" s="1">
        <f t="shared" si="31"/>
        <v>421.2</v>
      </c>
    </row>
    <row r="1026" spans="1:14" x14ac:dyDescent="0.3">
      <c r="A1026" s="1" t="s">
        <v>1225</v>
      </c>
      <c r="B1026" s="1" t="s">
        <v>1219</v>
      </c>
      <c r="C1026" s="1" t="s">
        <v>54</v>
      </c>
      <c r="D1026" s="1" t="s">
        <v>27</v>
      </c>
      <c r="E1026" s="1" t="s">
        <v>28</v>
      </c>
      <c r="F1026" s="1" t="s">
        <v>36</v>
      </c>
      <c r="G1026" s="1" t="s">
        <v>37</v>
      </c>
      <c r="H1026" s="1" t="s">
        <v>71</v>
      </c>
      <c r="I1026" s="1">
        <v>2</v>
      </c>
      <c r="J1026" s="1">
        <v>765</v>
      </c>
      <c r="K1026" s="1">
        <v>0</v>
      </c>
      <c r="L1026" s="1">
        <v>1530</v>
      </c>
      <c r="M1026" s="1" t="str">
        <f t="shared" ref="M1026:M1089" si="32">INDEX(D:D,MATCH(H1026,H:H,0))</f>
        <v>Online</v>
      </c>
      <c r="N1026" s="1">
        <f t="shared" ref="N1026:N1089" si="33">VLOOKUP(C:C,C:J,8,FALSE)</f>
        <v>267.12</v>
      </c>
    </row>
    <row r="1027" spans="1:14" x14ac:dyDescent="0.3">
      <c r="A1027" s="1" t="s">
        <v>1226</v>
      </c>
      <c r="B1027" s="1" t="s">
        <v>1219</v>
      </c>
      <c r="C1027" s="1" t="s">
        <v>61</v>
      </c>
      <c r="D1027" s="1" t="s">
        <v>15</v>
      </c>
      <c r="E1027" s="1" t="s">
        <v>16</v>
      </c>
      <c r="F1027" s="1" t="s">
        <v>17</v>
      </c>
      <c r="G1027" s="1" t="s">
        <v>62</v>
      </c>
      <c r="H1027" s="1" t="s">
        <v>73</v>
      </c>
      <c r="I1027" s="1">
        <v>3</v>
      </c>
      <c r="J1027" s="1">
        <v>56.16</v>
      </c>
      <c r="K1027" s="1">
        <v>0.2</v>
      </c>
      <c r="L1027" s="1">
        <v>134.78</v>
      </c>
      <c r="M1027" s="1" t="str">
        <f t="shared" si="32"/>
        <v>Online</v>
      </c>
      <c r="N1027" s="1">
        <f t="shared" si="33"/>
        <v>62.01</v>
      </c>
    </row>
    <row r="1028" spans="1:14" x14ac:dyDescent="0.3">
      <c r="A1028" s="1" t="s">
        <v>1227</v>
      </c>
      <c r="B1028" s="1" t="s">
        <v>1219</v>
      </c>
      <c r="C1028" s="1" t="s">
        <v>47</v>
      </c>
      <c r="D1028" s="1" t="s">
        <v>15</v>
      </c>
      <c r="E1028" s="1" t="s">
        <v>16</v>
      </c>
      <c r="F1028" s="1" t="s">
        <v>17</v>
      </c>
      <c r="G1028" s="1" t="s">
        <v>189</v>
      </c>
      <c r="H1028" s="1" t="s">
        <v>58</v>
      </c>
      <c r="I1028" s="1">
        <v>2</v>
      </c>
      <c r="J1028" s="1">
        <v>288</v>
      </c>
      <c r="K1028" s="1">
        <v>0.1</v>
      </c>
      <c r="L1028" s="1">
        <v>518.4</v>
      </c>
      <c r="M1028" s="1" t="str">
        <f t="shared" si="32"/>
        <v>Corporate Sales</v>
      </c>
      <c r="N1028" s="1">
        <f t="shared" si="33"/>
        <v>421.2</v>
      </c>
    </row>
    <row r="1029" spans="1:14" x14ac:dyDescent="0.3">
      <c r="A1029" s="1" t="s">
        <v>1214</v>
      </c>
      <c r="B1029" s="1" t="s">
        <v>1215</v>
      </c>
      <c r="C1029" s="1" t="s">
        <v>61</v>
      </c>
      <c r="D1029" s="1" t="s">
        <v>35</v>
      </c>
      <c r="E1029" s="1" t="s">
        <v>16</v>
      </c>
      <c r="F1029" s="1" t="s">
        <v>42</v>
      </c>
      <c r="G1029" s="1" t="s">
        <v>65</v>
      </c>
      <c r="H1029" s="1" t="s">
        <v>73</v>
      </c>
      <c r="I1029" s="1">
        <v>5</v>
      </c>
      <c r="J1029" s="1">
        <v>688.5</v>
      </c>
      <c r="K1029" s="1">
        <v>0.08</v>
      </c>
      <c r="L1029" s="1">
        <v>3167.1</v>
      </c>
      <c r="M1029" s="1" t="str">
        <f t="shared" si="32"/>
        <v>Online</v>
      </c>
      <c r="N1029" s="1">
        <f t="shared" si="33"/>
        <v>62.01</v>
      </c>
    </row>
    <row r="1030" spans="1:14" x14ac:dyDescent="0.3">
      <c r="A1030" s="1" t="s">
        <v>1216</v>
      </c>
      <c r="B1030" s="1" t="s">
        <v>1215</v>
      </c>
      <c r="C1030" s="1" t="s">
        <v>61</v>
      </c>
      <c r="D1030" s="1" t="s">
        <v>22</v>
      </c>
      <c r="E1030" s="1" t="s">
        <v>28</v>
      </c>
      <c r="F1030" s="1" t="s">
        <v>29</v>
      </c>
      <c r="G1030" s="1" t="s">
        <v>30</v>
      </c>
      <c r="H1030" s="1" t="s">
        <v>112</v>
      </c>
      <c r="I1030" s="1">
        <v>7</v>
      </c>
      <c r="J1030" s="1">
        <v>48.02</v>
      </c>
      <c r="K1030" s="1">
        <v>0.08</v>
      </c>
      <c r="L1030" s="1">
        <v>309.22000000000003</v>
      </c>
      <c r="M1030" s="1" t="str">
        <f t="shared" si="32"/>
        <v>Online</v>
      </c>
      <c r="N1030" s="1">
        <f t="shared" si="33"/>
        <v>62.01</v>
      </c>
    </row>
    <row r="1031" spans="1:14" x14ac:dyDescent="0.3">
      <c r="A1031" s="1" t="s">
        <v>1217</v>
      </c>
      <c r="B1031" s="1" t="s">
        <v>1215</v>
      </c>
      <c r="C1031" s="1" t="s">
        <v>54</v>
      </c>
      <c r="D1031" s="1" t="s">
        <v>15</v>
      </c>
      <c r="E1031" s="1" t="s">
        <v>28</v>
      </c>
      <c r="F1031" s="1" t="s">
        <v>23</v>
      </c>
      <c r="G1031" s="1" t="s">
        <v>24</v>
      </c>
      <c r="H1031" s="1" t="s">
        <v>71</v>
      </c>
      <c r="I1031" s="1">
        <v>5</v>
      </c>
      <c r="J1031" s="1">
        <v>23.4</v>
      </c>
      <c r="K1031" s="1">
        <v>0.15</v>
      </c>
      <c r="L1031" s="1">
        <v>99.45</v>
      </c>
      <c r="M1031" s="1" t="str">
        <f t="shared" si="32"/>
        <v>Online</v>
      </c>
      <c r="N1031" s="1">
        <f t="shared" si="33"/>
        <v>267.12</v>
      </c>
    </row>
    <row r="1032" spans="1:14" x14ac:dyDescent="0.3">
      <c r="A1032" s="1" t="s">
        <v>1209</v>
      </c>
      <c r="B1032" s="1" t="s">
        <v>1210</v>
      </c>
      <c r="C1032" s="1" t="s">
        <v>54</v>
      </c>
      <c r="D1032" s="1" t="s">
        <v>15</v>
      </c>
      <c r="E1032" s="1" t="s">
        <v>28</v>
      </c>
      <c r="F1032" s="1" t="s">
        <v>29</v>
      </c>
      <c r="G1032" s="1" t="s">
        <v>39</v>
      </c>
      <c r="H1032" s="1" t="s">
        <v>71</v>
      </c>
      <c r="I1032" s="1">
        <v>2</v>
      </c>
      <c r="J1032" s="1">
        <v>72</v>
      </c>
      <c r="K1032" s="1">
        <v>0.08</v>
      </c>
      <c r="L1032" s="1">
        <v>132.47999999999999</v>
      </c>
      <c r="M1032" s="1" t="str">
        <f t="shared" si="32"/>
        <v>Online</v>
      </c>
      <c r="N1032" s="1">
        <f t="shared" si="33"/>
        <v>267.12</v>
      </c>
    </row>
    <row r="1033" spans="1:14" x14ac:dyDescent="0.3">
      <c r="A1033" s="1" t="s">
        <v>1211</v>
      </c>
      <c r="B1033" s="1" t="s">
        <v>1210</v>
      </c>
      <c r="C1033" s="1" t="s">
        <v>14</v>
      </c>
      <c r="D1033" s="1" t="s">
        <v>15</v>
      </c>
      <c r="E1033" s="1" t="s">
        <v>16</v>
      </c>
      <c r="F1033" s="1" t="s">
        <v>17</v>
      </c>
      <c r="G1033" s="1" t="s">
        <v>62</v>
      </c>
      <c r="H1033" s="1" t="s">
        <v>19</v>
      </c>
      <c r="I1033" s="1">
        <v>4</v>
      </c>
      <c r="J1033" s="1">
        <v>55.08</v>
      </c>
      <c r="K1033" s="1">
        <v>0.2</v>
      </c>
      <c r="L1033" s="1">
        <v>176.26</v>
      </c>
      <c r="M1033" s="1" t="str">
        <f t="shared" si="32"/>
        <v>Retail Store</v>
      </c>
      <c r="N1033" s="1">
        <f t="shared" si="33"/>
        <v>16.2</v>
      </c>
    </row>
    <row r="1034" spans="1:14" x14ac:dyDescent="0.3">
      <c r="A1034" s="1" t="s">
        <v>1212</v>
      </c>
      <c r="B1034" s="1" t="s">
        <v>1210</v>
      </c>
      <c r="C1034" s="1" t="s">
        <v>47</v>
      </c>
      <c r="D1034" s="1" t="s">
        <v>22</v>
      </c>
      <c r="E1034" s="1" t="s">
        <v>28</v>
      </c>
      <c r="F1034" s="1" t="s">
        <v>17</v>
      </c>
      <c r="G1034" s="1" t="s">
        <v>62</v>
      </c>
      <c r="H1034" s="1" t="s">
        <v>58</v>
      </c>
      <c r="I1034" s="1">
        <v>5</v>
      </c>
      <c r="J1034" s="1">
        <v>54</v>
      </c>
      <c r="K1034" s="1">
        <v>0.1</v>
      </c>
      <c r="L1034" s="1">
        <v>243</v>
      </c>
      <c r="M1034" s="1" t="str">
        <f t="shared" si="32"/>
        <v>Corporate Sales</v>
      </c>
      <c r="N1034" s="1">
        <f t="shared" si="33"/>
        <v>421.2</v>
      </c>
    </row>
    <row r="1035" spans="1:14" x14ac:dyDescent="0.3">
      <c r="A1035" s="1" t="s">
        <v>1213</v>
      </c>
      <c r="B1035" s="1" t="s">
        <v>1210</v>
      </c>
      <c r="C1035" s="1" t="s">
        <v>47</v>
      </c>
      <c r="D1035" s="1" t="s">
        <v>15</v>
      </c>
      <c r="E1035" s="1" t="s">
        <v>16</v>
      </c>
      <c r="F1035" s="1" t="s">
        <v>29</v>
      </c>
      <c r="G1035" s="1" t="s">
        <v>30</v>
      </c>
      <c r="H1035" s="1" t="s">
        <v>49</v>
      </c>
      <c r="I1035" s="1">
        <v>3</v>
      </c>
      <c r="J1035" s="1">
        <v>49.5</v>
      </c>
      <c r="K1035" s="1">
        <v>0.15</v>
      </c>
      <c r="L1035" s="1">
        <v>126.23</v>
      </c>
      <c r="M1035" s="1" t="str">
        <f t="shared" si="32"/>
        <v>Retail Store</v>
      </c>
      <c r="N1035" s="1">
        <f t="shared" si="33"/>
        <v>421.2</v>
      </c>
    </row>
    <row r="1036" spans="1:14" x14ac:dyDescent="0.3">
      <c r="A1036" s="1" t="s">
        <v>1194</v>
      </c>
      <c r="B1036" s="1" t="s">
        <v>1195</v>
      </c>
      <c r="C1036" s="1" t="s">
        <v>14</v>
      </c>
      <c r="D1036" s="1" t="s">
        <v>27</v>
      </c>
      <c r="E1036" s="1" t="s">
        <v>28</v>
      </c>
      <c r="F1036" s="1" t="s">
        <v>29</v>
      </c>
      <c r="G1036" s="1" t="s">
        <v>33</v>
      </c>
      <c r="H1036" s="1" t="s">
        <v>31</v>
      </c>
      <c r="I1036" s="1">
        <v>3</v>
      </c>
      <c r="J1036" s="1">
        <v>13.5</v>
      </c>
      <c r="K1036" s="1">
        <v>0.08</v>
      </c>
      <c r="L1036" s="1">
        <v>37.26</v>
      </c>
      <c r="M1036" s="1" t="str">
        <f t="shared" si="32"/>
        <v>Online</v>
      </c>
      <c r="N1036" s="1">
        <f t="shared" si="33"/>
        <v>16.2</v>
      </c>
    </row>
    <row r="1037" spans="1:14" x14ac:dyDescent="0.3">
      <c r="A1037" s="1" t="s">
        <v>1196</v>
      </c>
      <c r="B1037" s="1" t="s">
        <v>1195</v>
      </c>
      <c r="C1037" s="1" t="s">
        <v>47</v>
      </c>
      <c r="D1037" s="1" t="s">
        <v>22</v>
      </c>
      <c r="E1037" s="1" t="s">
        <v>16</v>
      </c>
      <c r="F1037" s="1" t="s">
        <v>29</v>
      </c>
      <c r="G1037" s="1" t="s">
        <v>55</v>
      </c>
      <c r="H1037" s="1" t="s">
        <v>49</v>
      </c>
      <c r="I1037" s="1">
        <v>8</v>
      </c>
      <c r="J1037" s="1">
        <v>34.200000000000003</v>
      </c>
      <c r="K1037" s="1">
        <v>0.1</v>
      </c>
      <c r="L1037" s="1">
        <v>246.24</v>
      </c>
      <c r="M1037" s="1" t="str">
        <f t="shared" si="32"/>
        <v>Retail Store</v>
      </c>
      <c r="N1037" s="1">
        <f t="shared" si="33"/>
        <v>421.2</v>
      </c>
    </row>
    <row r="1038" spans="1:14" x14ac:dyDescent="0.3">
      <c r="A1038" s="1" t="s">
        <v>1197</v>
      </c>
      <c r="B1038" s="1" t="s">
        <v>1195</v>
      </c>
      <c r="C1038" s="1" t="s">
        <v>14</v>
      </c>
      <c r="D1038" s="1" t="s">
        <v>22</v>
      </c>
      <c r="E1038" s="1" t="s">
        <v>16</v>
      </c>
      <c r="F1038" s="1" t="s">
        <v>29</v>
      </c>
      <c r="G1038" s="1" t="s">
        <v>88</v>
      </c>
      <c r="H1038" s="1" t="s">
        <v>31</v>
      </c>
      <c r="I1038" s="1">
        <v>6</v>
      </c>
      <c r="J1038" s="1">
        <v>58.5</v>
      </c>
      <c r="K1038" s="1">
        <v>0.2</v>
      </c>
      <c r="L1038" s="1">
        <v>280.8</v>
      </c>
      <c r="M1038" s="1" t="str">
        <f t="shared" si="32"/>
        <v>Online</v>
      </c>
      <c r="N1038" s="1">
        <f t="shared" si="33"/>
        <v>16.2</v>
      </c>
    </row>
    <row r="1039" spans="1:14" x14ac:dyDescent="0.3">
      <c r="A1039" s="1" t="s">
        <v>1198</v>
      </c>
      <c r="B1039" s="1" t="s">
        <v>1195</v>
      </c>
      <c r="C1039" s="1" t="s">
        <v>61</v>
      </c>
      <c r="D1039" s="1" t="s">
        <v>15</v>
      </c>
      <c r="E1039" s="1" t="s">
        <v>16</v>
      </c>
      <c r="F1039" s="1" t="s">
        <v>23</v>
      </c>
      <c r="G1039" s="1" t="s">
        <v>178</v>
      </c>
      <c r="H1039" s="1" t="s">
        <v>73</v>
      </c>
      <c r="I1039" s="1">
        <v>2</v>
      </c>
      <c r="J1039" s="1">
        <v>33.39</v>
      </c>
      <c r="K1039" s="1">
        <v>0.08</v>
      </c>
      <c r="L1039" s="1">
        <v>61.44</v>
      </c>
      <c r="M1039" s="1" t="str">
        <f t="shared" si="32"/>
        <v>Online</v>
      </c>
      <c r="N1039" s="1">
        <f t="shared" si="33"/>
        <v>62.01</v>
      </c>
    </row>
    <row r="1040" spans="1:14" x14ac:dyDescent="0.3">
      <c r="A1040" s="1" t="s">
        <v>1199</v>
      </c>
      <c r="B1040" s="1" t="s">
        <v>1195</v>
      </c>
      <c r="C1040" s="1" t="s">
        <v>47</v>
      </c>
      <c r="D1040" s="1" t="s">
        <v>35</v>
      </c>
      <c r="E1040" s="1" t="s">
        <v>16</v>
      </c>
      <c r="F1040" s="1" t="s">
        <v>36</v>
      </c>
      <c r="G1040" s="1" t="s">
        <v>37</v>
      </c>
      <c r="H1040" s="1" t="s">
        <v>78</v>
      </c>
      <c r="I1040" s="1">
        <v>5</v>
      </c>
      <c r="J1040" s="1">
        <v>795.6</v>
      </c>
      <c r="K1040" s="1">
        <v>0.05</v>
      </c>
      <c r="L1040" s="1">
        <v>3779.1</v>
      </c>
      <c r="M1040" s="1" t="str">
        <f t="shared" si="32"/>
        <v>Retail Store</v>
      </c>
      <c r="N1040" s="1">
        <f t="shared" si="33"/>
        <v>421.2</v>
      </c>
    </row>
    <row r="1041" spans="1:14" x14ac:dyDescent="0.3">
      <c r="A1041" s="1" t="s">
        <v>1200</v>
      </c>
      <c r="B1041" s="1" t="s">
        <v>1195</v>
      </c>
      <c r="C1041" s="1" t="s">
        <v>61</v>
      </c>
      <c r="D1041" s="1" t="s">
        <v>22</v>
      </c>
      <c r="E1041" s="1" t="s">
        <v>16</v>
      </c>
      <c r="F1041" s="1" t="s">
        <v>29</v>
      </c>
      <c r="G1041" s="1" t="s">
        <v>51</v>
      </c>
      <c r="H1041" s="1" t="s">
        <v>112</v>
      </c>
      <c r="I1041" s="1">
        <v>3</v>
      </c>
      <c r="J1041" s="1">
        <v>42.93</v>
      </c>
      <c r="K1041" s="1">
        <v>0.08</v>
      </c>
      <c r="L1041" s="1">
        <v>118.49</v>
      </c>
      <c r="M1041" s="1" t="str">
        <f t="shared" si="32"/>
        <v>Online</v>
      </c>
      <c r="N1041" s="1">
        <f t="shared" si="33"/>
        <v>62.01</v>
      </c>
    </row>
    <row r="1042" spans="1:14" x14ac:dyDescent="0.3">
      <c r="A1042" s="1" t="s">
        <v>1201</v>
      </c>
      <c r="B1042" s="1" t="s">
        <v>1195</v>
      </c>
      <c r="C1042" s="1" t="s">
        <v>21</v>
      </c>
      <c r="D1042" s="1" t="s">
        <v>27</v>
      </c>
      <c r="E1042" s="1" t="s">
        <v>28</v>
      </c>
      <c r="F1042" s="1" t="s">
        <v>23</v>
      </c>
      <c r="G1042" s="1" t="s">
        <v>178</v>
      </c>
      <c r="H1042" s="1" t="s">
        <v>44</v>
      </c>
      <c r="I1042" s="1">
        <v>4</v>
      </c>
      <c r="J1042" s="1">
        <v>31.5</v>
      </c>
      <c r="K1042" s="1">
        <v>0</v>
      </c>
      <c r="L1042" s="1">
        <v>126</v>
      </c>
      <c r="M1042" s="1" t="str">
        <f t="shared" si="32"/>
        <v>Retail Store</v>
      </c>
      <c r="N1042" s="1">
        <f t="shared" si="33"/>
        <v>405</v>
      </c>
    </row>
    <row r="1043" spans="1:14" x14ac:dyDescent="0.3">
      <c r="A1043" s="1" t="s">
        <v>1202</v>
      </c>
      <c r="B1043" s="1" t="s">
        <v>1195</v>
      </c>
      <c r="C1043" s="1" t="s">
        <v>21</v>
      </c>
      <c r="D1043" s="1" t="s">
        <v>22</v>
      </c>
      <c r="E1043" s="1" t="s">
        <v>16</v>
      </c>
      <c r="F1043" s="1" t="s">
        <v>29</v>
      </c>
      <c r="G1043" s="1" t="s">
        <v>55</v>
      </c>
      <c r="H1043" s="1" t="s">
        <v>44</v>
      </c>
      <c r="I1043" s="1">
        <v>2</v>
      </c>
      <c r="J1043" s="1">
        <v>34.200000000000003</v>
      </c>
      <c r="K1043" s="1">
        <v>0.08</v>
      </c>
      <c r="L1043" s="1">
        <v>62.93</v>
      </c>
      <c r="M1043" s="1" t="str">
        <f t="shared" si="32"/>
        <v>Retail Store</v>
      </c>
      <c r="N1043" s="1">
        <f t="shared" si="33"/>
        <v>405</v>
      </c>
    </row>
    <row r="1044" spans="1:14" x14ac:dyDescent="0.3">
      <c r="A1044" s="1" t="s">
        <v>1203</v>
      </c>
      <c r="B1044" s="1" t="s">
        <v>1195</v>
      </c>
      <c r="C1044" s="1" t="s">
        <v>47</v>
      </c>
      <c r="D1044" s="1" t="s">
        <v>22</v>
      </c>
      <c r="E1044" s="1" t="s">
        <v>16</v>
      </c>
      <c r="F1044" s="1" t="s">
        <v>36</v>
      </c>
      <c r="G1044" s="1" t="s">
        <v>77</v>
      </c>
      <c r="H1044" s="1" t="s">
        <v>58</v>
      </c>
      <c r="I1044" s="1">
        <v>2</v>
      </c>
      <c r="J1044" s="1">
        <v>1282.5</v>
      </c>
      <c r="K1044" s="1">
        <v>0.08</v>
      </c>
      <c r="L1044" s="1">
        <v>2359.8000000000002</v>
      </c>
      <c r="M1044" s="1" t="str">
        <f t="shared" si="32"/>
        <v>Corporate Sales</v>
      </c>
      <c r="N1044" s="1">
        <f t="shared" si="33"/>
        <v>421.2</v>
      </c>
    </row>
    <row r="1045" spans="1:14" x14ac:dyDescent="0.3">
      <c r="A1045" s="1" t="s">
        <v>1204</v>
      </c>
      <c r="B1045" s="1" t="s">
        <v>1195</v>
      </c>
      <c r="C1045" s="1" t="s">
        <v>61</v>
      </c>
      <c r="D1045" s="1" t="s">
        <v>22</v>
      </c>
      <c r="E1045" s="1" t="s">
        <v>16</v>
      </c>
      <c r="F1045" s="1" t="s">
        <v>17</v>
      </c>
      <c r="G1045" s="1" t="s">
        <v>62</v>
      </c>
      <c r="H1045" s="1" t="s">
        <v>63</v>
      </c>
      <c r="I1045" s="1">
        <v>4</v>
      </c>
      <c r="J1045" s="1">
        <v>56.16</v>
      </c>
      <c r="K1045" s="1">
        <v>0.15</v>
      </c>
      <c r="L1045" s="1">
        <v>190.94</v>
      </c>
      <c r="M1045" s="1" t="str">
        <f t="shared" si="32"/>
        <v>Retail Store</v>
      </c>
      <c r="N1045" s="1">
        <f t="shared" si="33"/>
        <v>62.01</v>
      </c>
    </row>
    <row r="1046" spans="1:14" x14ac:dyDescent="0.3">
      <c r="A1046" s="1" t="s">
        <v>1205</v>
      </c>
      <c r="B1046" s="1" t="s">
        <v>1195</v>
      </c>
      <c r="C1046" s="1" t="s">
        <v>14</v>
      </c>
      <c r="D1046" s="1" t="s">
        <v>15</v>
      </c>
      <c r="E1046" s="1" t="s">
        <v>28</v>
      </c>
      <c r="F1046" s="1" t="s">
        <v>29</v>
      </c>
      <c r="G1046" s="1" t="s">
        <v>51</v>
      </c>
      <c r="H1046" s="1" t="s">
        <v>19</v>
      </c>
      <c r="I1046" s="1">
        <v>3</v>
      </c>
      <c r="J1046" s="1">
        <v>40.5</v>
      </c>
      <c r="K1046" s="1">
        <v>0.08</v>
      </c>
      <c r="L1046" s="1">
        <v>111.78</v>
      </c>
      <c r="M1046" s="1" t="str">
        <f t="shared" si="32"/>
        <v>Retail Store</v>
      </c>
      <c r="N1046" s="1">
        <f t="shared" si="33"/>
        <v>16.2</v>
      </c>
    </row>
    <row r="1047" spans="1:14" x14ac:dyDescent="0.3">
      <c r="A1047" s="1" t="s">
        <v>1206</v>
      </c>
      <c r="B1047" s="1" t="s">
        <v>1195</v>
      </c>
      <c r="C1047" s="1" t="s">
        <v>54</v>
      </c>
      <c r="D1047" s="1" t="s">
        <v>15</v>
      </c>
      <c r="E1047" s="1" t="s">
        <v>16</v>
      </c>
      <c r="F1047" s="1" t="s">
        <v>29</v>
      </c>
      <c r="G1047" s="1" t="s">
        <v>51</v>
      </c>
      <c r="H1047" s="1" t="s">
        <v>80</v>
      </c>
      <c r="I1047" s="1">
        <v>6</v>
      </c>
      <c r="J1047" s="1">
        <v>39.29</v>
      </c>
      <c r="K1047" s="1">
        <v>0.05</v>
      </c>
      <c r="L1047" s="1">
        <v>223.92</v>
      </c>
      <c r="M1047" s="1" t="str">
        <f t="shared" si="32"/>
        <v>Marketplace</v>
      </c>
      <c r="N1047" s="1">
        <f t="shared" si="33"/>
        <v>267.12</v>
      </c>
    </row>
    <row r="1048" spans="1:14" x14ac:dyDescent="0.3">
      <c r="A1048" s="1" t="s">
        <v>1207</v>
      </c>
      <c r="B1048" s="1" t="s">
        <v>1195</v>
      </c>
      <c r="C1048" s="1" t="s">
        <v>14</v>
      </c>
      <c r="D1048" s="1" t="s">
        <v>22</v>
      </c>
      <c r="E1048" s="1" t="s">
        <v>16</v>
      </c>
      <c r="F1048" s="1" t="s">
        <v>17</v>
      </c>
      <c r="G1048" s="1" t="s">
        <v>98</v>
      </c>
      <c r="H1048" s="1" t="s">
        <v>40</v>
      </c>
      <c r="I1048" s="1">
        <v>4</v>
      </c>
      <c r="J1048" s="1">
        <v>405</v>
      </c>
      <c r="K1048" s="1">
        <v>0.1</v>
      </c>
      <c r="L1048" s="1">
        <v>1458</v>
      </c>
      <c r="M1048" s="1" t="str">
        <f t="shared" si="32"/>
        <v>Online</v>
      </c>
      <c r="N1048" s="1">
        <f t="shared" si="33"/>
        <v>16.2</v>
      </c>
    </row>
    <row r="1049" spans="1:14" x14ac:dyDescent="0.3">
      <c r="A1049" s="1" t="s">
        <v>1208</v>
      </c>
      <c r="B1049" s="1" t="s">
        <v>1195</v>
      </c>
      <c r="C1049" s="1" t="s">
        <v>47</v>
      </c>
      <c r="D1049" s="1" t="s">
        <v>15</v>
      </c>
      <c r="E1049" s="1" t="s">
        <v>16</v>
      </c>
      <c r="F1049" s="1" t="s">
        <v>82</v>
      </c>
      <c r="G1049" s="1" t="s">
        <v>96</v>
      </c>
      <c r="H1049" s="1" t="s">
        <v>78</v>
      </c>
      <c r="I1049" s="1">
        <v>3</v>
      </c>
      <c r="J1049" s="1">
        <v>2700</v>
      </c>
      <c r="K1049" s="1">
        <v>0.03</v>
      </c>
      <c r="L1049" s="1">
        <v>7857</v>
      </c>
      <c r="M1049" s="1" t="str">
        <f t="shared" si="32"/>
        <v>Retail Store</v>
      </c>
      <c r="N1049" s="1">
        <f t="shared" si="33"/>
        <v>421.2</v>
      </c>
    </row>
    <row r="1050" spans="1:14" x14ac:dyDescent="0.3">
      <c r="A1050" s="1" t="s">
        <v>1178</v>
      </c>
      <c r="B1050" s="1" t="s">
        <v>1179</v>
      </c>
      <c r="C1050" s="1" t="s">
        <v>21</v>
      </c>
      <c r="D1050" s="1" t="s">
        <v>27</v>
      </c>
      <c r="E1050" s="1" t="s">
        <v>28</v>
      </c>
      <c r="F1050" s="1" t="s">
        <v>29</v>
      </c>
      <c r="G1050" s="1" t="s">
        <v>55</v>
      </c>
      <c r="H1050" s="1" t="s">
        <v>25</v>
      </c>
      <c r="I1050" s="1">
        <v>7</v>
      </c>
      <c r="J1050" s="1">
        <v>32.49</v>
      </c>
      <c r="K1050" s="1">
        <v>0.08</v>
      </c>
      <c r="L1050" s="1">
        <v>209.24</v>
      </c>
      <c r="M1050" s="1" t="str">
        <f t="shared" si="32"/>
        <v>Marketplace</v>
      </c>
      <c r="N1050" s="1">
        <f t="shared" si="33"/>
        <v>405</v>
      </c>
    </row>
    <row r="1051" spans="1:14" x14ac:dyDescent="0.3">
      <c r="A1051" s="1" t="s">
        <v>1180</v>
      </c>
      <c r="B1051" s="1" t="s">
        <v>1179</v>
      </c>
      <c r="C1051" s="1" t="s">
        <v>54</v>
      </c>
      <c r="D1051" s="1" t="s">
        <v>27</v>
      </c>
      <c r="E1051" s="1" t="s">
        <v>16</v>
      </c>
      <c r="F1051" s="1" t="s">
        <v>17</v>
      </c>
      <c r="G1051" s="1" t="s">
        <v>18</v>
      </c>
      <c r="H1051" s="1" t="s">
        <v>71</v>
      </c>
      <c r="I1051" s="1">
        <v>4</v>
      </c>
      <c r="J1051" s="1">
        <v>81</v>
      </c>
      <c r="K1051" s="1">
        <v>0.05</v>
      </c>
      <c r="L1051" s="1">
        <v>307.8</v>
      </c>
      <c r="M1051" s="1" t="str">
        <f t="shared" si="32"/>
        <v>Online</v>
      </c>
      <c r="N1051" s="1">
        <f t="shared" si="33"/>
        <v>267.12</v>
      </c>
    </row>
    <row r="1052" spans="1:14" x14ac:dyDescent="0.3">
      <c r="A1052" s="1" t="s">
        <v>1181</v>
      </c>
      <c r="B1052" s="1" t="s">
        <v>1179</v>
      </c>
      <c r="C1052" s="1" t="s">
        <v>54</v>
      </c>
      <c r="D1052" s="1" t="s">
        <v>15</v>
      </c>
      <c r="E1052" s="1" t="s">
        <v>16</v>
      </c>
      <c r="F1052" s="1" t="s">
        <v>29</v>
      </c>
      <c r="G1052" s="1" t="s">
        <v>51</v>
      </c>
      <c r="H1052" s="1" t="s">
        <v>71</v>
      </c>
      <c r="I1052" s="1">
        <v>4</v>
      </c>
      <c r="J1052" s="1">
        <v>39.29</v>
      </c>
      <c r="K1052" s="1">
        <v>0.1</v>
      </c>
      <c r="L1052" s="1">
        <v>141.43</v>
      </c>
      <c r="M1052" s="1" t="str">
        <f t="shared" si="32"/>
        <v>Online</v>
      </c>
      <c r="N1052" s="1">
        <f t="shared" si="33"/>
        <v>267.12</v>
      </c>
    </row>
    <row r="1053" spans="1:14" x14ac:dyDescent="0.3">
      <c r="A1053" s="1" t="s">
        <v>1182</v>
      </c>
      <c r="B1053" s="1" t="s">
        <v>1179</v>
      </c>
      <c r="C1053" s="1" t="s">
        <v>47</v>
      </c>
      <c r="D1053" s="1" t="s">
        <v>27</v>
      </c>
      <c r="E1053" s="1" t="s">
        <v>28</v>
      </c>
      <c r="F1053" s="1" t="s">
        <v>36</v>
      </c>
      <c r="G1053" s="1" t="s">
        <v>37</v>
      </c>
      <c r="H1053" s="1" t="s">
        <v>58</v>
      </c>
      <c r="I1053" s="1">
        <v>4</v>
      </c>
      <c r="J1053" s="1">
        <v>765</v>
      </c>
      <c r="K1053" s="1">
        <v>0.15</v>
      </c>
      <c r="L1053" s="1">
        <v>2601</v>
      </c>
      <c r="M1053" s="1" t="str">
        <f t="shared" si="32"/>
        <v>Corporate Sales</v>
      </c>
      <c r="N1053" s="1">
        <f t="shared" si="33"/>
        <v>421.2</v>
      </c>
    </row>
    <row r="1054" spans="1:14" x14ac:dyDescent="0.3">
      <c r="A1054" s="1" t="s">
        <v>1183</v>
      </c>
      <c r="B1054" s="1" t="s">
        <v>1179</v>
      </c>
      <c r="C1054" s="1" t="s">
        <v>14</v>
      </c>
      <c r="D1054" s="1" t="s">
        <v>15</v>
      </c>
      <c r="E1054" s="1" t="s">
        <v>16</v>
      </c>
      <c r="F1054" s="1" t="s">
        <v>82</v>
      </c>
      <c r="G1054" s="1" t="s">
        <v>85</v>
      </c>
      <c r="H1054" s="1" t="s">
        <v>31</v>
      </c>
      <c r="I1054" s="1">
        <v>2</v>
      </c>
      <c r="J1054" s="1">
        <v>1620</v>
      </c>
      <c r="K1054" s="1">
        <v>0.15</v>
      </c>
      <c r="L1054" s="1">
        <v>2754</v>
      </c>
      <c r="M1054" s="1" t="str">
        <f t="shared" si="32"/>
        <v>Online</v>
      </c>
      <c r="N1054" s="1">
        <f t="shared" si="33"/>
        <v>16.2</v>
      </c>
    </row>
    <row r="1055" spans="1:14" x14ac:dyDescent="0.3">
      <c r="A1055" s="1" t="s">
        <v>1184</v>
      </c>
      <c r="B1055" s="1" t="s">
        <v>1179</v>
      </c>
      <c r="C1055" s="1" t="s">
        <v>21</v>
      </c>
      <c r="D1055" s="1" t="s">
        <v>22</v>
      </c>
      <c r="E1055" s="1" t="s">
        <v>16</v>
      </c>
      <c r="F1055" s="1" t="s">
        <v>82</v>
      </c>
      <c r="G1055" s="1" t="s">
        <v>150</v>
      </c>
      <c r="H1055" s="1" t="s">
        <v>44</v>
      </c>
      <c r="I1055" s="1">
        <v>3</v>
      </c>
      <c r="J1055" s="1">
        <v>2995.2</v>
      </c>
      <c r="K1055" s="1">
        <v>0.1</v>
      </c>
      <c r="L1055" s="1">
        <v>8087.04</v>
      </c>
      <c r="M1055" s="1" t="str">
        <f t="shared" si="32"/>
        <v>Retail Store</v>
      </c>
      <c r="N1055" s="1">
        <f t="shared" si="33"/>
        <v>405</v>
      </c>
    </row>
    <row r="1056" spans="1:14" x14ac:dyDescent="0.3">
      <c r="A1056" s="1" t="s">
        <v>1185</v>
      </c>
      <c r="B1056" s="1" t="s">
        <v>1179</v>
      </c>
      <c r="C1056" s="1" t="s">
        <v>61</v>
      </c>
      <c r="D1056" s="1" t="s">
        <v>15</v>
      </c>
      <c r="E1056" s="1" t="s">
        <v>28</v>
      </c>
      <c r="F1056" s="1" t="s">
        <v>42</v>
      </c>
      <c r="G1056" s="1" t="s">
        <v>67</v>
      </c>
      <c r="H1056" s="1" t="s">
        <v>112</v>
      </c>
      <c r="I1056" s="1">
        <v>2</v>
      </c>
      <c r="J1056" s="1">
        <v>252</v>
      </c>
      <c r="K1056" s="1">
        <v>0.03</v>
      </c>
      <c r="L1056" s="1">
        <v>488.88</v>
      </c>
      <c r="M1056" s="1" t="str">
        <f t="shared" si="32"/>
        <v>Online</v>
      </c>
      <c r="N1056" s="1">
        <f t="shared" si="33"/>
        <v>62.01</v>
      </c>
    </row>
    <row r="1057" spans="1:14" x14ac:dyDescent="0.3">
      <c r="A1057" s="1" t="s">
        <v>1186</v>
      </c>
      <c r="B1057" s="1" t="s">
        <v>1179</v>
      </c>
      <c r="C1057" s="1" t="s">
        <v>21</v>
      </c>
      <c r="D1057" s="1" t="s">
        <v>22</v>
      </c>
      <c r="E1057" s="1" t="s">
        <v>16</v>
      </c>
      <c r="F1057" s="1" t="s">
        <v>29</v>
      </c>
      <c r="G1057" s="1" t="s">
        <v>88</v>
      </c>
      <c r="H1057" s="1" t="s">
        <v>25</v>
      </c>
      <c r="I1057" s="1">
        <v>6</v>
      </c>
      <c r="J1057" s="1">
        <v>59.67</v>
      </c>
      <c r="K1057" s="1">
        <v>0.1</v>
      </c>
      <c r="L1057" s="1">
        <v>322.22000000000003</v>
      </c>
      <c r="M1057" s="1" t="str">
        <f t="shared" si="32"/>
        <v>Marketplace</v>
      </c>
      <c r="N1057" s="1">
        <f t="shared" si="33"/>
        <v>405</v>
      </c>
    </row>
    <row r="1058" spans="1:14" x14ac:dyDescent="0.3">
      <c r="A1058" s="1" t="s">
        <v>1187</v>
      </c>
      <c r="B1058" s="1" t="s">
        <v>1179</v>
      </c>
      <c r="C1058" s="1" t="s">
        <v>14</v>
      </c>
      <c r="D1058" s="1" t="s">
        <v>35</v>
      </c>
      <c r="E1058" s="1" t="s">
        <v>28</v>
      </c>
      <c r="F1058" s="1" t="s">
        <v>42</v>
      </c>
      <c r="G1058" s="1" t="s">
        <v>43</v>
      </c>
      <c r="H1058" s="1" t="s">
        <v>19</v>
      </c>
      <c r="I1058" s="1">
        <v>7</v>
      </c>
      <c r="J1058" s="1">
        <v>157.13999999999999</v>
      </c>
      <c r="K1058" s="1">
        <v>0.08</v>
      </c>
      <c r="L1058" s="1">
        <v>1011.98</v>
      </c>
      <c r="M1058" s="1" t="str">
        <f t="shared" si="32"/>
        <v>Retail Store</v>
      </c>
      <c r="N1058" s="1">
        <f t="shared" si="33"/>
        <v>16.2</v>
      </c>
    </row>
    <row r="1059" spans="1:14" x14ac:dyDescent="0.3">
      <c r="A1059" s="1" t="s">
        <v>1188</v>
      </c>
      <c r="B1059" s="1" t="s">
        <v>1179</v>
      </c>
      <c r="C1059" s="1" t="s">
        <v>61</v>
      </c>
      <c r="D1059" s="1" t="s">
        <v>35</v>
      </c>
      <c r="E1059" s="1" t="s">
        <v>28</v>
      </c>
      <c r="F1059" s="1" t="s">
        <v>42</v>
      </c>
      <c r="G1059" s="1" t="s">
        <v>67</v>
      </c>
      <c r="H1059" s="1" t="s">
        <v>63</v>
      </c>
      <c r="I1059" s="1">
        <v>3</v>
      </c>
      <c r="J1059" s="1">
        <v>239.4</v>
      </c>
      <c r="K1059" s="1">
        <v>0.15</v>
      </c>
      <c r="L1059" s="1">
        <v>610.47</v>
      </c>
      <c r="M1059" s="1" t="str">
        <f t="shared" si="32"/>
        <v>Retail Store</v>
      </c>
      <c r="N1059" s="1">
        <f t="shared" si="33"/>
        <v>62.01</v>
      </c>
    </row>
    <row r="1060" spans="1:14" x14ac:dyDescent="0.3">
      <c r="A1060" s="1" t="s">
        <v>1189</v>
      </c>
      <c r="B1060" s="1" t="s">
        <v>1179</v>
      </c>
      <c r="C1060" s="1" t="s">
        <v>47</v>
      </c>
      <c r="D1060" s="1" t="s">
        <v>15</v>
      </c>
      <c r="E1060" s="1" t="s">
        <v>16</v>
      </c>
      <c r="F1060" s="1" t="s">
        <v>17</v>
      </c>
      <c r="G1060" s="1" t="s">
        <v>98</v>
      </c>
      <c r="H1060" s="1" t="s">
        <v>58</v>
      </c>
      <c r="I1060" s="1">
        <v>4</v>
      </c>
      <c r="J1060" s="1">
        <v>413.1</v>
      </c>
      <c r="K1060" s="1">
        <v>0.1</v>
      </c>
      <c r="L1060" s="1">
        <v>1487.16</v>
      </c>
      <c r="M1060" s="1" t="str">
        <f t="shared" si="32"/>
        <v>Corporate Sales</v>
      </c>
      <c r="N1060" s="1">
        <f t="shared" si="33"/>
        <v>421.2</v>
      </c>
    </row>
    <row r="1061" spans="1:14" x14ac:dyDescent="0.3">
      <c r="A1061" s="1" t="s">
        <v>1190</v>
      </c>
      <c r="B1061" s="1" t="s">
        <v>1179</v>
      </c>
      <c r="C1061" s="1" t="s">
        <v>21</v>
      </c>
      <c r="D1061" s="1" t="s">
        <v>15</v>
      </c>
      <c r="E1061" s="1" t="s">
        <v>16</v>
      </c>
      <c r="F1061" s="1" t="s">
        <v>36</v>
      </c>
      <c r="G1061" s="1" t="s">
        <v>77</v>
      </c>
      <c r="H1061" s="1" t="s">
        <v>44</v>
      </c>
      <c r="I1061" s="1">
        <v>5</v>
      </c>
      <c r="J1061" s="1">
        <v>1431</v>
      </c>
      <c r="K1061" s="1">
        <v>0</v>
      </c>
      <c r="L1061" s="1">
        <v>7155</v>
      </c>
      <c r="M1061" s="1" t="str">
        <f t="shared" si="32"/>
        <v>Retail Store</v>
      </c>
      <c r="N1061" s="1">
        <f t="shared" si="33"/>
        <v>405</v>
      </c>
    </row>
    <row r="1062" spans="1:14" x14ac:dyDescent="0.3">
      <c r="A1062" s="1" t="s">
        <v>1191</v>
      </c>
      <c r="B1062" s="1" t="s">
        <v>1179</v>
      </c>
      <c r="C1062" s="1" t="s">
        <v>47</v>
      </c>
      <c r="D1062" s="1" t="s">
        <v>15</v>
      </c>
      <c r="E1062" s="1" t="s">
        <v>16</v>
      </c>
      <c r="F1062" s="1" t="s">
        <v>42</v>
      </c>
      <c r="G1062" s="1" t="s">
        <v>43</v>
      </c>
      <c r="H1062" s="1" t="s">
        <v>78</v>
      </c>
      <c r="I1062" s="1">
        <v>2</v>
      </c>
      <c r="J1062" s="1">
        <v>153.9</v>
      </c>
      <c r="K1062" s="1">
        <v>0</v>
      </c>
      <c r="L1062" s="1">
        <v>307.8</v>
      </c>
      <c r="M1062" s="1" t="str">
        <f t="shared" si="32"/>
        <v>Retail Store</v>
      </c>
      <c r="N1062" s="1">
        <f t="shared" si="33"/>
        <v>421.2</v>
      </c>
    </row>
    <row r="1063" spans="1:14" x14ac:dyDescent="0.3">
      <c r="A1063" s="1" t="s">
        <v>1192</v>
      </c>
      <c r="B1063" s="1" t="s">
        <v>1179</v>
      </c>
      <c r="C1063" s="1" t="s">
        <v>21</v>
      </c>
      <c r="D1063" s="1" t="s">
        <v>22</v>
      </c>
      <c r="E1063" s="1" t="s">
        <v>16</v>
      </c>
      <c r="F1063" s="1" t="s">
        <v>29</v>
      </c>
      <c r="G1063" s="1" t="s">
        <v>88</v>
      </c>
      <c r="H1063" s="1" t="s">
        <v>44</v>
      </c>
      <c r="I1063" s="1">
        <v>5</v>
      </c>
      <c r="J1063" s="1">
        <v>62.01</v>
      </c>
      <c r="K1063" s="1">
        <v>0.1</v>
      </c>
      <c r="L1063" s="1">
        <v>279.05</v>
      </c>
      <c r="M1063" s="1" t="str">
        <f t="shared" si="32"/>
        <v>Retail Store</v>
      </c>
      <c r="N1063" s="1">
        <f t="shared" si="33"/>
        <v>405</v>
      </c>
    </row>
    <row r="1064" spans="1:14" x14ac:dyDescent="0.3">
      <c r="A1064" s="1" t="s">
        <v>1193</v>
      </c>
      <c r="B1064" s="1" t="s">
        <v>1179</v>
      </c>
      <c r="C1064" s="1" t="s">
        <v>47</v>
      </c>
      <c r="D1064" s="1" t="s">
        <v>22</v>
      </c>
      <c r="E1064" s="1" t="s">
        <v>28</v>
      </c>
      <c r="F1064" s="1" t="s">
        <v>29</v>
      </c>
      <c r="G1064" s="1" t="s">
        <v>51</v>
      </c>
      <c r="H1064" s="1" t="s">
        <v>49</v>
      </c>
      <c r="I1064" s="1">
        <v>2</v>
      </c>
      <c r="J1064" s="1">
        <v>40.5</v>
      </c>
      <c r="K1064" s="1">
        <v>0.05</v>
      </c>
      <c r="L1064" s="1">
        <v>76.95</v>
      </c>
      <c r="M1064" s="1" t="str">
        <f t="shared" si="32"/>
        <v>Retail Store</v>
      </c>
      <c r="N1064" s="1">
        <f t="shared" si="33"/>
        <v>421.2</v>
      </c>
    </row>
    <row r="1065" spans="1:14" x14ac:dyDescent="0.3">
      <c r="A1065" s="1" t="s">
        <v>1163</v>
      </c>
      <c r="B1065" s="1" t="s">
        <v>1164</v>
      </c>
      <c r="C1065" s="1" t="s">
        <v>61</v>
      </c>
      <c r="D1065" s="1" t="s">
        <v>35</v>
      </c>
      <c r="E1065" s="1" t="s">
        <v>28</v>
      </c>
      <c r="F1065" s="1" t="s">
        <v>82</v>
      </c>
      <c r="G1065" s="1" t="s">
        <v>83</v>
      </c>
      <c r="H1065" s="1" t="s">
        <v>112</v>
      </c>
      <c r="I1065" s="1">
        <v>2</v>
      </c>
      <c r="J1065" s="1">
        <v>3591</v>
      </c>
      <c r="K1065" s="1">
        <v>0.2</v>
      </c>
      <c r="L1065" s="1">
        <v>5745.6</v>
      </c>
      <c r="M1065" s="1" t="str">
        <f t="shared" si="32"/>
        <v>Online</v>
      </c>
      <c r="N1065" s="1">
        <f t="shared" si="33"/>
        <v>62.01</v>
      </c>
    </row>
    <row r="1066" spans="1:14" x14ac:dyDescent="0.3">
      <c r="A1066" s="1" t="s">
        <v>1165</v>
      </c>
      <c r="B1066" s="1" t="s">
        <v>1164</v>
      </c>
      <c r="C1066" s="1" t="s">
        <v>21</v>
      </c>
      <c r="D1066" s="1" t="s">
        <v>15</v>
      </c>
      <c r="E1066" s="1" t="s">
        <v>16</v>
      </c>
      <c r="F1066" s="1" t="s">
        <v>17</v>
      </c>
      <c r="G1066" s="1" t="s">
        <v>62</v>
      </c>
      <c r="H1066" s="1" t="s">
        <v>44</v>
      </c>
      <c r="I1066" s="1">
        <v>4</v>
      </c>
      <c r="J1066" s="1">
        <v>55.08</v>
      </c>
      <c r="K1066" s="1">
        <v>0.1</v>
      </c>
      <c r="L1066" s="1">
        <v>198.29</v>
      </c>
      <c r="M1066" s="1" t="str">
        <f t="shared" si="32"/>
        <v>Retail Store</v>
      </c>
      <c r="N1066" s="1">
        <f t="shared" si="33"/>
        <v>405</v>
      </c>
    </row>
    <row r="1067" spans="1:14" x14ac:dyDescent="0.3">
      <c r="A1067" s="1" t="s">
        <v>1166</v>
      </c>
      <c r="B1067" s="1" t="s">
        <v>1164</v>
      </c>
      <c r="C1067" s="1" t="s">
        <v>54</v>
      </c>
      <c r="D1067" s="1" t="s">
        <v>35</v>
      </c>
      <c r="E1067" s="1" t="s">
        <v>16</v>
      </c>
      <c r="F1067" s="1" t="s">
        <v>82</v>
      </c>
      <c r="G1067" s="1" t="s">
        <v>83</v>
      </c>
      <c r="H1067" s="1" t="s">
        <v>56</v>
      </c>
      <c r="I1067" s="1">
        <v>2</v>
      </c>
      <c r="J1067" s="1">
        <v>3780</v>
      </c>
      <c r="K1067" s="1">
        <v>0.15</v>
      </c>
      <c r="L1067" s="1">
        <v>6426</v>
      </c>
      <c r="M1067" s="1" t="str">
        <f t="shared" si="32"/>
        <v>Online</v>
      </c>
      <c r="N1067" s="1">
        <f t="shared" si="33"/>
        <v>267.12</v>
      </c>
    </row>
    <row r="1068" spans="1:14" x14ac:dyDescent="0.3">
      <c r="A1068" s="1" t="s">
        <v>1167</v>
      </c>
      <c r="B1068" s="1" t="s">
        <v>1164</v>
      </c>
      <c r="C1068" s="1" t="s">
        <v>14</v>
      </c>
      <c r="D1068" s="1" t="s">
        <v>22</v>
      </c>
      <c r="E1068" s="1" t="s">
        <v>16</v>
      </c>
      <c r="F1068" s="1" t="s">
        <v>29</v>
      </c>
      <c r="G1068" s="1" t="s">
        <v>30</v>
      </c>
      <c r="H1068" s="1" t="s">
        <v>40</v>
      </c>
      <c r="I1068" s="1">
        <v>8</v>
      </c>
      <c r="J1068" s="1">
        <v>47.03</v>
      </c>
      <c r="K1068" s="1">
        <v>0.15</v>
      </c>
      <c r="L1068" s="1">
        <v>319.77</v>
      </c>
      <c r="M1068" s="1" t="str">
        <f t="shared" si="32"/>
        <v>Online</v>
      </c>
      <c r="N1068" s="1">
        <f t="shared" si="33"/>
        <v>16.2</v>
      </c>
    </row>
    <row r="1069" spans="1:14" x14ac:dyDescent="0.3">
      <c r="A1069" s="1" t="s">
        <v>1168</v>
      </c>
      <c r="B1069" s="1" t="s">
        <v>1164</v>
      </c>
      <c r="C1069" s="1" t="s">
        <v>54</v>
      </c>
      <c r="D1069" s="1" t="s">
        <v>27</v>
      </c>
      <c r="E1069" s="1" t="s">
        <v>16</v>
      </c>
      <c r="F1069" s="1" t="s">
        <v>36</v>
      </c>
      <c r="G1069" s="1" t="s">
        <v>70</v>
      </c>
      <c r="H1069" s="1" t="s">
        <v>71</v>
      </c>
      <c r="I1069" s="1">
        <v>4</v>
      </c>
      <c r="J1069" s="1">
        <v>506.34</v>
      </c>
      <c r="K1069" s="1">
        <v>0.03</v>
      </c>
      <c r="L1069" s="1">
        <v>1964.6</v>
      </c>
      <c r="M1069" s="1" t="str">
        <f t="shared" si="32"/>
        <v>Online</v>
      </c>
      <c r="N1069" s="1">
        <f t="shared" si="33"/>
        <v>267.12</v>
      </c>
    </row>
    <row r="1070" spans="1:14" x14ac:dyDescent="0.3">
      <c r="A1070" s="1" t="s">
        <v>1169</v>
      </c>
      <c r="B1070" s="1" t="s">
        <v>1164</v>
      </c>
      <c r="C1070" s="1" t="s">
        <v>54</v>
      </c>
      <c r="D1070" s="1" t="s">
        <v>15</v>
      </c>
      <c r="E1070" s="1" t="s">
        <v>16</v>
      </c>
      <c r="F1070" s="1" t="s">
        <v>17</v>
      </c>
      <c r="G1070" s="1" t="s">
        <v>18</v>
      </c>
      <c r="H1070" s="1" t="s">
        <v>71</v>
      </c>
      <c r="I1070" s="1">
        <v>4</v>
      </c>
      <c r="J1070" s="1">
        <v>82.62</v>
      </c>
      <c r="K1070" s="1">
        <v>0.05</v>
      </c>
      <c r="L1070" s="1">
        <v>313.95999999999998</v>
      </c>
      <c r="M1070" s="1" t="str">
        <f t="shared" si="32"/>
        <v>Online</v>
      </c>
      <c r="N1070" s="1">
        <f t="shared" si="33"/>
        <v>267.12</v>
      </c>
    </row>
    <row r="1071" spans="1:14" x14ac:dyDescent="0.3">
      <c r="A1071" s="1" t="s">
        <v>1170</v>
      </c>
      <c r="B1071" s="1" t="s">
        <v>1164</v>
      </c>
      <c r="C1071" s="1" t="s">
        <v>14</v>
      </c>
      <c r="D1071" s="1" t="s">
        <v>22</v>
      </c>
      <c r="E1071" s="1" t="s">
        <v>28</v>
      </c>
      <c r="F1071" s="1" t="s">
        <v>36</v>
      </c>
      <c r="G1071" s="1" t="s">
        <v>119</v>
      </c>
      <c r="H1071" s="1" t="s">
        <v>19</v>
      </c>
      <c r="I1071" s="1">
        <v>2</v>
      </c>
      <c r="J1071" s="1">
        <v>630</v>
      </c>
      <c r="K1071" s="1">
        <v>0.08</v>
      </c>
      <c r="L1071" s="1">
        <v>1159.2</v>
      </c>
      <c r="M1071" s="1" t="str">
        <f t="shared" si="32"/>
        <v>Retail Store</v>
      </c>
      <c r="N1071" s="1">
        <f t="shared" si="33"/>
        <v>16.2</v>
      </c>
    </row>
    <row r="1072" spans="1:14" x14ac:dyDescent="0.3">
      <c r="A1072" s="1" t="s">
        <v>1171</v>
      </c>
      <c r="B1072" s="1" t="s">
        <v>1164</v>
      </c>
      <c r="C1072" s="1" t="s">
        <v>54</v>
      </c>
      <c r="D1072" s="1" t="s">
        <v>15</v>
      </c>
      <c r="E1072" s="1" t="s">
        <v>16</v>
      </c>
      <c r="F1072" s="1" t="s">
        <v>23</v>
      </c>
      <c r="G1072" s="1" t="s">
        <v>24</v>
      </c>
      <c r="H1072" s="1" t="s">
        <v>56</v>
      </c>
      <c r="I1072" s="1">
        <v>4</v>
      </c>
      <c r="J1072" s="1">
        <v>23.85</v>
      </c>
      <c r="K1072" s="1">
        <v>0.08</v>
      </c>
      <c r="L1072" s="1">
        <v>87.77</v>
      </c>
      <c r="M1072" s="1" t="str">
        <f t="shared" si="32"/>
        <v>Online</v>
      </c>
      <c r="N1072" s="1">
        <f t="shared" si="33"/>
        <v>267.12</v>
      </c>
    </row>
    <row r="1073" spans="1:14" x14ac:dyDescent="0.3">
      <c r="A1073" s="1" t="s">
        <v>1172</v>
      </c>
      <c r="B1073" s="1" t="s">
        <v>1164</v>
      </c>
      <c r="C1073" s="1" t="s">
        <v>21</v>
      </c>
      <c r="D1073" s="1" t="s">
        <v>35</v>
      </c>
      <c r="E1073" s="1" t="s">
        <v>16</v>
      </c>
      <c r="F1073" s="1" t="s">
        <v>23</v>
      </c>
      <c r="G1073" s="1" t="s">
        <v>116</v>
      </c>
      <c r="H1073" s="1" t="s">
        <v>25</v>
      </c>
      <c r="I1073" s="1">
        <v>11</v>
      </c>
      <c r="J1073" s="1">
        <v>7.63</v>
      </c>
      <c r="K1073" s="1">
        <v>0.1</v>
      </c>
      <c r="L1073" s="1">
        <v>75.56</v>
      </c>
      <c r="M1073" s="1" t="str">
        <f t="shared" si="32"/>
        <v>Marketplace</v>
      </c>
      <c r="N1073" s="1">
        <f t="shared" si="33"/>
        <v>405</v>
      </c>
    </row>
    <row r="1074" spans="1:14" x14ac:dyDescent="0.3">
      <c r="A1074" s="1" t="s">
        <v>1173</v>
      </c>
      <c r="B1074" s="1" t="s">
        <v>1164</v>
      </c>
      <c r="C1074" s="1" t="s">
        <v>21</v>
      </c>
      <c r="D1074" s="1" t="s">
        <v>35</v>
      </c>
      <c r="E1074" s="1" t="s">
        <v>16</v>
      </c>
      <c r="F1074" s="1" t="s">
        <v>36</v>
      </c>
      <c r="G1074" s="1" t="s">
        <v>70</v>
      </c>
      <c r="H1074" s="1" t="s">
        <v>44</v>
      </c>
      <c r="I1074" s="1">
        <v>2</v>
      </c>
      <c r="J1074" s="1">
        <v>522</v>
      </c>
      <c r="K1074" s="1">
        <v>0.1</v>
      </c>
      <c r="L1074" s="1">
        <v>939.6</v>
      </c>
      <c r="M1074" s="1" t="str">
        <f t="shared" si="32"/>
        <v>Retail Store</v>
      </c>
      <c r="N1074" s="1">
        <f t="shared" si="33"/>
        <v>405</v>
      </c>
    </row>
    <row r="1075" spans="1:14" x14ac:dyDescent="0.3">
      <c r="A1075" s="1" t="s">
        <v>1174</v>
      </c>
      <c r="B1075" s="1" t="s">
        <v>1164</v>
      </c>
      <c r="C1075" s="1" t="s">
        <v>54</v>
      </c>
      <c r="D1075" s="1" t="s">
        <v>15</v>
      </c>
      <c r="E1075" s="1" t="s">
        <v>28</v>
      </c>
      <c r="F1075" s="1" t="s">
        <v>23</v>
      </c>
      <c r="G1075" s="1" t="s">
        <v>178</v>
      </c>
      <c r="H1075" s="1" t="s">
        <v>71</v>
      </c>
      <c r="I1075" s="1">
        <v>2</v>
      </c>
      <c r="J1075" s="1">
        <v>31.5</v>
      </c>
      <c r="K1075" s="1">
        <v>0.15</v>
      </c>
      <c r="L1075" s="1">
        <v>53.55</v>
      </c>
      <c r="M1075" s="1" t="str">
        <f t="shared" si="32"/>
        <v>Online</v>
      </c>
      <c r="N1075" s="1">
        <f t="shared" si="33"/>
        <v>267.12</v>
      </c>
    </row>
    <row r="1076" spans="1:14" x14ac:dyDescent="0.3">
      <c r="A1076" s="1" t="s">
        <v>1175</v>
      </c>
      <c r="B1076" s="1" t="s">
        <v>1164</v>
      </c>
      <c r="C1076" s="1" t="s">
        <v>61</v>
      </c>
      <c r="D1076" s="1" t="s">
        <v>15</v>
      </c>
      <c r="E1076" s="1" t="s">
        <v>16</v>
      </c>
      <c r="F1076" s="1" t="s">
        <v>42</v>
      </c>
      <c r="G1076" s="1" t="s">
        <v>65</v>
      </c>
      <c r="H1076" s="1" t="s">
        <v>63</v>
      </c>
      <c r="I1076" s="1">
        <v>8</v>
      </c>
      <c r="J1076" s="1">
        <v>654.75</v>
      </c>
      <c r="K1076" s="1">
        <v>0.05</v>
      </c>
      <c r="L1076" s="1">
        <v>4976.1000000000004</v>
      </c>
      <c r="M1076" s="1" t="str">
        <f t="shared" si="32"/>
        <v>Retail Store</v>
      </c>
      <c r="N1076" s="1">
        <f t="shared" si="33"/>
        <v>62.01</v>
      </c>
    </row>
    <row r="1077" spans="1:14" x14ac:dyDescent="0.3">
      <c r="A1077" s="1" t="s">
        <v>1176</v>
      </c>
      <c r="B1077" s="1" t="s">
        <v>1164</v>
      </c>
      <c r="C1077" s="1" t="s">
        <v>54</v>
      </c>
      <c r="D1077" s="1" t="s">
        <v>15</v>
      </c>
      <c r="E1077" s="1" t="s">
        <v>28</v>
      </c>
      <c r="F1077" s="1" t="s">
        <v>23</v>
      </c>
      <c r="G1077" s="1" t="s">
        <v>103</v>
      </c>
      <c r="H1077" s="1" t="s">
        <v>71</v>
      </c>
      <c r="I1077" s="1">
        <v>3</v>
      </c>
      <c r="J1077" s="1">
        <v>10.8</v>
      </c>
      <c r="K1077" s="1">
        <v>0.05</v>
      </c>
      <c r="L1077" s="1">
        <v>30.78</v>
      </c>
      <c r="M1077" s="1" t="str">
        <f t="shared" si="32"/>
        <v>Online</v>
      </c>
      <c r="N1077" s="1">
        <f t="shared" si="33"/>
        <v>267.12</v>
      </c>
    </row>
    <row r="1078" spans="1:14" x14ac:dyDescent="0.3">
      <c r="A1078" s="1" t="s">
        <v>1177</v>
      </c>
      <c r="B1078" s="1" t="s">
        <v>1164</v>
      </c>
      <c r="C1078" s="1" t="s">
        <v>54</v>
      </c>
      <c r="D1078" s="1" t="s">
        <v>15</v>
      </c>
      <c r="E1078" s="1" t="s">
        <v>16</v>
      </c>
      <c r="F1078" s="1" t="s">
        <v>29</v>
      </c>
      <c r="G1078" s="1" t="s">
        <v>39</v>
      </c>
      <c r="H1078" s="1" t="s">
        <v>80</v>
      </c>
      <c r="I1078" s="1">
        <v>7</v>
      </c>
      <c r="J1078" s="1">
        <v>76.319999999999993</v>
      </c>
      <c r="K1078" s="1">
        <v>0.08</v>
      </c>
      <c r="L1078" s="1">
        <v>491.5</v>
      </c>
      <c r="M1078" s="1" t="str">
        <f t="shared" si="32"/>
        <v>Marketplace</v>
      </c>
      <c r="N1078" s="1">
        <f t="shared" si="33"/>
        <v>267.12</v>
      </c>
    </row>
    <row r="1079" spans="1:14" x14ac:dyDescent="0.3">
      <c r="A1079" s="1" t="s">
        <v>1157</v>
      </c>
      <c r="B1079" s="1" t="s">
        <v>1158</v>
      </c>
      <c r="C1079" s="1" t="s">
        <v>14</v>
      </c>
      <c r="D1079" s="1" t="s">
        <v>15</v>
      </c>
      <c r="E1079" s="1" t="s">
        <v>16</v>
      </c>
      <c r="F1079" s="1" t="s">
        <v>82</v>
      </c>
      <c r="G1079" s="1" t="s">
        <v>85</v>
      </c>
      <c r="H1079" s="1" t="s">
        <v>19</v>
      </c>
      <c r="I1079" s="1">
        <v>2</v>
      </c>
      <c r="J1079" s="1">
        <v>1620</v>
      </c>
      <c r="K1079" s="1">
        <v>0.05</v>
      </c>
      <c r="L1079" s="1">
        <v>3078</v>
      </c>
      <c r="M1079" s="1" t="str">
        <f t="shared" si="32"/>
        <v>Retail Store</v>
      </c>
      <c r="N1079" s="1">
        <f t="shared" si="33"/>
        <v>16.2</v>
      </c>
    </row>
    <row r="1080" spans="1:14" x14ac:dyDescent="0.3">
      <c r="A1080" s="1" t="s">
        <v>1159</v>
      </c>
      <c r="B1080" s="1" t="s">
        <v>1158</v>
      </c>
      <c r="C1080" s="1" t="s">
        <v>14</v>
      </c>
      <c r="D1080" s="1" t="s">
        <v>15</v>
      </c>
      <c r="E1080" s="1" t="s">
        <v>16</v>
      </c>
      <c r="F1080" s="1" t="s">
        <v>17</v>
      </c>
      <c r="G1080" s="1" t="s">
        <v>18</v>
      </c>
      <c r="H1080" s="1" t="s">
        <v>19</v>
      </c>
      <c r="I1080" s="1">
        <v>8</v>
      </c>
      <c r="J1080" s="1">
        <v>84.24</v>
      </c>
      <c r="K1080" s="1">
        <v>0.03</v>
      </c>
      <c r="L1080" s="1">
        <v>653.70000000000005</v>
      </c>
      <c r="M1080" s="1" t="str">
        <f t="shared" si="32"/>
        <v>Retail Store</v>
      </c>
      <c r="N1080" s="1">
        <f t="shared" si="33"/>
        <v>16.2</v>
      </c>
    </row>
    <row r="1081" spans="1:14" x14ac:dyDescent="0.3">
      <c r="A1081" s="1" t="s">
        <v>1160</v>
      </c>
      <c r="B1081" s="1" t="s">
        <v>1158</v>
      </c>
      <c r="C1081" s="1" t="s">
        <v>14</v>
      </c>
      <c r="D1081" s="1" t="s">
        <v>15</v>
      </c>
      <c r="E1081" s="1" t="s">
        <v>16</v>
      </c>
      <c r="F1081" s="1" t="s">
        <v>82</v>
      </c>
      <c r="G1081" s="1" t="s">
        <v>114</v>
      </c>
      <c r="H1081" s="1" t="s">
        <v>40</v>
      </c>
      <c r="I1081" s="1">
        <v>2</v>
      </c>
      <c r="J1081" s="1">
        <v>2250</v>
      </c>
      <c r="K1081" s="1">
        <v>0.05</v>
      </c>
      <c r="L1081" s="1">
        <v>4275</v>
      </c>
      <c r="M1081" s="1" t="str">
        <f t="shared" si="32"/>
        <v>Online</v>
      </c>
      <c r="N1081" s="1">
        <f t="shared" si="33"/>
        <v>16.2</v>
      </c>
    </row>
    <row r="1082" spans="1:14" x14ac:dyDescent="0.3">
      <c r="A1082" s="1" t="s">
        <v>1161</v>
      </c>
      <c r="B1082" s="1" t="s">
        <v>1158</v>
      </c>
      <c r="C1082" s="1" t="s">
        <v>54</v>
      </c>
      <c r="D1082" s="1" t="s">
        <v>35</v>
      </c>
      <c r="E1082" s="1" t="s">
        <v>16</v>
      </c>
      <c r="F1082" s="1" t="s">
        <v>82</v>
      </c>
      <c r="G1082" s="1" t="s">
        <v>85</v>
      </c>
      <c r="H1082" s="1" t="s">
        <v>71</v>
      </c>
      <c r="I1082" s="1">
        <v>2</v>
      </c>
      <c r="J1082" s="1">
        <v>1620</v>
      </c>
      <c r="K1082" s="1">
        <v>0.05</v>
      </c>
      <c r="L1082" s="1">
        <v>3078</v>
      </c>
      <c r="M1082" s="1" t="str">
        <f t="shared" si="32"/>
        <v>Online</v>
      </c>
      <c r="N1082" s="1">
        <f t="shared" si="33"/>
        <v>267.12</v>
      </c>
    </row>
    <row r="1083" spans="1:14" x14ac:dyDescent="0.3">
      <c r="A1083" s="1" t="s">
        <v>1162</v>
      </c>
      <c r="B1083" s="1" t="s">
        <v>1158</v>
      </c>
      <c r="C1083" s="1" t="s">
        <v>47</v>
      </c>
      <c r="D1083" s="1" t="s">
        <v>15</v>
      </c>
      <c r="E1083" s="1" t="s">
        <v>28</v>
      </c>
      <c r="F1083" s="1" t="s">
        <v>29</v>
      </c>
      <c r="G1083" s="1" t="s">
        <v>33</v>
      </c>
      <c r="H1083" s="1" t="s">
        <v>49</v>
      </c>
      <c r="I1083" s="1">
        <v>2</v>
      </c>
      <c r="J1083" s="1">
        <v>14.31</v>
      </c>
      <c r="K1083" s="1">
        <v>0.1</v>
      </c>
      <c r="L1083" s="1">
        <v>25.76</v>
      </c>
      <c r="M1083" s="1" t="str">
        <f t="shared" si="32"/>
        <v>Retail Store</v>
      </c>
      <c r="N1083" s="1">
        <f t="shared" si="33"/>
        <v>421.2</v>
      </c>
    </row>
    <row r="1084" spans="1:14" x14ac:dyDescent="0.3">
      <c r="A1084" s="1" t="s">
        <v>1145</v>
      </c>
      <c r="B1084" s="1" t="s">
        <v>1146</v>
      </c>
      <c r="C1084" s="1" t="s">
        <v>47</v>
      </c>
      <c r="D1084" s="1" t="s">
        <v>15</v>
      </c>
      <c r="E1084" s="1" t="s">
        <v>16</v>
      </c>
      <c r="F1084" s="1" t="s">
        <v>29</v>
      </c>
      <c r="G1084" s="1" t="s">
        <v>88</v>
      </c>
      <c r="H1084" s="1" t="s">
        <v>78</v>
      </c>
      <c r="I1084" s="1">
        <v>4</v>
      </c>
      <c r="J1084" s="1">
        <v>58.5</v>
      </c>
      <c r="K1084" s="1">
        <v>0.1</v>
      </c>
      <c r="L1084" s="1">
        <v>210.6</v>
      </c>
      <c r="M1084" s="1" t="str">
        <f t="shared" si="32"/>
        <v>Retail Store</v>
      </c>
      <c r="N1084" s="1">
        <f t="shared" si="33"/>
        <v>421.2</v>
      </c>
    </row>
    <row r="1085" spans="1:14" x14ac:dyDescent="0.3">
      <c r="A1085" s="1" t="s">
        <v>1147</v>
      </c>
      <c r="B1085" s="1" t="s">
        <v>1146</v>
      </c>
      <c r="C1085" s="1" t="s">
        <v>14</v>
      </c>
      <c r="D1085" s="1" t="s">
        <v>35</v>
      </c>
      <c r="E1085" s="1" t="s">
        <v>16</v>
      </c>
      <c r="F1085" s="1" t="s">
        <v>29</v>
      </c>
      <c r="G1085" s="1" t="s">
        <v>51</v>
      </c>
      <c r="H1085" s="1" t="s">
        <v>31</v>
      </c>
      <c r="I1085" s="1">
        <v>9</v>
      </c>
      <c r="J1085" s="1">
        <v>42.93</v>
      </c>
      <c r="K1085" s="1">
        <v>0.03</v>
      </c>
      <c r="L1085" s="1">
        <v>374.78</v>
      </c>
      <c r="M1085" s="1" t="str">
        <f t="shared" si="32"/>
        <v>Online</v>
      </c>
      <c r="N1085" s="1">
        <f t="shared" si="33"/>
        <v>16.2</v>
      </c>
    </row>
    <row r="1086" spans="1:14" x14ac:dyDescent="0.3">
      <c r="A1086" s="1" t="s">
        <v>1148</v>
      </c>
      <c r="B1086" s="1" t="s">
        <v>1146</v>
      </c>
      <c r="C1086" s="1" t="s">
        <v>21</v>
      </c>
      <c r="D1086" s="1" t="s">
        <v>15</v>
      </c>
      <c r="E1086" s="1" t="s">
        <v>28</v>
      </c>
      <c r="F1086" s="1" t="s">
        <v>36</v>
      </c>
      <c r="G1086" s="1" t="s">
        <v>70</v>
      </c>
      <c r="H1086" s="1" t="s">
        <v>25</v>
      </c>
      <c r="I1086" s="1">
        <v>2</v>
      </c>
      <c r="J1086" s="1">
        <v>522</v>
      </c>
      <c r="K1086" s="1">
        <v>0</v>
      </c>
      <c r="L1086" s="1">
        <v>1044</v>
      </c>
      <c r="M1086" s="1" t="str">
        <f t="shared" si="32"/>
        <v>Marketplace</v>
      </c>
      <c r="N1086" s="1">
        <f t="shared" si="33"/>
        <v>405</v>
      </c>
    </row>
    <row r="1087" spans="1:14" x14ac:dyDescent="0.3">
      <c r="A1087" s="1" t="s">
        <v>1149</v>
      </c>
      <c r="B1087" s="1" t="s">
        <v>1146</v>
      </c>
      <c r="C1087" s="1" t="s">
        <v>14</v>
      </c>
      <c r="D1087" s="1" t="s">
        <v>15</v>
      </c>
      <c r="E1087" s="1" t="s">
        <v>16</v>
      </c>
      <c r="F1087" s="1" t="s">
        <v>17</v>
      </c>
      <c r="G1087" s="1" t="s">
        <v>18</v>
      </c>
      <c r="H1087" s="1" t="s">
        <v>40</v>
      </c>
      <c r="I1087" s="1">
        <v>2</v>
      </c>
      <c r="J1087" s="1">
        <v>78.569999999999993</v>
      </c>
      <c r="K1087" s="1">
        <v>0</v>
      </c>
      <c r="L1087" s="1">
        <v>157.13999999999999</v>
      </c>
      <c r="M1087" s="1" t="str">
        <f t="shared" si="32"/>
        <v>Online</v>
      </c>
      <c r="N1087" s="1">
        <f t="shared" si="33"/>
        <v>16.2</v>
      </c>
    </row>
    <row r="1088" spans="1:14" x14ac:dyDescent="0.3">
      <c r="A1088" s="1" t="s">
        <v>1150</v>
      </c>
      <c r="B1088" s="1" t="s">
        <v>1146</v>
      </c>
      <c r="C1088" s="1" t="s">
        <v>61</v>
      </c>
      <c r="D1088" s="1" t="s">
        <v>27</v>
      </c>
      <c r="E1088" s="1" t="s">
        <v>28</v>
      </c>
      <c r="F1088" s="1" t="s">
        <v>17</v>
      </c>
      <c r="G1088" s="1" t="s">
        <v>62</v>
      </c>
      <c r="H1088" s="1" t="s">
        <v>63</v>
      </c>
      <c r="I1088" s="1">
        <v>2</v>
      </c>
      <c r="J1088" s="1">
        <v>56.16</v>
      </c>
      <c r="K1088" s="1">
        <v>0.08</v>
      </c>
      <c r="L1088" s="1">
        <v>103.33</v>
      </c>
      <c r="M1088" s="1" t="str">
        <f t="shared" si="32"/>
        <v>Retail Store</v>
      </c>
      <c r="N1088" s="1">
        <f t="shared" si="33"/>
        <v>62.01</v>
      </c>
    </row>
    <row r="1089" spans="1:14" x14ac:dyDescent="0.3">
      <c r="A1089" s="1" t="s">
        <v>1151</v>
      </c>
      <c r="B1089" s="1" t="s">
        <v>1146</v>
      </c>
      <c r="C1089" s="1" t="s">
        <v>14</v>
      </c>
      <c r="D1089" s="1" t="s">
        <v>22</v>
      </c>
      <c r="E1089" s="1" t="s">
        <v>16</v>
      </c>
      <c r="F1089" s="1" t="s">
        <v>29</v>
      </c>
      <c r="G1089" s="1" t="s">
        <v>51</v>
      </c>
      <c r="H1089" s="1" t="s">
        <v>40</v>
      </c>
      <c r="I1089" s="1">
        <v>6</v>
      </c>
      <c r="J1089" s="1">
        <v>40.5</v>
      </c>
      <c r="K1089" s="1">
        <v>0.2</v>
      </c>
      <c r="L1089" s="1">
        <v>194.4</v>
      </c>
      <c r="M1089" s="1" t="str">
        <f t="shared" si="32"/>
        <v>Online</v>
      </c>
      <c r="N1089" s="1">
        <f t="shared" si="33"/>
        <v>16.2</v>
      </c>
    </row>
    <row r="1090" spans="1:14" x14ac:dyDescent="0.3">
      <c r="A1090" s="1" t="s">
        <v>1152</v>
      </c>
      <c r="B1090" s="1" t="s">
        <v>1146</v>
      </c>
      <c r="C1090" s="1" t="s">
        <v>21</v>
      </c>
      <c r="D1090" s="1" t="s">
        <v>15</v>
      </c>
      <c r="E1090" s="1" t="s">
        <v>16</v>
      </c>
      <c r="F1090" s="1" t="s">
        <v>36</v>
      </c>
      <c r="G1090" s="1" t="s">
        <v>77</v>
      </c>
      <c r="H1090" s="1" t="s">
        <v>25</v>
      </c>
      <c r="I1090" s="1">
        <v>3</v>
      </c>
      <c r="J1090" s="1">
        <v>1282.5</v>
      </c>
      <c r="K1090" s="1">
        <v>0.08</v>
      </c>
      <c r="L1090" s="1">
        <v>3539.7</v>
      </c>
      <c r="M1090" s="1" t="str">
        <f t="shared" ref="M1090:M1153" si="34">INDEX(D:D,MATCH(H1090,H:H,0))</f>
        <v>Marketplace</v>
      </c>
      <c r="N1090" s="1">
        <f t="shared" ref="N1090:N1153" si="35">VLOOKUP(C:C,C:J,8,FALSE)</f>
        <v>405</v>
      </c>
    </row>
    <row r="1091" spans="1:14" x14ac:dyDescent="0.3">
      <c r="A1091" s="1" t="s">
        <v>1153</v>
      </c>
      <c r="B1091" s="1" t="s">
        <v>1146</v>
      </c>
      <c r="C1091" s="1" t="s">
        <v>61</v>
      </c>
      <c r="D1091" s="1" t="s">
        <v>35</v>
      </c>
      <c r="E1091" s="1" t="s">
        <v>16</v>
      </c>
      <c r="F1091" s="1" t="s">
        <v>36</v>
      </c>
      <c r="G1091" s="1" t="s">
        <v>70</v>
      </c>
      <c r="H1091" s="1" t="s">
        <v>73</v>
      </c>
      <c r="I1091" s="1">
        <v>2</v>
      </c>
      <c r="J1091" s="1">
        <v>542.88</v>
      </c>
      <c r="K1091" s="1">
        <v>0.15</v>
      </c>
      <c r="L1091" s="1">
        <v>922.9</v>
      </c>
      <c r="M1091" s="1" t="str">
        <f t="shared" si="34"/>
        <v>Online</v>
      </c>
      <c r="N1091" s="1">
        <f t="shared" si="35"/>
        <v>62.01</v>
      </c>
    </row>
    <row r="1092" spans="1:14" x14ac:dyDescent="0.3">
      <c r="A1092" s="1" t="s">
        <v>1154</v>
      </c>
      <c r="B1092" s="1" t="s">
        <v>1146</v>
      </c>
      <c r="C1092" s="1" t="s">
        <v>54</v>
      </c>
      <c r="D1092" s="1" t="s">
        <v>22</v>
      </c>
      <c r="E1092" s="1" t="s">
        <v>16</v>
      </c>
      <c r="F1092" s="1" t="s">
        <v>29</v>
      </c>
      <c r="G1092" s="1" t="s">
        <v>88</v>
      </c>
      <c r="H1092" s="1" t="s">
        <v>71</v>
      </c>
      <c r="I1092" s="1">
        <v>8</v>
      </c>
      <c r="J1092" s="1">
        <v>58.5</v>
      </c>
      <c r="K1092" s="1">
        <v>0</v>
      </c>
      <c r="L1092" s="1">
        <v>468</v>
      </c>
      <c r="M1092" s="1" t="str">
        <f t="shared" si="34"/>
        <v>Online</v>
      </c>
      <c r="N1092" s="1">
        <f t="shared" si="35"/>
        <v>267.12</v>
      </c>
    </row>
    <row r="1093" spans="1:14" x14ac:dyDescent="0.3">
      <c r="A1093" s="1" t="s">
        <v>1155</v>
      </c>
      <c r="B1093" s="1" t="s">
        <v>1146</v>
      </c>
      <c r="C1093" s="1" t="s">
        <v>54</v>
      </c>
      <c r="D1093" s="1" t="s">
        <v>15</v>
      </c>
      <c r="E1093" s="1" t="s">
        <v>28</v>
      </c>
      <c r="F1093" s="1" t="s">
        <v>29</v>
      </c>
      <c r="G1093" s="1" t="s">
        <v>33</v>
      </c>
      <c r="H1093" s="1" t="s">
        <v>56</v>
      </c>
      <c r="I1093" s="1">
        <v>2</v>
      </c>
      <c r="J1093" s="1">
        <v>14.31</v>
      </c>
      <c r="K1093" s="1">
        <v>0.08</v>
      </c>
      <c r="L1093" s="1">
        <v>26.33</v>
      </c>
      <c r="M1093" s="1" t="str">
        <f t="shared" si="34"/>
        <v>Online</v>
      </c>
      <c r="N1093" s="1">
        <f t="shared" si="35"/>
        <v>267.12</v>
      </c>
    </row>
    <row r="1094" spans="1:14" x14ac:dyDescent="0.3">
      <c r="A1094" s="1" t="s">
        <v>1156</v>
      </c>
      <c r="B1094" s="1" t="s">
        <v>1146</v>
      </c>
      <c r="C1094" s="1" t="s">
        <v>14</v>
      </c>
      <c r="D1094" s="1" t="s">
        <v>35</v>
      </c>
      <c r="E1094" s="1" t="s">
        <v>28</v>
      </c>
      <c r="F1094" s="1" t="s">
        <v>17</v>
      </c>
      <c r="G1094" s="1" t="s">
        <v>62</v>
      </c>
      <c r="H1094" s="1" t="s">
        <v>19</v>
      </c>
      <c r="I1094" s="1">
        <v>3</v>
      </c>
      <c r="J1094" s="1">
        <v>57.24</v>
      </c>
      <c r="K1094" s="1">
        <v>0.08</v>
      </c>
      <c r="L1094" s="1">
        <v>157.97999999999999</v>
      </c>
      <c r="M1094" s="1" t="str">
        <f t="shared" si="34"/>
        <v>Retail Store</v>
      </c>
      <c r="N1094" s="1">
        <f t="shared" si="35"/>
        <v>16.2</v>
      </c>
    </row>
    <row r="1095" spans="1:14" x14ac:dyDescent="0.3">
      <c r="A1095" s="1" t="s">
        <v>1137</v>
      </c>
      <c r="B1095" s="1" t="s">
        <v>1138</v>
      </c>
      <c r="C1095" s="1" t="s">
        <v>21</v>
      </c>
      <c r="D1095" s="1" t="s">
        <v>22</v>
      </c>
      <c r="E1095" s="1" t="s">
        <v>16</v>
      </c>
      <c r="F1095" s="1" t="s">
        <v>23</v>
      </c>
      <c r="G1095" s="1" t="s">
        <v>142</v>
      </c>
      <c r="H1095" s="1" t="s">
        <v>25</v>
      </c>
      <c r="I1095" s="1">
        <v>3</v>
      </c>
      <c r="J1095" s="1">
        <v>17.170000000000002</v>
      </c>
      <c r="K1095" s="1">
        <v>0.15</v>
      </c>
      <c r="L1095" s="1">
        <v>43.79</v>
      </c>
      <c r="M1095" s="1" t="str">
        <f t="shared" si="34"/>
        <v>Marketplace</v>
      </c>
      <c r="N1095" s="1">
        <f t="shared" si="35"/>
        <v>405</v>
      </c>
    </row>
    <row r="1096" spans="1:14" x14ac:dyDescent="0.3">
      <c r="A1096" s="1" t="s">
        <v>1139</v>
      </c>
      <c r="B1096" s="1" t="s">
        <v>1138</v>
      </c>
      <c r="C1096" s="1" t="s">
        <v>54</v>
      </c>
      <c r="D1096" s="1" t="s">
        <v>27</v>
      </c>
      <c r="E1096" s="1" t="s">
        <v>16</v>
      </c>
      <c r="F1096" s="1" t="s">
        <v>23</v>
      </c>
      <c r="G1096" s="1" t="s">
        <v>178</v>
      </c>
      <c r="H1096" s="1" t="s">
        <v>80</v>
      </c>
      <c r="I1096" s="1">
        <v>2</v>
      </c>
      <c r="J1096" s="1">
        <v>31.5</v>
      </c>
      <c r="K1096" s="1">
        <v>0.03</v>
      </c>
      <c r="L1096" s="1">
        <v>61.11</v>
      </c>
      <c r="M1096" s="1" t="str">
        <f t="shared" si="34"/>
        <v>Marketplace</v>
      </c>
      <c r="N1096" s="1">
        <f t="shared" si="35"/>
        <v>267.12</v>
      </c>
    </row>
    <row r="1097" spans="1:14" x14ac:dyDescent="0.3">
      <c r="A1097" s="1" t="s">
        <v>1140</v>
      </c>
      <c r="B1097" s="1" t="s">
        <v>1138</v>
      </c>
      <c r="C1097" s="1" t="s">
        <v>54</v>
      </c>
      <c r="D1097" s="1" t="s">
        <v>15</v>
      </c>
      <c r="E1097" s="1" t="s">
        <v>16</v>
      </c>
      <c r="F1097" s="1" t="s">
        <v>42</v>
      </c>
      <c r="G1097" s="1" t="s">
        <v>67</v>
      </c>
      <c r="H1097" s="1" t="s">
        <v>56</v>
      </c>
      <c r="I1097" s="1">
        <v>4</v>
      </c>
      <c r="J1097" s="1">
        <v>257.04000000000002</v>
      </c>
      <c r="K1097" s="1">
        <v>0.2</v>
      </c>
      <c r="L1097" s="1">
        <v>822.53</v>
      </c>
      <c r="M1097" s="1" t="str">
        <f t="shared" si="34"/>
        <v>Online</v>
      </c>
      <c r="N1097" s="1">
        <f t="shared" si="35"/>
        <v>267.12</v>
      </c>
    </row>
    <row r="1098" spans="1:14" x14ac:dyDescent="0.3">
      <c r="A1098" s="1" t="s">
        <v>1141</v>
      </c>
      <c r="B1098" s="1" t="s">
        <v>1138</v>
      </c>
      <c r="C1098" s="1" t="s">
        <v>21</v>
      </c>
      <c r="D1098" s="1" t="s">
        <v>15</v>
      </c>
      <c r="E1098" s="1" t="s">
        <v>16</v>
      </c>
      <c r="F1098" s="1" t="s">
        <v>23</v>
      </c>
      <c r="G1098" s="1" t="s">
        <v>103</v>
      </c>
      <c r="H1098" s="1" t="s">
        <v>86</v>
      </c>
      <c r="I1098" s="1">
        <v>2</v>
      </c>
      <c r="J1098" s="1">
        <v>11.02</v>
      </c>
      <c r="K1098" s="1">
        <v>0.2</v>
      </c>
      <c r="L1098" s="1">
        <v>17.63</v>
      </c>
      <c r="M1098" s="1" t="str">
        <f t="shared" si="34"/>
        <v>Online</v>
      </c>
      <c r="N1098" s="1">
        <f t="shared" si="35"/>
        <v>405</v>
      </c>
    </row>
    <row r="1099" spans="1:14" x14ac:dyDescent="0.3">
      <c r="A1099" s="1" t="s">
        <v>1142</v>
      </c>
      <c r="B1099" s="1" t="s">
        <v>1138</v>
      </c>
      <c r="C1099" s="1" t="s">
        <v>14</v>
      </c>
      <c r="D1099" s="1" t="s">
        <v>15</v>
      </c>
      <c r="E1099" s="1" t="s">
        <v>28</v>
      </c>
      <c r="F1099" s="1" t="s">
        <v>36</v>
      </c>
      <c r="G1099" s="1" t="s">
        <v>119</v>
      </c>
      <c r="H1099" s="1" t="s">
        <v>40</v>
      </c>
      <c r="I1099" s="1">
        <v>2</v>
      </c>
      <c r="J1099" s="1">
        <v>630</v>
      </c>
      <c r="K1099" s="1">
        <v>0.15</v>
      </c>
      <c r="L1099" s="1">
        <v>1071</v>
      </c>
      <c r="M1099" s="1" t="str">
        <f t="shared" si="34"/>
        <v>Online</v>
      </c>
      <c r="N1099" s="1">
        <f t="shared" si="35"/>
        <v>16.2</v>
      </c>
    </row>
    <row r="1100" spans="1:14" x14ac:dyDescent="0.3">
      <c r="A1100" s="1" t="s">
        <v>1143</v>
      </c>
      <c r="B1100" s="1" t="s">
        <v>1138</v>
      </c>
      <c r="C1100" s="1" t="s">
        <v>21</v>
      </c>
      <c r="D1100" s="1" t="s">
        <v>15</v>
      </c>
      <c r="E1100" s="1" t="s">
        <v>16</v>
      </c>
      <c r="F1100" s="1" t="s">
        <v>17</v>
      </c>
      <c r="G1100" s="1" t="s">
        <v>62</v>
      </c>
      <c r="H1100" s="1" t="s">
        <v>44</v>
      </c>
      <c r="I1100" s="1">
        <v>5</v>
      </c>
      <c r="J1100" s="1">
        <v>54</v>
      </c>
      <c r="K1100" s="1">
        <v>0.05</v>
      </c>
      <c r="L1100" s="1">
        <v>256.5</v>
      </c>
      <c r="M1100" s="1" t="str">
        <f t="shared" si="34"/>
        <v>Retail Store</v>
      </c>
      <c r="N1100" s="1">
        <f t="shared" si="35"/>
        <v>405</v>
      </c>
    </row>
    <row r="1101" spans="1:14" x14ac:dyDescent="0.3">
      <c r="A1101" s="1" t="s">
        <v>1144</v>
      </c>
      <c r="B1101" s="1" t="s">
        <v>1138</v>
      </c>
      <c r="C1101" s="1" t="s">
        <v>14</v>
      </c>
      <c r="D1101" s="1" t="s">
        <v>15</v>
      </c>
      <c r="E1101" s="1" t="s">
        <v>16</v>
      </c>
      <c r="F1101" s="1" t="s">
        <v>82</v>
      </c>
      <c r="G1101" s="1" t="s">
        <v>96</v>
      </c>
      <c r="H1101" s="1" t="s">
        <v>40</v>
      </c>
      <c r="I1101" s="1">
        <v>2</v>
      </c>
      <c r="J1101" s="1">
        <v>2754</v>
      </c>
      <c r="K1101" s="1">
        <v>0.03</v>
      </c>
      <c r="L1101" s="1">
        <v>5342.76</v>
      </c>
      <c r="M1101" s="1" t="str">
        <f t="shared" si="34"/>
        <v>Online</v>
      </c>
      <c r="N1101" s="1">
        <f t="shared" si="35"/>
        <v>16.2</v>
      </c>
    </row>
    <row r="1102" spans="1:14" x14ac:dyDescent="0.3">
      <c r="A1102" s="1" t="s">
        <v>1129</v>
      </c>
      <c r="B1102" s="1" t="s">
        <v>1130</v>
      </c>
      <c r="C1102" s="1" t="s">
        <v>61</v>
      </c>
      <c r="D1102" s="1" t="s">
        <v>35</v>
      </c>
      <c r="E1102" s="1" t="s">
        <v>16</v>
      </c>
      <c r="F1102" s="1" t="s">
        <v>82</v>
      </c>
      <c r="G1102" s="1" t="s">
        <v>85</v>
      </c>
      <c r="H1102" s="1" t="s">
        <v>73</v>
      </c>
      <c r="I1102" s="1">
        <v>2</v>
      </c>
      <c r="J1102" s="1">
        <v>1620</v>
      </c>
      <c r="K1102" s="1">
        <v>0.03</v>
      </c>
      <c r="L1102" s="1">
        <v>3142.8</v>
      </c>
      <c r="M1102" s="1" t="str">
        <f t="shared" si="34"/>
        <v>Online</v>
      </c>
      <c r="N1102" s="1">
        <f t="shared" si="35"/>
        <v>62.01</v>
      </c>
    </row>
    <row r="1103" spans="1:14" x14ac:dyDescent="0.3">
      <c r="A1103" s="1" t="s">
        <v>1131</v>
      </c>
      <c r="B1103" s="1" t="s">
        <v>1130</v>
      </c>
      <c r="C1103" s="1" t="s">
        <v>47</v>
      </c>
      <c r="D1103" s="1" t="s">
        <v>35</v>
      </c>
      <c r="E1103" s="1" t="s">
        <v>16</v>
      </c>
      <c r="F1103" s="1" t="s">
        <v>17</v>
      </c>
      <c r="G1103" s="1" t="s">
        <v>62</v>
      </c>
      <c r="H1103" s="1" t="s">
        <v>78</v>
      </c>
      <c r="I1103" s="1">
        <v>4</v>
      </c>
      <c r="J1103" s="1">
        <v>52.38</v>
      </c>
      <c r="K1103" s="1">
        <v>0</v>
      </c>
      <c r="L1103" s="1">
        <v>209.52</v>
      </c>
      <c r="M1103" s="1" t="str">
        <f t="shared" si="34"/>
        <v>Retail Store</v>
      </c>
      <c r="N1103" s="1">
        <f t="shared" si="35"/>
        <v>421.2</v>
      </c>
    </row>
    <row r="1104" spans="1:14" x14ac:dyDescent="0.3">
      <c r="A1104" s="1" t="s">
        <v>1132</v>
      </c>
      <c r="B1104" s="1" t="s">
        <v>1130</v>
      </c>
      <c r="C1104" s="1" t="s">
        <v>14</v>
      </c>
      <c r="D1104" s="1" t="s">
        <v>15</v>
      </c>
      <c r="E1104" s="1" t="s">
        <v>28</v>
      </c>
      <c r="F1104" s="1" t="s">
        <v>36</v>
      </c>
      <c r="G1104" s="1" t="s">
        <v>37</v>
      </c>
      <c r="H1104" s="1" t="s">
        <v>19</v>
      </c>
      <c r="I1104" s="1">
        <v>2</v>
      </c>
      <c r="J1104" s="1">
        <v>780.3</v>
      </c>
      <c r="K1104" s="1">
        <v>0.15</v>
      </c>
      <c r="L1104" s="1">
        <v>1326.51</v>
      </c>
      <c r="M1104" s="1" t="str">
        <f t="shared" si="34"/>
        <v>Retail Store</v>
      </c>
      <c r="N1104" s="1">
        <f t="shared" si="35"/>
        <v>16.2</v>
      </c>
    </row>
    <row r="1105" spans="1:14" x14ac:dyDescent="0.3">
      <c r="A1105" s="1" t="s">
        <v>1133</v>
      </c>
      <c r="B1105" s="1" t="s">
        <v>1130</v>
      </c>
      <c r="C1105" s="1" t="s">
        <v>14</v>
      </c>
      <c r="D1105" s="1" t="s">
        <v>35</v>
      </c>
      <c r="E1105" s="1" t="s">
        <v>16</v>
      </c>
      <c r="F1105" s="1" t="s">
        <v>82</v>
      </c>
      <c r="G1105" s="1" t="s">
        <v>150</v>
      </c>
      <c r="H1105" s="1" t="s">
        <v>19</v>
      </c>
      <c r="I1105" s="1">
        <v>2</v>
      </c>
      <c r="J1105" s="1">
        <v>2880</v>
      </c>
      <c r="K1105" s="1">
        <v>0.05</v>
      </c>
      <c r="L1105" s="1">
        <v>5472</v>
      </c>
      <c r="M1105" s="1" t="str">
        <f t="shared" si="34"/>
        <v>Retail Store</v>
      </c>
      <c r="N1105" s="1">
        <f t="shared" si="35"/>
        <v>16.2</v>
      </c>
    </row>
    <row r="1106" spans="1:14" x14ac:dyDescent="0.3">
      <c r="A1106" s="1" t="s">
        <v>1134</v>
      </c>
      <c r="B1106" s="1" t="s">
        <v>1130</v>
      </c>
      <c r="C1106" s="1" t="s">
        <v>61</v>
      </c>
      <c r="D1106" s="1" t="s">
        <v>22</v>
      </c>
      <c r="E1106" s="1" t="s">
        <v>28</v>
      </c>
      <c r="F1106" s="1" t="s">
        <v>23</v>
      </c>
      <c r="G1106" s="1" t="s">
        <v>142</v>
      </c>
      <c r="H1106" s="1" t="s">
        <v>63</v>
      </c>
      <c r="I1106" s="1">
        <v>2</v>
      </c>
      <c r="J1106" s="1">
        <v>16.850000000000001</v>
      </c>
      <c r="K1106" s="1">
        <v>0.08</v>
      </c>
      <c r="L1106" s="1">
        <v>31</v>
      </c>
      <c r="M1106" s="1" t="str">
        <f t="shared" si="34"/>
        <v>Retail Store</v>
      </c>
      <c r="N1106" s="1">
        <f t="shared" si="35"/>
        <v>62.01</v>
      </c>
    </row>
    <row r="1107" spans="1:14" x14ac:dyDescent="0.3">
      <c r="A1107" s="1" t="s">
        <v>1135</v>
      </c>
      <c r="B1107" s="1" t="s">
        <v>1130</v>
      </c>
      <c r="C1107" s="1" t="s">
        <v>61</v>
      </c>
      <c r="D1107" s="1" t="s">
        <v>27</v>
      </c>
      <c r="E1107" s="1" t="s">
        <v>16</v>
      </c>
      <c r="F1107" s="1" t="s">
        <v>36</v>
      </c>
      <c r="G1107" s="1" t="s">
        <v>119</v>
      </c>
      <c r="H1107" s="1" t="s">
        <v>63</v>
      </c>
      <c r="I1107" s="1">
        <v>3</v>
      </c>
      <c r="J1107" s="1">
        <v>630</v>
      </c>
      <c r="K1107" s="1">
        <v>0.08</v>
      </c>
      <c r="L1107" s="1">
        <v>1738.8</v>
      </c>
      <c r="M1107" s="1" t="str">
        <f t="shared" si="34"/>
        <v>Retail Store</v>
      </c>
      <c r="N1107" s="1">
        <f t="shared" si="35"/>
        <v>62.01</v>
      </c>
    </row>
    <row r="1108" spans="1:14" x14ac:dyDescent="0.3">
      <c r="A1108" s="1" t="s">
        <v>1136</v>
      </c>
      <c r="B1108" s="1" t="s">
        <v>1130</v>
      </c>
      <c r="C1108" s="1" t="s">
        <v>61</v>
      </c>
      <c r="D1108" s="1" t="s">
        <v>15</v>
      </c>
      <c r="E1108" s="1" t="s">
        <v>16</v>
      </c>
      <c r="F1108" s="1" t="s">
        <v>23</v>
      </c>
      <c r="G1108" s="1" t="s">
        <v>178</v>
      </c>
      <c r="H1108" s="1" t="s">
        <v>112</v>
      </c>
      <c r="I1108" s="1">
        <v>2</v>
      </c>
      <c r="J1108" s="1">
        <v>29.93</v>
      </c>
      <c r="K1108" s="1">
        <v>0.1</v>
      </c>
      <c r="L1108" s="1">
        <v>53.87</v>
      </c>
      <c r="M1108" s="1" t="str">
        <f t="shared" si="34"/>
        <v>Online</v>
      </c>
      <c r="N1108" s="1">
        <f t="shared" si="35"/>
        <v>62.01</v>
      </c>
    </row>
    <row r="1109" spans="1:14" x14ac:dyDescent="0.3">
      <c r="A1109" s="1" t="s">
        <v>1121</v>
      </c>
      <c r="B1109" s="1" t="s">
        <v>1122</v>
      </c>
      <c r="C1109" s="1" t="s">
        <v>47</v>
      </c>
      <c r="D1109" s="1" t="s">
        <v>27</v>
      </c>
      <c r="E1109" s="1" t="s">
        <v>28</v>
      </c>
      <c r="F1109" s="1" t="s">
        <v>29</v>
      </c>
      <c r="G1109" s="1" t="s">
        <v>51</v>
      </c>
      <c r="H1109" s="1" t="s">
        <v>58</v>
      </c>
      <c r="I1109" s="1">
        <v>3</v>
      </c>
      <c r="J1109" s="1">
        <v>39.29</v>
      </c>
      <c r="K1109" s="1">
        <v>0.15</v>
      </c>
      <c r="L1109" s="1">
        <v>100.18</v>
      </c>
      <c r="M1109" s="1" t="str">
        <f t="shared" si="34"/>
        <v>Corporate Sales</v>
      </c>
      <c r="N1109" s="1">
        <f t="shared" si="35"/>
        <v>421.2</v>
      </c>
    </row>
    <row r="1110" spans="1:14" x14ac:dyDescent="0.3">
      <c r="A1110" s="1" t="s">
        <v>1123</v>
      </c>
      <c r="B1110" s="1" t="s">
        <v>1122</v>
      </c>
      <c r="C1110" s="1" t="s">
        <v>61</v>
      </c>
      <c r="D1110" s="1" t="s">
        <v>27</v>
      </c>
      <c r="E1110" s="1" t="s">
        <v>16</v>
      </c>
      <c r="F1110" s="1" t="s">
        <v>23</v>
      </c>
      <c r="G1110" s="1" t="s">
        <v>116</v>
      </c>
      <c r="H1110" s="1" t="s">
        <v>63</v>
      </c>
      <c r="I1110" s="1">
        <v>3</v>
      </c>
      <c r="J1110" s="1">
        <v>6.98</v>
      </c>
      <c r="K1110" s="1">
        <v>0.03</v>
      </c>
      <c r="L1110" s="1">
        <v>20.32</v>
      </c>
      <c r="M1110" s="1" t="str">
        <f t="shared" si="34"/>
        <v>Retail Store</v>
      </c>
      <c r="N1110" s="1">
        <f t="shared" si="35"/>
        <v>62.01</v>
      </c>
    </row>
    <row r="1111" spans="1:14" x14ac:dyDescent="0.3">
      <c r="A1111" s="1" t="s">
        <v>1124</v>
      </c>
      <c r="B1111" s="1" t="s">
        <v>1122</v>
      </c>
      <c r="C1111" s="1" t="s">
        <v>21</v>
      </c>
      <c r="D1111" s="1" t="s">
        <v>15</v>
      </c>
      <c r="E1111" s="1" t="s">
        <v>16</v>
      </c>
      <c r="F1111" s="1" t="s">
        <v>17</v>
      </c>
      <c r="G1111" s="1" t="s">
        <v>189</v>
      </c>
      <c r="H1111" s="1" t="s">
        <v>44</v>
      </c>
      <c r="I1111" s="1">
        <v>2</v>
      </c>
      <c r="J1111" s="1">
        <v>288</v>
      </c>
      <c r="K1111" s="1">
        <v>0.08</v>
      </c>
      <c r="L1111" s="1">
        <v>529.91999999999996</v>
      </c>
      <c r="M1111" s="1" t="str">
        <f t="shared" si="34"/>
        <v>Retail Store</v>
      </c>
      <c r="N1111" s="1">
        <f t="shared" si="35"/>
        <v>405</v>
      </c>
    </row>
    <row r="1112" spans="1:14" x14ac:dyDescent="0.3">
      <c r="A1112" s="1" t="s">
        <v>1125</v>
      </c>
      <c r="B1112" s="1" t="s">
        <v>1122</v>
      </c>
      <c r="C1112" s="1" t="s">
        <v>61</v>
      </c>
      <c r="D1112" s="1" t="s">
        <v>22</v>
      </c>
      <c r="E1112" s="1" t="s">
        <v>28</v>
      </c>
      <c r="F1112" s="1" t="s">
        <v>42</v>
      </c>
      <c r="G1112" s="1" t="s">
        <v>65</v>
      </c>
      <c r="H1112" s="1" t="s">
        <v>63</v>
      </c>
      <c r="I1112" s="1">
        <v>2</v>
      </c>
      <c r="J1112" s="1">
        <v>688.5</v>
      </c>
      <c r="K1112" s="1">
        <v>0.08</v>
      </c>
      <c r="L1112" s="1">
        <v>1266.8399999999999</v>
      </c>
      <c r="M1112" s="1" t="str">
        <f t="shared" si="34"/>
        <v>Retail Store</v>
      </c>
      <c r="N1112" s="1">
        <f t="shared" si="35"/>
        <v>62.01</v>
      </c>
    </row>
    <row r="1113" spans="1:14" x14ac:dyDescent="0.3">
      <c r="A1113" s="1" t="s">
        <v>1126</v>
      </c>
      <c r="B1113" s="1" t="s">
        <v>1122</v>
      </c>
      <c r="C1113" s="1" t="s">
        <v>21</v>
      </c>
      <c r="D1113" s="1" t="s">
        <v>22</v>
      </c>
      <c r="E1113" s="1" t="s">
        <v>16</v>
      </c>
      <c r="F1113" s="1" t="s">
        <v>23</v>
      </c>
      <c r="G1113" s="1" t="s">
        <v>116</v>
      </c>
      <c r="H1113" s="1" t="s">
        <v>86</v>
      </c>
      <c r="I1113" s="1">
        <v>6</v>
      </c>
      <c r="J1113" s="1">
        <v>7.49</v>
      </c>
      <c r="K1113" s="1">
        <v>0.03</v>
      </c>
      <c r="L1113" s="1">
        <v>43.58</v>
      </c>
      <c r="M1113" s="1" t="str">
        <f t="shared" si="34"/>
        <v>Online</v>
      </c>
      <c r="N1113" s="1">
        <f t="shared" si="35"/>
        <v>405</v>
      </c>
    </row>
    <row r="1114" spans="1:14" x14ac:dyDescent="0.3">
      <c r="A1114" s="1" t="s">
        <v>1127</v>
      </c>
      <c r="B1114" s="1" t="s">
        <v>1122</v>
      </c>
      <c r="C1114" s="1" t="s">
        <v>14</v>
      </c>
      <c r="D1114" s="1" t="s">
        <v>35</v>
      </c>
      <c r="E1114" s="1" t="s">
        <v>16</v>
      </c>
      <c r="F1114" s="1" t="s">
        <v>17</v>
      </c>
      <c r="G1114" s="1" t="s">
        <v>18</v>
      </c>
      <c r="H1114" s="1" t="s">
        <v>19</v>
      </c>
      <c r="I1114" s="1">
        <v>14</v>
      </c>
      <c r="J1114" s="1">
        <v>84.24</v>
      </c>
      <c r="K1114" s="1">
        <v>0.05</v>
      </c>
      <c r="L1114" s="1">
        <v>1120.3900000000001</v>
      </c>
      <c r="M1114" s="1" t="str">
        <f t="shared" si="34"/>
        <v>Retail Store</v>
      </c>
      <c r="N1114" s="1">
        <f t="shared" si="35"/>
        <v>16.2</v>
      </c>
    </row>
    <row r="1115" spans="1:14" x14ac:dyDescent="0.3">
      <c r="A1115" s="1" t="s">
        <v>1128</v>
      </c>
      <c r="B1115" s="1" t="s">
        <v>1122</v>
      </c>
      <c r="C1115" s="1" t="s">
        <v>14</v>
      </c>
      <c r="D1115" s="1" t="s">
        <v>35</v>
      </c>
      <c r="E1115" s="1" t="s">
        <v>28</v>
      </c>
      <c r="F1115" s="1" t="s">
        <v>17</v>
      </c>
      <c r="G1115" s="1" t="s">
        <v>98</v>
      </c>
      <c r="H1115" s="1" t="s">
        <v>31</v>
      </c>
      <c r="I1115" s="1">
        <v>7</v>
      </c>
      <c r="J1115" s="1">
        <v>405</v>
      </c>
      <c r="K1115" s="1">
        <v>0.15</v>
      </c>
      <c r="L1115" s="1">
        <v>2409.75</v>
      </c>
      <c r="M1115" s="1" t="str">
        <f t="shared" si="34"/>
        <v>Online</v>
      </c>
      <c r="N1115" s="1">
        <f t="shared" si="35"/>
        <v>16.2</v>
      </c>
    </row>
    <row r="1116" spans="1:14" x14ac:dyDescent="0.3">
      <c r="A1116" s="1" t="s">
        <v>1116</v>
      </c>
      <c r="B1116" s="1" t="s">
        <v>1117</v>
      </c>
      <c r="C1116" s="1" t="s">
        <v>61</v>
      </c>
      <c r="D1116" s="1" t="s">
        <v>22</v>
      </c>
      <c r="E1116" s="1" t="s">
        <v>16</v>
      </c>
      <c r="F1116" s="1" t="s">
        <v>42</v>
      </c>
      <c r="G1116" s="1" t="s">
        <v>48</v>
      </c>
      <c r="H1116" s="1" t="s">
        <v>63</v>
      </c>
      <c r="I1116" s="1">
        <v>5</v>
      </c>
      <c r="J1116" s="1">
        <v>18.72</v>
      </c>
      <c r="K1116" s="1">
        <v>0.08</v>
      </c>
      <c r="L1116" s="1">
        <v>86.11</v>
      </c>
      <c r="M1116" s="1" t="str">
        <f t="shared" si="34"/>
        <v>Retail Store</v>
      </c>
      <c r="N1116" s="1">
        <f t="shared" si="35"/>
        <v>62.01</v>
      </c>
    </row>
    <row r="1117" spans="1:14" x14ac:dyDescent="0.3">
      <c r="A1117" s="1" t="s">
        <v>1118</v>
      </c>
      <c r="B1117" s="1" t="s">
        <v>1117</v>
      </c>
      <c r="C1117" s="1" t="s">
        <v>14</v>
      </c>
      <c r="D1117" s="1" t="s">
        <v>22</v>
      </c>
      <c r="E1117" s="1" t="s">
        <v>16</v>
      </c>
      <c r="F1117" s="1" t="s">
        <v>36</v>
      </c>
      <c r="G1117" s="1" t="s">
        <v>37</v>
      </c>
      <c r="H1117" s="1" t="s">
        <v>31</v>
      </c>
      <c r="I1117" s="1">
        <v>5</v>
      </c>
      <c r="J1117" s="1">
        <v>795.6</v>
      </c>
      <c r="K1117" s="1">
        <v>0.05</v>
      </c>
      <c r="L1117" s="1">
        <v>3779.1</v>
      </c>
      <c r="M1117" s="1" t="str">
        <f t="shared" si="34"/>
        <v>Online</v>
      </c>
      <c r="N1117" s="1">
        <f t="shared" si="35"/>
        <v>16.2</v>
      </c>
    </row>
    <row r="1118" spans="1:14" x14ac:dyDescent="0.3">
      <c r="A1118" s="1" t="s">
        <v>1119</v>
      </c>
      <c r="B1118" s="1" t="s">
        <v>1117</v>
      </c>
      <c r="C1118" s="1" t="s">
        <v>54</v>
      </c>
      <c r="D1118" s="1" t="s">
        <v>15</v>
      </c>
      <c r="E1118" s="1" t="s">
        <v>16</v>
      </c>
      <c r="F1118" s="1" t="s">
        <v>29</v>
      </c>
      <c r="G1118" s="1" t="s">
        <v>55</v>
      </c>
      <c r="H1118" s="1" t="s">
        <v>56</v>
      </c>
      <c r="I1118" s="1">
        <v>2</v>
      </c>
      <c r="J1118" s="1">
        <v>34.200000000000003</v>
      </c>
      <c r="K1118" s="1">
        <v>0.03</v>
      </c>
      <c r="L1118" s="1">
        <v>66.349999999999994</v>
      </c>
      <c r="M1118" s="1" t="str">
        <f t="shared" si="34"/>
        <v>Online</v>
      </c>
      <c r="N1118" s="1">
        <f t="shared" si="35"/>
        <v>267.12</v>
      </c>
    </row>
    <row r="1119" spans="1:14" x14ac:dyDescent="0.3">
      <c r="A1119" s="1" t="s">
        <v>1120</v>
      </c>
      <c r="B1119" s="1" t="s">
        <v>1117</v>
      </c>
      <c r="C1119" s="1" t="s">
        <v>21</v>
      </c>
      <c r="D1119" s="1" t="s">
        <v>15</v>
      </c>
      <c r="E1119" s="1" t="s">
        <v>16</v>
      </c>
      <c r="F1119" s="1" t="s">
        <v>42</v>
      </c>
      <c r="G1119" s="1" t="s">
        <v>67</v>
      </c>
      <c r="H1119" s="1" t="s">
        <v>25</v>
      </c>
      <c r="I1119" s="1">
        <v>8</v>
      </c>
      <c r="J1119" s="1">
        <v>257.04000000000002</v>
      </c>
      <c r="K1119" s="1">
        <v>0.08</v>
      </c>
      <c r="L1119" s="1">
        <v>1891.81</v>
      </c>
      <c r="M1119" s="1" t="str">
        <f t="shared" si="34"/>
        <v>Marketplace</v>
      </c>
      <c r="N1119" s="1">
        <f t="shared" si="35"/>
        <v>405</v>
      </c>
    </row>
    <row r="1120" spans="1:14" x14ac:dyDescent="0.3">
      <c r="A1120" s="1" t="s">
        <v>1105</v>
      </c>
      <c r="B1120" s="1" t="s">
        <v>1106</v>
      </c>
      <c r="C1120" s="1" t="s">
        <v>21</v>
      </c>
      <c r="D1120" s="1" t="s">
        <v>35</v>
      </c>
      <c r="E1120" s="1" t="s">
        <v>28</v>
      </c>
      <c r="F1120" s="1" t="s">
        <v>36</v>
      </c>
      <c r="G1120" s="1" t="s">
        <v>77</v>
      </c>
      <c r="H1120" s="1" t="s">
        <v>44</v>
      </c>
      <c r="I1120" s="1">
        <v>3</v>
      </c>
      <c r="J1120" s="1">
        <v>1350</v>
      </c>
      <c r="K1120" s="1">
        <v>0</v>
      </c>
      <c r="L1120" s="1">
        <v>4050</v>
      </c>
      <c r="M1120" s="1" t="str">
        <f t="shared" si="34"/>
        <v>Retail Store</v>
      </c>
      <c r="N1120" s="1">
        <f t="shared" si="35"/>
        <v>405</v>
      </c>
    </row>
    <row r="1121" spans="1:14" x14ac:dyDescent="0.3">
      <c r="A1121" s="1" t="s">
        <v>1107</v>
      </c>
      <c r="B1121" s="1" t="s">
        <v>1106</v>
      </c>
      <c r="C1121" s="1" t="s">
        <v>61</v>
      </c>
      <c r="D1121" s="1" t="s">
        <v>15</v>
      </c>
      <c r="E1121" s="1" t="s">
        <v>28</v>
      </c>
      <c r="F1121" s="1" t="s">
        <v>17</v>
      </c>
      <c r="G1121" s="1" t="s">
        <v>189</v>
      </c>
      <c r="H1121" s="1" t="s">
        <v>63</v>
      </c>
      <c r="I1121" s="1">
        <v>3</v>
      </c>
      <c r="J1121" s="1">
        <v>279.36</v>
      </c>
      <c r="K1121" s="1">
        <v>0.05</v>
      </c>
      <c r="L1121" s="1">
        <v>796.18</v>
      </c>
      <c r="M1121" s="1" t="str">
        <f t="shared" si="34"/>
        <v>Retail Store</v>
      </c>
      <c r="N1121" s="1">
        <f t="shared" si="35"/>
        <v>62.01</v>
      </c>
    </row>
    <row r="1122" spans="1:14" x14ac:dyDescent="0.3">
      <c r="A1122" s="1" t="s">
        <v>1108</v>
      </c>
      <c r="B1122" s="1" t="s">
        <v>1106</v>
      </c>
      <c r="C1122" s="1" t="s">
        <v>61</v>
      </c>
      <c r="D1122" s="1" t="s">
        <v>22</v>
      </c>
      <c r="E1122" s="1" t="s">
        <v>16</v>
      </c>
      <c r="F1122" s="1" t="s">
        <v>42</v>
      </c>
      <c r="G1122" s="1" t="s">
        <v>67</v>
      </c>
      <c r="H1122" s="1" t="s">
        <v>73</v>
      </c>
      <c r="I1122" s="1">
        <v>3</v>
      </c>
      <c r="J1122" s="1">
        <v>239.4</v>
      </c>
      <c r="K1122" s="1">
        <v>0.1</v>
      </c>
      <c r="L1122" s="1">
        <v>646.38</v>
      </c>
      <c r="M1122" s="1" t="str">
        <f t="shared" si="34"/>
        <v>Online</v>
      </c>
      <c r="N1122" s="1">
        <f t="shared" si="35"/>
        <v>62.01</v>
      </c>
    </row>
    <row r="1123" spans="1:14" x14ac:dyDescent="0.3">
      <c r="A1123" s="1" t="s">
        <v>1109</v>
      </c>
      <c r="B1123" s="1" t="s">
        <v>1106</v>
      </c>
      <c r="C1123" s="1" t="s">
        <v>14</v>
      </c>
      <c r="D1123" s="1" t="s">
        <v>35</v>
      </c>
      <c r="E1123" s="1" t="s">
        <v>16</v>
      </c>
      <c r="F1123" s="1" t="s">
        <v>17</v>
      </c>
      <c r="G1123" s="1" t="s">
        <v>189</v>
      </c>
      <c r="H1123" s="1" t="s">
        <v>31</v>
      </c>
      <c r="I1123" s="1">
        <v>9</v>
      </c>
      <c r="J1123" s="1">
        <v>288</v>
      </c>
      <c r="K1123" s="1">
        <v>0.05</v>
      </c>
      <c r="L1123" s="1">
        <v>2462.4</v>
      </c>
      <c r="M1123" s="1" t="str">
        <f t="shared" si="34"/>
        <v>Online</v>
      </c>
      <c r="N1123" s="1">
        <f t="shared" si="35"/>
        <v>16.2</v>
      </c>
    </row>
    <row r="1124" spans="1:14" x14ac:dyDescent="0.3">
      <c r="A1124" s="1" t="s">
        <v>1110</v>
      </c>
      <c r="B1124" s="1" t="s">
        <v>1106</v>
      </c>
      <c r="C1124" s="1" t="s">
        <v>61</v>
      </c>
      <c r="D1124" s="1" t="s">
        <v>35</v>
      </c>
      <c r="E1124" s="1" t="s">
        <v>16</v>
      </c>
      <c r="F1124" s="1" t="s">
        <v>36</v>
      </c>
      <c r="G1124" s="1" t="s">
        <v>119</v>
      </c>
      <c r="H1124" s="1" t="s">
        <v>63</v>
      </c>
      <c r="I1124" s="1">
        <v>2</v>
      </c>
      <c r="J1124" s="1">
        <v>642.6</v>
      </c>
      <c r="K1124" s="1">
        <v>0.15</v>
      </c>
      <c r="L1124" s="1">
        <v>1092.42</v>
      </c>
      <c r="M1124" s="1" t="str">
        <f t="shared" si="34"/>
        <v>Retail Store</v>
      </c>
      <c r="N1124" s="1">
        <f t="shared" si="35"/>
        <v>62.01</v>
      </c>
    </row>
    <row r="1125" spans="1:14" x14ac:dyDescent="0.3">
      <c r="A1125" s="1" t="s">
        <v>1111</v>
      </c>
      <c r="B1125" s="1" t="s">
        <v>1106</v>
      </c>
      <c r="C1125" s="1" t="s">
        <v>61</v>
      </c>
      <c r="D1125" s="1" t="s">
        <v>15</v>
      </c>
      <c r="E1125" s="1" t="s">
        <v>16</v>
      </c>
      <c r="F1125" s="1" t="s">
        <v>36</v>
      </c>
      <c r="G1125" s="1" t="s">
        <v>70</v>
      </c>
      <c r="H1125" s="1" t="s">
        <v>112</v>
      </c>
      <c r="I1125" s="1">
        <v>3</v>
      </c>
      <c r="J1125" s="1">
        <v>553.32000000000005</v>
      </c>
      <c r="K1125" s="1">
        <v>0.08</v>
      </c>
      <c r="L1125" s="1">
        <v>1527.16</v>
      </c>
      <c r="M1125" s="1" t="str">
        <f t="shared" si="34"/>
        <v>Online</v>
      </c>
      <c r="N1125" s="1">
        <f t="shared" si="35"/>
        <v>62.01</v>
      </c>
    </row>
    <row r="1126" spans="1:14" x14ac:dyDescent="0.3">
      <c r="A1126" s="1" t="s">
        <v>1112</v>
      </c>
      <c r="B1126" s="1" t="s">
        <v>1106</v>
      </c>
      <c r="C1126" s="1" t="s">
        <v>21</v>
      </c>
      <c r="D1126" s="1" t="s">
        <v>15</v>
      </c>
      <c r="E1126" s="1" t="s">
        <v>16</v>
      </c>
      <c r="F1126" s="1" t="s">
        <v>36</v>
      </c>
      <c r="G1126" s="1" t="s">
        <v>70</v>
      </c>
      <c r="H1126" s="1" t="s">
        <v>25</v>
      </c>
      <c r="I1126" s="1">
        <v>2</v>
      </c>
      <c r="J1126" s="1">
        <v>542.88</v>
      </c>
      <c r="K1126" s="1">
        <v>0.08</v>
      </c>
      <c r="L1126" s="1">
        <v>998.9</v>
      </c>
      <c r="M1126" s="1" t="str">
        <f t="shared" si="34"/>
        <v>Marketplace</v>
      </c>
      <c r="N1126" s="1">
        <f t="shared" si="35"/>
        <v>405</v>
      </c>
    </row>
    <row r="1127" spans="1:14" x14ac:dyDescent="0.3">
      <c r="A1127" s="1" t="s">
        <v>1113</v>
      </c>
      <c r="B1127" s="1" t="s">
        <v>1106</v>
      </c>
      <c r="C1127" s="1" t="s">
        <v>14</v>
      </c>
      <c r="D1127" s="1" t="s">
        <v>15</v>
      </c>
      <c r="E1127" s="1" t="s">
        <v>16</v>
      </c>
      <c r="F1127" s="1" t="s">
        <v>23</v>
      </c>
      <c r="G1127" s="1" t="s">
        <v>103</v>
      </c>
      <c r="H1127" s="1" t="s">
        <v>31</v>
      </c>
      <c r="I1127" s="1">
        <v>4</v>
      </c>
      <c r="J1127" s="1">
        <v>10.48</v>
      </c>
      <c r="K1127" s="1">
        <v>0.15</v>
      </c>
      <c r="L1127" s="1">
        <v>35.619999999999997</v>
      </c>
      <c r="M1127" s="1" t="str">
        <f t="shared" si="34"/>
        <v>Online</v>
      </c>
      <c r="N1127" s="1">
        <f t="shared" si="35"/>
        <v>16.2</v>
      </c>
    </row>
    <row r="1128" spans="1:14" x14ac:dyDescent="0.3">
      <c r="A1128" s="1" t="s">
        <v>1114</v>
      </c>
      <c r="B1128" s="1" t="s">
        <v>1106</v>
      </c>
      <c r="C1128" s="1" t="s">
        <v>47</v>
      </c>
      <c r="D1128" s="1" t="s">
        <v>15</v>
      </c>
      <c r="E1128" s="1" t="s">
        <v>28</v>
      </c>
      <c r="F1128" s="1" t="s">
        <v>82</v>
      </c>
      <c r="G1128" s="1" t="s">
        <v>150</v>
      </c>
      <c r="H1128" s="1" t="s">
        <v>49</v>
      </c>
      <c r="I1128" s="1">
        <v>4</v>
      </c>
      <c r="J1128" s="1">
        <v>2880</v>
      </c>
      <c r="K1128" s="1">
        <v>0.03</v>
      </c>
      <c r="L1128" s="1">
        <v>11174.4</v>
      </c>
      <c r="M1128" s="1" t="str">
        <f t="shared" si="34"/>
        <v>Retail Store</v>
      </c>
      <c r="N1128" s="1">
        <f t="shared" si="35"/>
        <v>421.2</v>
      </c>
    </row>
    <row r="1129" spans="1:14" x14ac:dyDescent="0.3">
      <c r="A1129" s="1" t="s">
        <v>1115</v>
      </c>
      <c r="B1129" s="1" t="s">
        <v>1106</v>
      </c>
      <c r="C1129" s="1" t="s">
        <v>21</v>
      </c>
      <c r="D1129" s="1" t="s">
        <v>22</v>
      </c>
      <c r="E1129" s="1" t="s">
        <v>28</v>
      </c>
      <c r="F1129" s="1" t="s">
        <v>17</v>
      </c>
      <c r="G1129" s="1" t="s">
        <v>98</v>
      </c>
      <c r="H1129" s="1" t="s">
        <v>25</v>
      </c>
      <c r="I1129" s="1">
        <v>4</v>
      </c>
      <c r="J1129" s="1">
        <v>384.75</v>
      </c>
      <c r="K1129" s="1">
        <v>0.05</v>
      </c>
      <c r="L1129" s="1">
        <v>1462.05</v>
      </c>
      <c r="M1129" s="1" t="str">
        <f t="shared" si="34"/>
        <v>Marketplace</v>
      </c>
      <c r="N1129" s="1">
        <f t="shared" si="35"/>
        <v>405</v>
      </c>
    </row>
    <row r="1130" spans="1:14" x14ac:dyDescent="0.3">
      <c r="A1130" s="1" t="s">
        <v>1100</v>
      </c>
      <c r="B1130" s="1" t="s">
        <v>1101</v>
      </c>
      <c r="C1130" s="1" t="s">
        <v>54</v>
      </c>
      <c r="D1130" s="1" t="s">
        <v>22</v>
      </c>
      <c r="E1130" s="1" t="s">
        <v>16</v>
      </c>
      <c r="F1130" s="1" t="s">
        <v>36</v>
      </c>
      <c r="G1130" s="1" t="s">
        <v>37</v>
      </c>
      <c r="H1130" s="1" t="s">
        <v>56</v>
      </c>
      <c r="I1130" s="1">
        <v>3</v>
      </c>
      <c r="J1130" s="1">
        <v>765</v>
      </c>
      <c r="K1130" s="1">
        <v>0.05</v>
      </c>
      <c r="L1130" s="1">
        <v>2180.25</v>
      </c>
      <c r="M1130" s="1" t="str">
        <f t="shared" si="34"/>
        <v>Online</v>
      </c>
      <c r="N1130" s="1">
        <f t="shared" si="35"/>
        <v>267.12</v>
      </c>
    </row>
    <row r="1131" spans="1:14" x14ac:dyDescent="0.3">
      <c r="A1131" s="1" t="s">
        <v>1102</v>
      </c>
      <c r="B1131" s="1" t="s">
        <v>1101</v>
      </c>
      <c r="C1131" s="1" t="s">
        <v>21</v>
      </c>
      <c r="D1131" s="1" t="s">
        <v>15</v>
      </c>
      <c r="E1131" s="1" t="s">
        <v>28</v>
      </c>
      <c r="F1131" s="1" t="s">
        <v>82</v>
      </c>
      <c r="G1131" s="1" t="s">
        <v>114</v>
      </c>
      <c r="H1131" s="1" t="s">
        <v>86</v>
      </c>
      <c r="I1131" s="1">
        <v>2</v>
      </c>
      <c r="J1131" s="1">
        <v>2295</v>
      </c>
      <c r="K1131" s="1">
        <v>0.05</v>
      </c>
      <c r="L1131" s="1">
        <v>4360.5</v>
      </c>
      <c r="M1131" s="1" t="str">
        <f t="shared" si="34"/>
        <v>Online</v>
      </c>
      <c r="N1131" s="1">
        <f t="shared" si="35"/>
        <v>405</v>
      </c>
    </row>
    <row r="1132" spans="1:14" x14ac:dyDescent="0.3">
      <c r="A1132" s="1" t="s">
        <v>1103</v>
      </c>
      <c r="B1132" s="1" t="s">
        <v>1101</v>
      </c>
      <c r="C1132" s="1" t="s">
        <v>54</v>
      </c>
      <c r="D1132" s="1" t="s">
        <v>15</v>
      </c>
      <c r="E1132" s="1" t="s">
        <v>28</v>
      </c>
      <c r="F1132" s="1" t="s">
        <v>23</v>
      </c>
      <c r="G1132" s="1" t="s">
        <v>142</v>
      </c>
      <c r="H1132" s="1" t="s">
        <v>71</v>
      </c>
      <c r="I1132" s="1">
        <v>3</v>
      </c>
      <c r="J1132" s="1">
        <v>16.2</v>
      </c>
      <c r="K1132" s="1">
        <v>0.03</v>
      </c>
      <c r="L1132" s="1">
        <v>47.14</v>
      </c>
      <c r="M1132" s="1" t="str">
        <f t="shared" si="34"/>
        <v>Online</v>
      </c>
      <c r="N1132" s="1">
        <f t="shared" si="35"/>
        <v>267.12</v>
      </c>
    </row>
    <row r="1133" spans="1:14" x14ac:dyDescent="0.3">
      <c r="A1133" s="1" t="s">
        <v>1104</v>
      </c>
      <c r="B1133" s="1" t="s">
        <v>1101</v>
      </c>
      <c r="C1133" s="1" t="s">
        <v>54</v>
      </c>
      <c r="D1133" s="1" t="s">
        <v>15</v>
      </c>
      <c r="E1133" s="1" t="s">
        <v>28</v>
      </c>
      <c r="F1133" s="1" t="s">
        <v>23</v>
      </c>
      <c r="G1133" s="1" t="s">
        <v>116</v>
      </c>
      <c r="H1133" s="1" t="s">
        <v>71</v>
      </c>
      <c r="I1133" s="1">
        <v>6</v>
      </c>
      <c r="J1133" s="1">
        <v>7.34</v>
      </c>
      <c r="K1133" s="1">
        <v>0.2</v>
      </c>
      <c r="L1133" s="1">
        <v>35.25</v>
      </c>
      <c r="M1133" s="1" t="str">
        <f t="shared" si="34"/>
        <v>Online</v>
      </c>
      <c r="N1133" s="1">
        <f t="shared" si="35"/>
        <v>267.12</v>
      </c>
    </row>
    <row r="1134" spans="1:14" x14ac:dyDescent="0.3">
      <c r="A1134" s="1" t="s">
        <v>1098</v>
      </c>
      <c r="B1134" s="1" t="s">
        <v>1099</v>
      </c>
      <c r="C1134" s="1" t="s">
        <v>21</v>
      </c>
      <c r="D1134" s="1" t="s">
        <v>15</v>
      </c>
      <c r="E1134" s="1" t="s">
        <v>16</v>
      </c>
      <c r="F1134" s="1" t="s">
        <v>17</v>
      </c>
      <c r="G1134" s="1" t="s">
        <v>62</v>
      </c>
      <c r="H1134" s="1" t="s">
        <v>86</v>
      </c>
      <c r="I1134" s="1">
        <v>3</v>
      </c>
      <c r="J1134" s="1">
        <v>54</v>
      </c>
      <c r="K1134" s="1">
        <v>0.15</v>
      </c>
      <c r="L1134" s="1">
        <v>137.69999999999999</v>
      </c>
      <c r="M1134" s="1" t="str">
        <f t="shared" si="34"/>
        <v>Online</v>
      </c>
      <c r="N1134" s="1">
        <f t="shared" si="35"/>
        <v>405</v>
      </c>
    </row>
    <row r="1135" spans="1:14" x14ac:dyDescent="0.3">
      <c r="A1135" s="1" t="s">
        <v>1089</v>
      </c>
      <c r="B1135" s="1" t="s">
        <v>1090</v>
      </c>
      <c r="C1135" s="1" t="s">
        <v>54</v>
      </c>
      <c r="D1135" s="1" t="s">
        <v>22</v>
      </c>
      <c r="E1135" s="1" t="s">
        <v>16</v>
      </c>
      <c r="F1135" s="1" t="s">
        <v>42</v>
      </c>
      <c r="G1135" s="1" t="s">
        <v>48</v>
      </c>
      <c r="H1135" s="1" t="s">
        <v>80</v>
      </c>
      <c r="I1135" s="1">
        <v>4</v>
      </c>
      <c r="J1135" s="1">
        <v>18</v>
      </c>
      <c r="K1135" s="1">
        <v>0.1</v>
      </c>
      <c r="L1135" s="1">
        <v>64.8</v>
      </c>
      <c r="M1135" s="1" t="str">
        <f t="shared" si="34"/>
        <v>Marketplace</v>
      </c>
      <c r="N1135" s="1">
        <f t="shared" si="35"/>
        <v>267.12</v>
      </c>
    </row>
    <row r="1136" spans="1:14" x14ac:dyDescent="0.3">
      <c r="A1136" s="1" t="s">
        <v>1091</v>
      </c>
      <c r="B1136" s="1" t="s">
        <v>1090</v>
      </c>
      <c r="C1136" s="1" t="s">
        <v>61</v>
      </c>
      <c r="D1136" s="1" t="s">
        <v>22</v>
      </c>
      <c r="E1136" s="1" t="s">
        <v>28</v>
      </c>
      <c r="F1136" s="1" t="s">
        <v>29</v>
      </c>
      <c r="G1136" s="1" t="s">
        <v>33</v>
      </c>
      <c r="H1136" s="1" t="s">
        <v>73</v>
      </c>
      <c r="I1136" s="1">
        <v>3</v>
      </c>
      <c r="J1136" s="1">
        <v>12.83</v>
      </c>
      <c r="K1136" s="1">
        <v>0.05</v>
      </c>
      <c r="L1136" s="1">
        <v>36.549999999999997</v>
      </c>
      <c r="M1136" s="1" t="str">
        <f t="shared" si="34"/>
        <v>Online</v>
      </c>
      <c r="N1136" s="1">
        <f t="shared" si="35"/>
        <v>62.01</v>
      </c>
    </row>
    <row r="1137" spans="1:14" x14ac:dyDescent="0.3">
      <c r="A1137" s="1" t="s">
        <v>1092</v>
      </c>
      <c r="B1137" s="1" t="s">
        <v>1090</v>
      </c>
      <c r="C1137" s="1" t="s">
        <v>14</v>
      </c>
      <c r="D1137" s="1" t="s">
        <v>15</v>
      </c>
      <c r="E1137" s="1" t="s">
        <v>16</v>
      </c>
      <c r="F1137" s="1" t="s">
        <v>82</v>
      </c>
      <c r="G1137" s="1" t="s">
        <v>96</v>
      </c>
      <c r="H1137" s="1" t="s">
        <v>19</v>
      </c>
      <c r="I1137" s="1">
        <v>2</v>
      </c>
      <c r="J1137" s="1">
        <v>2700</v>
      </c>
      <c r="K1137" s="1">
        <v>0.05</v>
      </c>
      <c r="L1137" s="1">
        <v>5130</v>
      </c>
      <c r="M1137" s="1" t="str">
        <f t="shared" si="34"/>
        <v>Retail Store</v>
      </c>
      <c r="N1137" s="1">
        <f t="shared" si="35"/>
        <v>16.2</v>
      </c>
    </row>
    <row r="1138" spans="1:14" x14ac:dyDescent="0.3">
      <c r="A1138" s="1" t="s">
        <v>1093</v>
      </c>
      <c r="B1138" s="1" t="s">
        <v>1090</v>
      </c>
      <c r="C1138" s="1" t="s">
        <v>14</v>
      </c>
      <c r="D1138" s="1" t="s">
        <v>15</v>
      </c>
      <c r="E1138" s="1" t="s">
        <v>16</v>
      </c>
      <c r="F1138" s="1" t="s">
        <v>29</v>
      </c>
      <c r="G1138" s="1" t="s">
        <v>33</v>
      </c>
      <c r="H1138" s="1" t="s">
        <v>31</v>
      </c>
      <c r="I1138" s="1">
        <v>2</v>
      </c>
      <c r="J1138" s="1">
        <v>13.77</v>
      </c>
      <c r="K1138" s="1">
        <v>0.1</v>
      </c>
      <c r="L1138" s="1">
        <v>24.79</v>
      </c>
      <c r="M1138" s="1" t="str">
        <f t="shared" si="34"/>
        <v>Online</v>
      </c>
      <c r="N1138" s="1">
        <f t="shared" si="35"/>
        <v>16.2</v>
      </c>
    </row>
    <row r="1139" spans="1:14" x14ac:dyDescent="0.3">
      <c r="A1139" s="1" t="s">
        <v>1094</v>
      </c>
      <c r="B1139" s="1" t="s">
        <v>1090</v>
      </c>
      <c r="C1139" s="1" t="s">
        <v>14</v>
      </c>
      <c r="D1139" s="1" t="s">
        <v>27</v>
      </c>
      <c r="E1139" s="1" t="s">
        <v>28</v>
      </c>
      <c r="F1139" s="1" t="s">
        <v>36</v>
      </c>
      <c r="G1139" s="1" t="s">
        <v>77</v>
      </c>
      <c r="H1139" s="1" t="s">
        <v>31</v>
      </c>
      <c r="I1139" s="1">
        <v>6</v>
      </c>
      <c r="J1139" s="1">
        <v>1377</v>
      </c>
      <c r="K1139" s="1">
        <v>0.15</v>
      </c>
      <c r="L1139" s="1">
        <v>7022.7</v>
      </c>
      <c r="M1139" s="1" t="str">
        <f t="shared" si="34"/>
        <v>Online</v>
      </c>
      <c r="N1139" s="1">
        <f t="shared" si="35"/>
        <v>16.2</v>
      </c>
    </row>
    <row r="1140" spans="1:14" x14ac:dyDescent="0.3">
      <c r="A1140" s="1" t="s">
        <v>1095</v>
      </c>
      <c r="B1140" s="1" t="s">
        <v>1090</v>
      </c>
      <c r="C1140" s="1" t="s">
        <v>47</v>
      </c>
      <c r="D1140" s="1" t="s">
        <v>22</v>
      </c>
      <c r="E1140" s="1" t="s">
        <v>16</v>
      </c>
      <c r="F1140" s="1" t="s">
        <v>17</v>
      </c>
      <c r="G1140" s="1" t="s">
        <v>98</v>
      </c>
      <c r="H1140" s="1" t="s">
        <v>49</v>
      </c>
      <c r="I1140" s="1">
        <v>2</v>
      </c>
      <c r="J1140" s="1">
        <v>405</v>
      </c>
      <c r="K1140" s="1">
        <v>0.15</v>
      </c>
      <c r="L1140" s="1">
        <v>688.5</v>
      </c>
      <c r="M1140" s="1" t="str">
        <f t="shared" si="34"/>
        <v>Retail Store</v>
      </c>
      <c r="N1140" s="1">
        <f t="shared" si="35"/>
        <v>421.2</v>
      </c>
    </row>
    <row r="1141" spans="1:14" x14ac:dyDescent="0.3">
      <c r="A1141" s="1" t="s">
        <v>1096</v>
      </c>
      <c r="B1141" s="1" t="s">
        <v>1090</v>
      </c>
      <c r="C1141" s="1" t="s">
        <v>47</v>
      </c>
      <c r="D1141" s="1" t="s">
        <v>35</v>
      </c>
      <c r="E1141" s="1" t="s">
        <v>16</v>
      </c>
      <c r="F1141" s="1" t="s">
        <v>36</v>
      </c>
      <c r="G1141" s="1" t="s">
        <v>77</v>
      </c>
      <c r="H1141" s="1" t="s">
        <v>58</v>
      </c>
      <c r="I1141" s="1">
        <v>3</v>
      </c>
      <c r="J1141" s="1">
        <v>1350</v>
      </c>
      <c r="K1141" s="1">
        <v>0.15</v>
      </c>
      <c r="L1141" s="1">
        <v>3442.5</v>
      </c>
      <c r="M1141" s="1" t="str">
        <f t="shared" si="34"/>
        <v>Corporate Sales</v>
      </c>
      <c r="N1141" s="1">
        <f t="shared" si="35"/>
        <v>421.2</v>
      </c>
    </row>
    <row r="1142" spans="1:14" x14ac:dyDescent="0.3">
      <c r="A1142" s="1" t="s">
        <v>1097</v>
      </c>
      <c r="B1142" s="1" t="s">
        <v>1090</v>
      </c>
      <c r="C1142" s="1" t="s">
        <v>54</v>
      </c>
      <c r="D1142" s="1" t="s">
        <v>22</v>
      </c>
      <c r="E1142" s="1" t="s">
        <v>28</v>
      </c>
      <c r="F1142" s="1" t="s">
        <v>17</v>
      </c>
      <c r="G1142" s="1" t="s">
        <v>18</v>
      </c>
      <c r="H1142" s="1" t="s">
        <v>56</v>
      </c>
      <c r="I1142" s="1">
        <v>5</v>
      </c>
      <c r="J1142" s="1">
        <v>84.24</v>
      </c>
      <c r="K1142" s="1">
        <v>0</v>
      </c>
      <c r="L1142" s="1">
        <v>421.2</v>
      </c>
      <c r="M1142" s="1" t="str">
        <f t="shared" si="34"/>
        <v>Online</v>
      </c>
      <c r="N1142" s="1">
        <f t="shared" si="35"/>
        <v>267.12</v>
      </c>
    </row>
    <row r="1143" spans="1:14" x14ac:dyDescent="0.3">
      <c r="A1143" s="1" t="s">
        <v>1084</v>
      </c>
      <c r="B1143" s="1" t="s">
        <v>1085</v>
      </c>
      <c r="C1143" s="1" t="s">
        <v>21</v>
      </c>
      <c r="D1143" s="1" t="s">
        <v>35</v>
      </c>
      <c r="E1143" s="1" t="s">
        <v>16</v>
      </c>
      <c r="F1143" s="1" t="s">
        <v>82</v>
      </c>
      <c r="G1143" s="1" t="s">
        <v>114</v>
      </c>
      <c r="H1143" s="1" t="s">
        <v>25</v>
      </c>
      <c r="I1143" s="1">
        <v>2</v>
      </c>
      <c r="J1143" s="1">
        <v>2137.5</v>
      </c>
      <c r="K1143" s="1">
        <v>0.08</v>
      </c>
      <c r="L1143" s="1">
        <v>3933</v>
      </c>
      <c r="M1143" s="1" t="str">
        <f t="shared" si="34"/>
        <v>Marketplace</v>
      </c>
      <c r="N1143" s="1">
        <f t="shared" si="35"/>
        <v>405</v>
      </c>
    </row>
    <row r="1144" spans="1:14" x14ac:dyDescent="0.3">
      <c r="A1144" s="1" t="s">
        <v>1086</v>
      </c>
      <c r="B1144" s="1" t="s">
        <v>1085</v>
      </c>
      <c r="C1144" s="1" t="s">
        <v>54</v>
      </c>
      <c r="D1144" s="1" t="s">
        <v>15</v>
      </c>
      <c r="E1144" s="1" t="s">
        <v>16</v>
      </c>
      <c r="F1144" s="1" t="s">
        <v>82</v>
      </c>
      <c r="G1144" s="1" t="s">
        <v>150</v>
      </c>
      <c r="H1144" s="1" t="s">
        <v>56</v>
      </c>
      <c r="I1144" s="1">
        <v>2</v>
      </c>
      <c r="J1144" s="1">
        <v>2880</v>
      </c>
      <c r="K1144" s="1">
        <v>0.08</v>
      </c>
      <c r="L1144" s="1">
        <v>5299.2</v>
      </c>
      <c r="M1144" s="1" t="str">
        <f t="shared" si="34"/>
        <v>Online</v>
      </c>
      <c r="N1144" s="1">
        <f t="shared" si="35"/>
        <v>267.12</v>
      </c>
    </row>
    <row r="1145" spans="1:14" x14ac:dyDescent="0.3">
      <c r="A1145" s="1" t="s">
        <v>1087</v>
      </c>
      <c r="B1145" s="1" t="s">
        <v>1085</v>
      </c>
      <c r="C1145" s="1" t="s">
        <v>61</v>
      </c>
      <c r="D1145" s="1" t="s">
        <v>35</v>
      </c>
      <c r="E1145" s="1" t="s">
        <v>28</v>
      </c>
      <c r="F1145" s="1" t="s">
        <v>29</v>
      </c>
      <c r="G1145" s="1" t="s">
        <v>30</v>
      </c>
      <c r="H1145" s="1" t="s">
        <v>112</v>
      </c>
      <c r="I1145" s="1">
        <v>5</v>
      </c>
      <c r="J1145" s="1">
        <v>48.02</v>
      </c>
      <c r="K1145" s="1">
        <v>0.15</v>
      </c>
      <c r="L1145" s="1">
        <v>204.06</v>
      </c>
      <c r="M1145" s="1" t="str">
        <f t="shared" si="34"/>
        <v>Online</v>
      </c>
      <c r="N1145" s="1">
        <f t="shared" si="35"/>
        <v>62.01</v>
      </c>
    </row>
    <row r="1146" spans="1:14" x14ac:dyDescent="0.3">
      <c r="A1146" s="1" t="s">
        <v>1088</v>
      </c>
      <c r="B1146" s="1" t="s">
        <v>1085</v>
      </c>
      <c r="C1146" s="1" t="s">
        <v>14</v>
      </c>
      <c r="D1146" s="1" t="s">
        <v>15</v>
      </c>
      <c r="E1146" s="1" t="s">
        <v>16</v>
      </c>
      <c r="F1146" s="1" t="s">
        <v>29</v>
      </c>
      <c r="G1146" s="1" t="s">
        <v>30</v>
      </c>
      <c r="H1146" s="1" t="s">
        <v>31</v>
      </c>
      <c r="I1146" s="1">
        <v>3</v>
      </c>
      <c r="J1146" s="1">
        <v>51.48</v>
      </c>
      <c r="K1146" s="1">
        <v>0.1</v>
      </c>
      <c r="L1146" s="1">
        <v>139</v>
      </c>
      <c r="M1146" s="1" t="str">
        <f t="shared" si="34"/>
        <v>Online</v>
      </c>
      <c r="N1146" s="1">
        <f t="shared" si="35"/>
        <v>16.2</v>
      </c>
    </row>
    <row r="1147" spans="1:14" x14ac:dyDescent="0.3">
      <c r="A1147" s="1" t="s">
        <v>1075</v>
      </c>
      <c r="B1147" s="1" t="s">
        <v>1076</v>
      </c>
      <c r="C1147" s="1" t="s">
        <v>54</v>
      </c>
      <c r="D1147" s="1" t="s">
        <v>27</v>
      </c>
      <c r="E1147" s="1" t="s">
        <v>16</v>
      </c>
      <c r="F1147" s="1" t="s">
        <v>17</v>
      </c>
      <c r="G1147" s="1" t="s">
        <v>98</v>
      </c>
      <c r="H1147" s="1" t="s">
        <v>80</v>
      </c>
      <c r="I1147" s="1">
        <v>2</v>
      </c>
      <c r="J1147" s="1">
        <v>384.75</v>
      </c>
      <c r="K1147" s="1">
        <v>0.15</v>
      </c>
      <c r="L1147" s="1">
        <v>654.08000000000004</v>
      </c>
      <c r="M1147" s="1" t="str">
        <f t="shared" si="34"/>
        <v>Marketplace</v>
      </c>
      <c r="N1147" s="1">
        <f t="shared" si="35"/>
        <v>267.12</v>
      </c>
    </row>
    <row r="1148" spans="1:14" x14ac:dyDescent="0.3">
      <c r="A1148" s="1" t="s">
        <v>1077</v>
      </c>
      <c r="B1148" s="1" t="s">
        <v>1076</v>
      </c>
      <c r="C1148" s="1" t="s">
        <v>14</v>
      </c>
      <c r="D1148" s="1" t="s">
        <v>22</v>
      </c>
      <c r="E1148" s="1" t="s">
        <v>28</v>
      </c>
      <c r="F1148" s="1" t="s">
        <v>17</v>
      </c>
      <c r="G1148" s="1" t="s">
        <v>62</v>
      </c>
      <c r="H1148" s="1" t="s">
        <v>19</v>
      </c>
      <c r="I1148" s="1">
        <v>3</v>
      </c>
      <c r="J1148" s="1">
        <v>54</v>
      </c>
      <c r="K1148" s="1">
        <v>0.05</v>
      </c>
      <c r="L1148" s="1">
        <v>153.9</v>
      </c>
      <c r="M1148" s="1" t="str">
        <f t="shared" si="34"/>
        <v>Retail Store</v>
      </c>
      <c r="N1148" s="1">
        <f t="shared" si="35"/>
        <v>16.2</v>
      </c>
    </row>
    <row r="1149" spans="1:14" x14ac:dyDescent="0.3">
      <c r="A1149" s="1" t="s">
        <v>1078</v>
      </c>
      <c r="B1149" s="1" t="s">
        <v>1076</v>
      </c>
      <c r="C1149" s="1" t="s">
        <v>61</v>
      </c>
      <c r="D1149" s="1" t="s">
        <v>15</v>
      </c>
      <c r="E1149" s="1" t="s">
        <v>16</v>
      </c>
      <c r="F1149" s="1" t="s">
        <v>36</v>
      </c>
      <c r="G1149" s="1" t="s">
        <v>37</v>
      </c>
      <c r="H1149" s="1" t="s">
        <v>63</v>
      </c>
      <c r="I1149" s="1">
        <v>6</v>
      </c>
      <c r="J1149" s="1">
        <v>742.05</v>
      </c>
      <c r="K1149" s="1">
        <v>0.2</v>
      </c>
      <c r="L1149" s="1">
        <v>3561.84</v>
      </c>
      <c r="M1149" s="1" t="str">
        <f t="shared" si="34"/>
        <v>Retail Store</v>
      </c>
      <c r="N1149" s="1">
        <f t="shared" si="35"/>
        <v>62.01</v>
      </c>
    </row>
    <row r="1150" spans="1:14" x14ac:dyDescent="0.3">
      <c r="A1150" s="1" t="s">
        <v>1079</v>
      </c>
      <c r="B1150" s="1" t="s">
        <v>1076</v>
      </c>
      <c r="C1150" s="1" t="s">
        <v>21</v>
      </c>
      <c r="D1150" s="1" t="s">
        <v>35</v>
      </c>
      <c r="E1150" s="1" t="s">
        <v>28</v>
      </c>
      <c r="F1150" s="1" t="s">
        <v>82</v>
      </c>
      <c r="G1150" s="1" t="s">
        <v>83</v>
      </c>
      <c r="H1150" s="1" t="s">
        <v>25</v>
      </c>
      <c r="I1150" s="1">
        <v>2</v>
      </c>
      <c r="J1150" s="1">
        <v>3666.6</v>
      </c>
      <c r="K1150" s="1">
        <v>0.03</v>
      </c>
      <c r="L1150" s="1">
        <v>7113.2</v>
      </c>
      <c r="M1150" s="1" t="str">
        <f t="shared" si="34"/>
        <v>Marketplace</v>
      </c>
      <c r="N1150" s="1">
        <f t="shared" si="35"/>
        <v>405</v>
      </c>
    </row>
    <row r="1151" spans="1:14" x14ac:dyDescent="0.3">
      <c r="A1151" s="1" t="s">
        <v>1080</v>
      </c>
      <c r="B1151" s="1" t="s">
        <v>1076</v>
      </c>
      <c r="C1151" s="1" t="s">
        <v>14</v>
      </c>
      <c r="D1151" s="1" t="s">
        <v>15</v>
      </c>
      <c r="E1151" s="1" t="s">
        <v>16</v>
      </c>
      <c r="F1151" s="1" t="s">
        <v>29</v>
      </c>
      <c r="G1151" s="1" t="s">
        <v>88</v>
      </c>
      <c r="H1151" s="1" t="s">
        <v>19</v>
      </c>
      <c r="I1151" s="1">
        <v>5</v>
      </c>
      <c r="J1151" s="1">
        <v>58.5</v>
      </c>
      <c r="K1151" s="1">
        <v>0.08</v>
      </c>
      <c r="L1151" s="1">
        <v>269.10000000000002</v>
      </c>
      <c r="M1151" s="1" t="str">
        <f t="shared" si="34"/>
        <v>Retail Store</v>
      </c>
      <c r="N1151" s="1">
        <f t="shared" si="35"/>
        <v>16.2</v>
      </c>
    </row>
    <row r="1152" spans="1:14" x14ac:dyDescent="0.3">
      <c r="A1152" s="1" t="s">
        <v>1081</v>
      </c>
      <c r="B1152" s="1" t="s">
        <v>1076</v>
      </c>
      <c r="C1152" s="1" t="s">
        <v>54</v>
      </c>
      <c r="D1152" s="1" t="s">
        <v>15</v>
      </c>
      <c r="E1152" s="1" t="s">
        <v>16</v>
      </c>
      <c r="F1152" s="1" t="s">
        <v>36</v>
      </c>
      <c r="G1152" s="1" t="s">
        <v>70</v>
      </c>
      <c r="H1152" s="1" t="s">
        <v>80</v>
      </c>
      <c r="I1152" s="1">
        <v>2</v>
      </c>
      <c r="J1152" s="1">
        <v>506.34</v>
      </c>
      <c r="K1152" s="1">
        <v>0.2</v>
      </c>
      <c r="L1152" s="1">
        <v>810.14</v>
      </c>
      <c r="M1152" s="1" t="str">
        <f t="shared" si="34"/>
        <v>Marketplace</v>
      </c>
      <c r="N1152" s="1">
        <f t="shared" si="35"/>
        <v>267.12</v>
      </c>
    </row>
    <row r="1153" spans="1:14" x14ac:dyDescent="0.3">
      <c r="A1153" s="1" t="s">
        <v>1082</v>
      </c>
      <c r="B1153" s="1" t="s">
        <v>1076</v>
      </c>
      <c r="C1153" s="1" t="s">
        <v>47</v>
      </c>
      <c r="D1153" s="1" t="s">
        <v>22</v>
      </c>
      <c r="E1153" s="1" t="s">
        <v>28</v>
      </c>
      <c r="F1153" s="1" t="s">
        <v>17</v>
      </c>
      <c r="G1153" s="1" t="s">
        <v>98</v>
      </c>
      <c r="H1153" s="1" t="s">
        <v>58</v>
      </c>
      <c r="I1153" s="1">
        <v>6</v>
      </c>
      <c r="J1153" s="1">
        <v>405</v>
      </c>
      <c r="K1153" s="1">
        <v>0.15</v>
      </c>
      <c r="L1153" s="1">
        <v>2065.5</v>
      </c>
      <c r="M1153" s="1" t="str">
        <f t="shared" si="34"/>
        <v>Corporate Sales</v>
      </c>
      <c r="N1153" s="1">
        <f t="shared" si="35"/>
        <v>421.2</v>
      </c>
    </row>
    <row r="1154" spans="1:14" x14ac:dyDescent="0.3">
      <c r="A1154" s="1" t="s">
        <v>1083</v>
      </c>
      <c r="B1154" s="1" t="s">
        <v>1076</v>
      </c>
      <c r="C1154" s="1" t="s">
        <v>14</v>
      </c>
      <c r="D1154" s="1" t="s">
        <v>22</v>
      </c>
      <c r="E1154" s="1" t="s">
        <v>28</v>
      </c>
      <c r="F1154" s="1" t="s">
        <v>36</v>
      </c>
      <c r="G1154" s="1" t="s">
        <v>37</v>
      </c>
      <c r="H1154" s="1" t="s">
        <v>19</v>
      </c>
      <c r="I1154" s="1">
        <v>3</v>
      </c>
      <c r="J1154" s="1">
        <v>765</v>
      </c>
      <c r="K1154" s="1">
        <v>0.1</v>
      </c>
      <c r="L1154" s="1">
        <v>2065.5</v>
      </c>
      <c r="M1154" s="1" t="str">
        <f t="shared" ref="M1154:M1217" si="36">INDEX(D:D,MATCH(H1154,H:H,0))</f>
        <v>Retail Store</v>
      </c>
      <c r="N1154" s="1">
        <f t="shared" ref="N1154:N1217" si="37">VLOOKUP(C:C,C:J,8,FALSE)</f>
        <v>16.2</v>
      </c>
    </row>
    <row r="1155" spans="1:14" x14ac:dyDescent="0.3">
      <c r="A1155" s="1" t="s">
        <v>1066</v>
      </c>
      <c r="B1155" s="1" t="s">
        <v>1067</v>
      </c>
      <c r="C1155" s="1" t="s">
        <v>54</v>
      </c>
      <c r="D1155" s="1" t="s">
        <v>27</v>
      </c>
      <c r="E1155" s="1" t="s">
        <v>16</v>
      </c>
      <c r="F1155" s="1" t="s">
        <v>23</v>
      </c>
      <c r="G1155" s="1" t="s">
        <v>103</v>
      </c>
      <c r="H1155" s="1" t="s">
        <v>71</v>
      </c>
      <c r="I1155" s="1">
        <v>7</v>
      </c>
      <c r="J1155" s="1">
        <v>10.8</v>
      </c>
      <c r="K1155" s="1">
        <v>0.08</v>
      </c>
      <c r="L1155" s="1">
        <v>69.55</v>
      </c>
      <c r="M1155" s="1" t="str">
        <f t="shared" si="36"/>
        <v>Online</v>
      </c>
      <c r="N1155" s="1">
        <f t="shared" si="37"/>
        <v>267.12</v>
      </c>
    </row>
    <row r="1156" spans="1:14" x14ac:dyDescent="0.3">
      <c r="A1156" s="1" t="s">
        <v>1068</v>
      </c>
      <c r="B1156" s="1" t="s">
        <v>1067</v>
      </c>
      <c r="C1156" s="1" t="s">
        <v>54</v>
      </c>
      <c r="D1156" s="1" t="s">
        <v>35</v>
      </c>
      <c r="E1156" s="1" t="s">
        <v>16</v>
      </c>
      <c r="F1156" s="1" t="s">
        <v>17</v>
      </c>
      <c r="G1156" s="1" t="s">
        <v>62</v>
      </c>
      <c r="H1156" s="1" t="s">
        <v>56</v>
      </c>
      <c r="I1156" s="1">
        <v>4</v>
      </c>
      <c r="J1156" s="1">
        <v>57.24</v>
      </c>
      <c r="K1156" s="1">
        <v>0.1</v>
      </c>
      <c r="L1156" s="1">
        <v>206.06</v>
      </c>
      <c r="M1156" s="1" t="str">
        <f t="shared" si="36"/>
        <v>Online</v>
      </c>
      <c r="N1156" s="1">
        <f t="shared" si="37"/>
        <v>267.12</v>
      </c>
    </row>
    <row r="1157" spans="1:14" x14ac:dyDescent="0.3">
      <c r="A1157" s="1" t="s">
        <v>1069</v>
      </c>
      <c r="B1157" s="1" t="s">
        <v>1067</v>
      </c>
      <c r="C1157" s="1" t="s">
        <v>61</v>
      </c>
      <c r="D1157" s="1" t="s">
        <v>22</v>
      </c>
      <c r="E1157" s="1" t="s">
        <v>16</v>
      </c>
      <c r="F1157" s="1" t="s">
        <v>36</v>
      </c>
      <c r="G1157" s="1" t="s">
        <v>70</v>
      </c>
      <c r="H1157" s="1" t="s">
        <v>63</v>
      </c>
      <c r="I1157" s="1">
        <v>5</v>
      </c>
      <c r="J1157" s="1">
        <v>553.32000000000005</v>
      </c>
      <c r="K1157" s="1">
        <v>0.1</v>
      </c>
      <c r="L1157" s="1">
        <v>2489.94</v>
      </c>
      <c r="M1157" s="1" t="str">
        <f t="shared" si="36"/>
        <v>Retail Store</v>
      </c>
      <c r="N1157" s="1">
        <f t="shared" si="37"/>
        <v>62.01</v>
      </c>
    </row>
    <row r="1158" spans="1:14" x14ac:dyDescent="0.3">
      <c r="A1158" s="1" t="s">
        <v>1070</v>
      </c>
      <c r="B1158" s="1" t="s">
        <v>1067</v>
      </c>
      <c r="C1158" s="1" t="s">
        <v>54</v>
      </c>
      <c r="D1158" s="1" t="s">
        <v>15</v>
      </c>
      <c r="E1158" s="1" t="s">
        <v>28</v>
      </c>
      <c r="F1158" s="1" t="s">
        <v>23</v>
      </c>
      <c r="G1158" s="1" t="s">
        <v>178</v>
      </c>
      <c r="H1158" s="1" t="s">
        <v>80</v>
      </c>
      <c r="I1158" s="1">
        <v>8</v>
      </c>
      <c r="J1158" s="1">
        <v>31.5</v>
      </c>
      <c r="K1158" s="1">
        <v>0.15</v>
      </c>
      <c r="L1158" s="1">
        <v>214.2</v>
      </c>
      <c r="M1158" s="1" t="str">
        <f t="shared" si="36"/>
        <v>Marketplace</v>
      </c>
      <c r="N1158" s="1">
        <f t="shared" si="37"/>
        <v>267.12</v>
      </c>
    </row>
    <row r="1159" spans="1:14" x14ac:dyDescent="0.3">
      <c r="A1159" s="1" t="s">
        <v>1071</v>
      </c>
      <c r="B1159" s="1" t="s">
        <v>1067</v>
      </c>
      <c r="C1159" s="1" t="s">
        <v>14</v>
      </c>
      <c r="D1159" s="1" t="s">
        <v>15</v>
      </c>
      <c r="E1159" s="1" t="s">
        <v>28</v>
      </c>
      <c r="F1159" s="1" t="s">
        <v>36</v>
      </c>
      <c r="G1159" s="1" t="s">
        <v>70</v>
      </c>
      <c r="H1159" s="1" t="s">
        <v>31</v>
      </c>
      <c r="I1159" s="1">
        <v>2</v>
      </c>
      <c r="J1159" s="1">
        <v>553.32000000000005</v>
      </c>
      <c r="K1159" s="1">
        <v>0.03</v>
      </c>
      <c r="L1159" s="1">
        <v>1073.44</v>
      </c>
      <c r="M1159" s="1" t="str">
        <f t="shared" si="36"/>
        <v>Online</v>
      </c>
      <c r="N1159" s="1">
        <f t="shared" si="37"/>
        <v>16.2</v>
      </c>
    </row>
    <row r="1160" spans="1:14" x14ac:dyDescent="0.3">
      <c r="A1160" s="1" t="s">
        <v>1072</v>
      </c>
      <c r="B1160" s="1" t="s">
        <v>1067</v>
      </c>
      <c r="C1160" s="1" t="s">
        <v>14</v>
      </c>
      <c r="D1160" s="1" t="s">
        <v>15</v>
      </c>
      <c r="E1160" s="1" t="s">
        <v>16</v>
      </c>
      <c r="F1160" s="1" t="s">
        <v>29</v>
      </c>
      <c r="G1160" s="1" t="s">
        <v>51</v>
      </c>
      <c r="H1160" s="1" t="s">
        <v>40</v>
      </c>
      <c r="I1160" s="1">
        <v>8</v>
      </c>
      <c r="J1160" s="1">
        <v>41.31</v>
      </c>
      <c r="K1160" s="1">
        <v>0.1</v>
      </c>
      <c r="L1160" s="1">
        <v>297.43</v>
      </c>
      <c r="M1160" s="1" t="str">
        <f t="shared" si="36"/>
        <v>Online</v>
      </c>
      <c r="N1160" s="1">
        <f t="shared" si="37"/>
        <v>16.2</v>
      </c>
    </row>
    <row r="1161" spans="1:14" x14ac:dyDescent="0.3">
      <c r="A1161" s="1" t="s">
        <v>1073</v>
      </c>
      <c r="B1161" s="1" t="s">
        <v>1067</v>
      </c>
      <c r="C1161" s="1" t="s">
        <v>61</v>
      </c>
      <c r="D1161" s="1" t="s">
        <v>15</v>
      </c>
      <c r="E1161" s="1" t="s">
        <v>16</v>
      </c>
      <c r="F1161" s="1" t="s">
        <v>36</v>
      </c>
      <c r="G1161" s="1" t="s">
        <v>70</v>
      </c>
      <c r="H1161" s="1" t="s">
        <v>112</v>
      </c>
      <c r="I1161" s="1">
        <v>3</v>
      </c>
      <c r="J1161" s="1">
        <v>542.88</v>
      </c>
      <c r="K1161" s="1">
        <v>0.05</v>
      </c>
      <c r="L1161" s="1">
        <v>1547.21</v>
      </c>
      <c r="M1161" s="1" t="str">
        <f t="shared" si="36"/>
        <v>Online</v>
      </c>
      <c r="N1161" s="1">
        <f t="shared" si="37"/>
        <v>62.01</v>
      </c>
    </row>
    <row r="1162" spans="1:14" x14ac:dyDescent="0.3">
      <c r="A1162" s="1" t="s">
        <v>1074</v>
      </c>
      <c r="B1162" s="1" t="s">
        <v>1067</v>
      </c>
      <c r="C1162" s="1" t="s">
        <v>21</v>
      </c>
      <c r="D1162" s="1" t="s">
        <v>22</v>
      </c>
      <c r="E1162" s="1" t="s">
        <v>16</v>
      </c>
      <c r="F1162" s="1" t="s">
        <v>17</v>
      </c>
      <c r="G1162" s="1" t="s">
        <v>62</v>
      </c>
      <c r="H1162" s="1" t="s">
        <v>86</v>
      </c>
      <c r="I1162" s="1">
        <v>4</v>
      </c>
      <c r="J1162" s="1">
        <v>54</v>
      </c>
      <c r="K1162" s="1">
        <v>0.2</v>
      </c>
      <c r="L1162" s="1">
        <v>172.8</v>
      </c>
      <c r="M1162" s="1" t="str">
        <f t="shared" si="36"/>
        <v>Online</v>
      </c>
      <c r="N1162" s="1">
        <f t="shared" si="37"/>
        <v>405</v>
      </c>
    </row>
    <row r="1163" spans="1:14" x14ac:dyDescent="0.3">
      <c r="A1163" s="1" t="s">
        <v>1061</v>
      </c>
      <c r="B1163" s="1" t="s">
        <v>1062</v>
      </c>
      <c r="C1163" s="1" t="s">
        <v>61</v>
      </c>
      <c r="D1163" s="1" t="s">
        <v>27</v>
      </c>
      <c r="E1163" s="1" t="s">
        <v>28</v>
      </c>
      <c r="F1163" s="1" t="s">
        <v>29</v>
      </c>
      <c r="G1163" s="1" t="s">
        <v>33</v>
      </c>
      <c r="H1163" s="1" t="s">
        <v>63</v>
      </c>
      <c r="I1163" s="1">
        <v>2</v>
      </c>
      <c r="J1163" s="1">
        <v>13.5</v>
      </c>
      <c r="K1163" s="1">
        <v>0.2</v>
      </c>
      <c r="L1163" s="1">
        <v>21.6</v>
      </c>
      <c r="M1163" s="1" t="str">
        <f t="shared" si="36"/>
        <v>Retail Store</v>
      </c>
      <c r="N1163" s="1">
        <f t="shared" si="37"/>
        <v>62.01</v>
      </c>
    </row>
    <row r="1164" spans="1:14" x14ac:dyDescent="0.3">
      <c r="A1164" s="1" t="s">
        <v>1063</v>
      </c>
      <c r="B1164" s="1" t="s">
        <v>1062</v>
      </c>
      <c r="C1164" s="1" t="s">
        <v>54</v>
      </c>
      <c r="D1164" s="1" t="s">
        <v>27</v>
      </c>
      <c r="E1164" s="1" t="s">
        <v>16</v>
      </c>
      <c r="F1164" s="1" t="s">
        <v>82</v>
      </c>
      <c r="G1164" s="1" t="s">
        <v>114</v>
      </c>
      <c r="H1164" s="1" t="s">
        <v>56</v>
      </c>
      <c r="I1164" s="1">
        <v>3</v>
      </c>
      <c r="J1164" s="1">
        <v>2295</v>
      </c>
      <c r="K1164" s="1">
        <v>0.15</v>
      </c>
      <c r="L1164" s="1">
        <v>5852.25</v>
      </c>
      <c r="M1164" s="1" t="str">
        <f t="shared" si="36"/>
        <v>Online</v>
      </c>
      <c r="N1164" s="1">
        <f t="shared" si="37"/>
        <v>267.12</v>
      </c>
    </row>
    <row r="1165" spans="1:14" x14ac:dyDescent="0.3">
      <c r="A1165" s="1" t="s">
        <v>1064</v>
      </c>
      <c r="B1165" s="1" t="s">
        <v>1062</v>
      </c>
      <c r="C1165" s="1" t="s">
        <v>47</v>
      </c>
      <c r="D1165" s="1" t="s">
        <v>22</v>
      </c>
      <c r="E1165" s="1" t="s">
        <v>16</v>
      </c>
      <c r="F1165" s="1" t="s">
        <v>36</v>
      </c>
      <c r="G1165" s="1" t="s">
        <v>77</v>
      </c>
      <c r="H1165" s="1" t="s">
        <v>78</v>
      </c>
      <c r="I1165" s="1">
        <v>2</v>
      </c>
      <c r="J1165" s="1">
        <v>1404</v>
      </c>
      <c r="K1165" s="1">
        <v>0.08</v>
      </c>
      <c r="L1165" s="1">
        <v>2583.36</v>
      </c>
      <c r="M1165" s="1" t="str">
        <f t="shared" si="36"/>
        <v>Retail Store</v>
      </c>
      <c r="N1165" s="1">
        <f t="shared" si="37"/>
        <v>421.2</v>
      </c>
    </row>
    <row r="1166" spans="1:14" x14ac:dyDescent="0.3">
      <c r="A1166" s="1" t="s">
        <v>1065</v>
      </c>
      <c r="B1166" s="1" t="s">
        <v>1062</v>
      </c>
      <c r="C1166" s="1" t="s">
        <v>47</v>
      </c>
      <c r="D1166" s="1" t="s">
        <v>22</v>
      </c>
      <c r="E1166" s="1" t="s">
        <v>16</v>
      </c>
      <c r="F1166" s="1" t="s">
        <v>82</v>
      </c>
      <c r="G1166" s="1" t="s">
        <v>85</v>
      </c>
      <c r="H1166" s="1" t="s">
        <v>49</v>
      </c>
      <c r="I1166" s="1">
        <v>3</v>
      </c>
      <c r="J1166" s="1">
        <v>1571.4</v>
      </c>
      <c r="K1166" s="1">
        <v>0.2</v>
      </c>
      <c r="L1166" s="1">
        <v>3771.36</v>
      </c>
      <c r="M1166" s="1" t="str">
        <f t="shared" si="36"/>
        <v>Retail Store</v>
      </c>
      <c r="N1166" s="1">
        <f t="shared" si="37"/>
        <v>421.2</v>
      </c>
    </row>
    <row r="1167" spans="1:14" x14ac:dyDescent="0.3">
      <c r="A1167" s="1" t="s">
        <v>1056</v>
      </c>
      <c r="B1167" s="1" t="s">
        <v>1057</v>
      </c>
      <c r="C1167" s="1" t="s">
        <v>14</v>
      </c>
      <c r="D1167" s="1" t="s">
        <v>15</v>
      </c>
      <c r="E1167" s="1" t="s">
        <v>16</v>
      </c>
      <c r="F1167" s="1" t="s">
        <v>36</v>
      </c>
      <c r="G1167" s="1" t="s">
        <v>37</v>
      </c>
      <c r="H1167" s="1" t="s">
        <v>40</v>
      </c>
      <c r="I1167" s="1">
        <v>3</v>
      </c>
      <c r="J1167" s="1">
        <v>765</v>
      </c>
      <c r="K1167" s="1">
        <v>0.05</v>
      </c>
      <c r="L1167" s="1">
        <v>2180.25</v>
      </c>
      <c r="M1167" s="1" t="str">
        <f t="shared" si="36"/>
        <v>Online</v>
      </c>
      <c r="N1167" s="1">
        <f t="shared" si="37"/>
        <v>16.2</v>
      </c>
    </row>
    <row r="1168" spans="1:14" x14ac:dyDescent="0.3">
      <c r="A1168" s="1" t="s">
        <v>1058</v>
      </c>
      <c r="B1168" s="1" t="s">
        <v>1057</v>
      </c>
      <c r="C1168" s="1" t="s">
        <v>61</v>
      </c>
      <c r="D1168" s="1" t="s">
        <v>15</v>
      </c>
      <c r="E1168" s="1" t="s">
        <v>28</v>
      </c>
      <c r="F1168" s="1" t="s">
        <v>29</v>
      </c>
      <c r="G1168" s="1" t="s">
        <v>55</v>
      </c>
      <c r="H1168" s="1" t="s">
        <v>73</v>
      </c>
      <c r="I1168" s="1">
        <v>2</v>
      </c>
      <c r="J1168" s="1">
        <v>33.17</v>
      </c>
      <c r="K1168" s="1">
        <v>0.1</v>
      </c>
      <c r="L1168" s="1">
        <v>59.71</v>
      </c>
      <c r="M1168" s="1" t="str">
        <f t="shared" si="36"/>
        <v>Online</v>
      </c>
      <c r="N1168" s="1">
        <f t="shared" si="37"/>
        <v>62.01</v>
      </c>
    </row>
    <row r="1169" spans="1:14" x14ac:dyDescent="0.3">
      <c r="A1169" s="1" t="s">
        <v>1059</v>
      </c>
      <c r="B1169" s="1" t="s">
        <v>1057</v>
      </c>
      <c r="C1169" s="1" t="s">
        <v>61</v>
      </c>
      <c r="D1169" s="1" t="s">
        <v>27</v>
      </c>
      <c r="E1169" s="1" t="s">
        <v>16</v>
      </c>
      <c r="F1169" s="1" t="s">
        <v>82</v>
      </c>
      <c r="G1169" s="1" t="s">
        <v>96</v>
      </c>
      <c r="H1169" s="1" t="s">
        <v>63</v>
      </c>
      <c r="I1169" s="1">
        <v>3</v>
      </c>
      <c r="J1169" s="1">
        <v>2565</v>
      </c>
      <c r="K1169" s="1">
        <v>0.15</v>
      </c>
      <c r="L1169" s="1">
        <v>6540.75</v>
      </c>
      <c r="M1169" s="1" t="str">
        <f t="shared" si="36"/>
        <v>Retail Store</v>
      </c>
      <c r="N1169" s="1">
        <f t="shared" si="37"/>
        <v>62.01</v>
      </c>
    </row>
    <row r="1170" spans="1:14" x14ac:dyDescent="0.3">
      <c r="A1170" s="1" t="s">
        <v>1060</v>
      </c>
      <c r="B1170" s="1" t="s">
        <v>1057</v>
      </c>
      <c r="C1170" s="1" t="s">
        <v>61</v>
      </c>
      <c r="D1170" s="1" t="s">
        <v>15</v>
      </c>
      <c r="E1170" s="1" t="s">
        <v>16</v>
      </c>
      <c r="F1170" s="1" t="s">
        <v>29</v>
      </c>
      <c r="G1170" s="1" t="s">
        <v>51</v>
      </c>
      <c r="H1170" s="1" t="s">
        <v>112</v>
      </c>
      <c r="I1170" s="1">
        <v>3</v>
      </c>
      <c r="J1170" s="1">
        <v>39.29</v>
      </c>
      <c r="K1170" s="1">
        <v>0.05</v>
      </c>
      <c r="L1170" s="1">
        <v>111.96</v>
      </c>
      <c r="M1170" s="1" t="str">
        <f t="shared" si="36"/>
        <v>Online</v>
      </c>
      <c r="N1170" s="1">
        <f t="shared" si="37"/>
        <v>62.01</v>
      </c>
    </row>
    <row r="1171" spans="1:14" x14ac:dyDescent="0.3">
      <c r="A1171" s="1" t="s">
        <v>1048</v>
      </c>
      <c r="B1171" s="1" t="s">
        <v>1049</v>
      </c>
      <c r="C1171" s="1" t="s">
        <v>61</v>
      </c>
      <c r="D1171" s="1" t="s">
        <v>27</v>
      </c>
      <c r="E1171" s="1" t="s">
        <v>16</v>
      </c>
      <c r="F1171" s="1" t="s">
        <v>29</v>
      </c>
      <c r="G1171" s="1" t="s">
        <v>30</v>
      </c>
      <c r="H1171" s="1" t="s">
        <v>112</v>
      </c>
      <c r="I1171" s="1">
        <v>8</v>
      </c>
      <c r="J1171" s="1">
        <v>49.5</v>
      </c>
      <c r="K1171" s="1">
        <v>0.03</v>
      </c>
      <c r="L1171" s="1">
        <v>384.12</v>
      </c>
      <c r="M1171" s="1" t="str">
        <f t="shared" si="36"/>
        <v>Online</v>
      </c>
      <c r="N1171" s="1">
        <f t="shared" si="37"/>
        <v>62.01</v>
      </c>
    </row>
    <row r="1172" spans="1:14" x14ac:dyDescent="0.3">
      <c r="A1172" s="1" t="s">
        <v>1050</v>
      </c>
      <c r="B1172" s="1" t="s">
        <v>1049</v>
      </c>
      <c r="C1172" s="1" t="s">
        <v>61</v>
      </c>
      <c r="D1172" s="1" t="s">
        <v>27</v>
      </c>
      <c r="E1172" s="1" t="s">
        <v>16</v>
      </c>
      <c r="F1172" s="1" t="s">
        <v>17</v>
      </c>
      <c r="G1172" s="1" t="s">
        <v>18</v>
      </c>
      <c r="H1172" s="1" t="s">
        <v>112</v>
      </c>
      <c r="I1172" s="1">
        <v>2</v>
      </c>
      <c r="J1172" s="1">
        <v>76.95</v>
      </c>
      <c r="K1172" s="1">
        <v>0</v>
      </c>
      <c r="L1172" s="1">
        <v>153.9</v>
      </c>
      <c r="M1172" s="1" t="str">
        <f t="shared" si="36"/>
        <v>Online</v>
      </c>
      <c r="N1172" s="1">
        <f t="shared" si="37"/>
        <v>62.01</v>
      </c>
    </row>
    <row r="1173" spans="1:14" x14ac:dyDescent="0.3">
      <c r="A1173" s="1" t="s">
        <v>1051</v>
      </c>
      <c r="B1173" s="1" t="s">
        <v>1049</v>
      </c>
      <c r="C1173" s="1" t="s">
        <v>54</v>
      </c>
      <c r="D1173" s="1" t="s">
        <v>27</v>
      </c>
      <c r="E1173" s="1" t="s">
        <v>16</v>
      </c>
      <c r="F1173" s="1" t="s">
        <v>29</v>
      </c>
      <c r="G1173" s="1" t="s">
        <v>51</v>
      </c>
      <c r="H1173" s="1" t="s">
        <v>56</v>
      </c>
      <c r="I1173" s="1">
        <v>5</v>
      </c>
      <c r="J1173" s="1">
        <v>40.5</v>
      </c>
      <c r="K1173" s="1">
        <v>0.15</v>
      </c>
      <c r="L1173" s="1">
        <v>172.13</v>
      </c>
      <c r="M1173" s="1" t="str">
        <f t="shared" si="36"/>
        <v>Online</v>
      </c>
      <c r="N1173" s="1">
        <f t="shared" si="37"/>
        <v>267.12</v>
      </c>
    </row>
    <row r="1174" spans="1:14" x14ac:dyDescent="0.3">
      <c r="A1174" s="1" t="s">
        <v>1052</v>
      </c>
      <c r="B1174" s="1" t="s">
        <v>1049</v>
      </c>
      <c r="C1174" s="1" t="s">
        <v>61</v>
      </c>
      <c r="D1174" s="1" t="s">
        <v>15</v>
      </c>
      <c r="E1174" s="1" t="s">
        <v>16</v>
      </c>
      <c r="F1174" s="1" t="s">
        <v>17</v>
      </c>
      <c r="G1174" s="1" t="s">
        <v>18</v>
      </c>
      <c r="H1174" s="1" t="s">
        <v>63</v>
      </c>
      <c r="I1174" s="1">
        <v>4</v>
      </c>
      <c r="J1174" s="1">
        <v>84.24</v>
      </c>
      <c r="K1174" s="1">
        <v>0</v>
      </c>
      <c r="L1174" s="1">
        <v>336.96</v>
      </c>
      <c r="M1174" s="1" t="str">
        <f t="shared" si="36"/>
        <v>Retail Store</v>
      </c>
      <c r="N1174" s="1">
        <f t="shared" si="37"/>
        <v>62.01</v>
      </c>
    </row>
    <row r="1175" spans="1:14" x14ac:dyDescent="0.3">
      <c r="A1175" s="1" t="s">
        <v>1053</v>
      </c>
      <c r="B1175" s="1" t="s">
        <v>1049</v>
      </c>
      <c r="C1175" s="1" t="s">
        <v>54</v>
      </c>
      <c r="D1175" s="1" t="s">
        <v>22</v>
      </c>
      <c r="E1175" s="1" t="s">
        <v>28</v>
      </c>
      <c r="F1175" s="1" t="s">
        <v>23</v>
      </c>
      <c r="G1175" s="1" t="s">
        <v>103</v>
      </c>
      <c r="H1175" s="1" t="s">
        <v>71</v>
      </c>
      <c r="I1175" s="1">
        <v>3</v>
      </c>
      <c r="J1175" s="1">
        <v>11.45</v>
      </c>
      <c r="K1175" s="1">
        <v>0.08</v>
      </c>
      <c r="L1175" s="1">
        <v>31.6</v>
      </c>
      <c r="M1175" s="1" t="str">
        <f t="shared" si="36"/>
        <v>Online</v>
      </c>
      <c r="N1175" s="1">
        <f t="shared" si="37"/>
        <v>267.12</v>
      </c>
    </row>
    <row r="1176" spans="1:14" x14ac:dyDescent="0.3">
      <c r="A1176" s="1" t="s">
        <v>1054</v>
      </c>
      <c r="B1176" s="1" t="s">
        <v>1049</v>
      </c>
      <c r="C1176" s="1" t="s">
        <v>14</v>
      </c>
      <c r="D1176" s="1" t="s">
        <v>15</v>
      </c>
      <c r="E1176" s="1" t="s">
        <v>16</v>
      </c>
      <c r="F1176" s="1" t="s">
        <v>29</v>
      </c>
      <c r="G1176" s="1" t="s">
        <v>30</v>
      </c>
      <c r="H1176" s="1" t="s">
        <v>19</v>
      </c>
      <c r="I1176" s="1">
        <v>3</v>
      </c>
      <c r="J1176" s="1">
        <v>47.03</v>
      </c>
      <c r="K1176" s="1">
        <v>0.05</v>
      </c>
      <c r="L1176" s="1">
        <v>134.02000000000001</v>
      </c>
      <c r="M1176" s="1" t="str">
        <f t="shared" si="36"/>
        <v>Retail Store</v>
      </c>
      <c r="N1176" s="1">
        <f t="shared" si="37"/>
        <v>16.2</v>
      </c>
    </row>
    <row r="1177" spans="1:14" x14ac:dyDescent="0.3">
      <c r="A1177" s="1" t="s">
        <v>1055</v>
      </c>
      <c r="B1177" s="1" t="s">
        <v>1049</v>
      </c>
      <c r="C1177" s="1" t="s">
        <v>14</v>
      </c>
      <c r="D1177" s="1" t="s">
        <v>22</v>
      </c>
      <c r="E1177" s="1" t="s">
        <v>16</v>
      </c>
      <c r="F1177" s="1" t="s">
        <v>17</v>
      </c>
      <c r="G1177" s="1" t="s">
        <v>18</v>
      </c>
      <c r="H1177" s="1" t="s">
        <v>19</v>
      </c>
      <c r="I1177" s="1">
        <v>2</v>
      </c>
      <c r="J1177" s="1">
        <v>85.86</v>
      </c>
      <c r="K1177" s="1">
        <v>0.15</v>
      </c>
      <c r="L1177" s="1">
        <v>145.96</v>
      </c>
      <c r="M1177" s="1" t="str">
        <f t="shared" si="36"/>
        <v>Retail Store</v>
      </c>
      <c r="N1177" s="1">
        <f t="shared" si="37"/>
        <v>16.2</v>
      </c>
    </row>
    <row r="1178" spans="1:14" x14ac:dyDescent="0.3">
      <c r="A1178" s="1" t="s">
        <v>1041</v>
      </c>
      <c r="B1178" s="1" t="s">
        <v>1042</v>
      </c>
      <c r="C1178" s="1" t="s">
        <v>14</v>
      </c>
      <c r="D1178" s="1" t="s">
        <v>15</v>
      </c>
      <c r="E1178" s="1" t="s">
        <v>16</v>
      </c>
      <c r="F1178" s="1" t="s">
        <v>17</v>
      </c>
      <c r="G1178" s="1" t="s">
        <v>62</v>
      </c>
      <c r="H1178" s="1" t="s">
        <v>31</v>
      </c>
      <c r="I1178" s="1">
        <v>8</v>
      </c>
      <c r="J1178" s="1">
        <v>57.24</v>
      </c>
      <c r="K1178" s="1">
        <v>0.1</v>
      </c>
      <c r="L1178" s="1">
        <v>412.13</v>
      </c>
      <c r="M1178" s="1" t="str">
        <f t="shared" si="36"/>
        <v>Online</v>
      </c>
      <c r="N1178" s="1">
        <f t="shared" si="37"/>
        <v>16.2</v>
      </c>
    </row>
    <row r="1179" spans="1:14" x14ac:dyDescent="0.3">
      <c r="A1179" s="1" t="s">
        <v>1043</v>
      </c>
      <c r="B1179" s="1" t="s">
        <v>1042</v>
      </c>
      <c r="C1179" s="1" t="s">
        <v>47</v>
      </c>
      <c r="D1179" s="1" t="s">
        <v>35</v>
      </c>
      <c r="E1179" s="1" t="s">
        <v>16</v>
      </c>
      <c r="F1179" s="1" t="s">
        <v>36</v>
      </c>
      <c r="G1179" s="1" t="s">
        <v>77</v>
      </c>
      <c r="H1179" s="1" t="s">
        <v>78</v>
      </c>
      <c r="I1179" s="1">
        <v>2</v>
      </c>
      <c r="J1179" s="1">
        <v>1350</v>
      </c>
      <c r="K1179" s="1">
        <v>0</v>
      </c>
      <c r="L1179" s="1">
        <v>2700</v>
      </c>
      <c r="M1179" s="1" t="str">
        <f t="shared" si="36"/>
        <v>Retail Store</v>
      </c>
      <c r="N1179" s="1">
        <f t="shared" si="37"/>
        <v>421.2</v>
      </c>
    </row>
    <row r="1180" spans="1:14" x14ac:dyDescent="0.3">
      <c r="A1180" s="1" t="s">
        <v>1044</v>
      </c>
      <c r="B1180" s="1" t="s">
        <v>1042</v>
      </c>
      <c r="C1180" s="1" t="s">
        <v>54</v>
      </c>
      <c r="D1180" s="1" t="s">
        <v>27</v>
      </c>
      <c r="E1180" s="1" t="s">
        <v>16</v>
      </c>
      <c r="F1180" s="1" t="s">
        <v>23</v>
      </c>
      <c r="G1180" s="1" t="s">
        <v>178</v>
      </c>
      <c r="H1180" s="1" t="s">
        <v>71</v>
      </c>
      <c r="I1180" s="1">
        <v>2</v>
      </c>
      <c r="J1180" s="1">
        <v>31.5</v>
      </c>
      <c r="K1180" s="1">
        <v>0.1</v>
      </c>
      <c r="L1180" s="1">
        <v>56.7</v>
      </c>
      <c r="M1180" s="1" t="str">
        <f t="shared" si="36"/>
        <v>Online</v>
      </c>
      <c r="N1180" s="1">
        <f t="shared" si="37"/>
        <v>267.12</v>
      </c>
    </row>
    <row r="1181" spans="1:14" x14ac:dyDescent="0.3">
      <c r="A1181" s="1" t="s">
        <v>1045</v>
      </c>
      <c r="B1181" s="1" t="s">
        <v>1042</v>
      </c>
      <c r="C1181" s="1" t="s">
        <v>54</v>
      </c>
      <c r="D1181" s="1" t="s">
        <v>15</v>
      </c>
      <c r="E1181" s="1" t="s">
        <v>16</v>
      </c>
      <c r="F1181" s="1" t="s">
        <v>17</v>
      </c>
      <c r="G1181" s="1" t="s">
        <v>18</v>
      </c>
      <c r="H1181" s="1" t="s">
        <v>80</v>
      </c>
      <c r="I1181" s="1">
        <v>7</v>
      </c>
      <c r="J1181" s="1">
        <v>81</v>
      </c>
      <c r="K1181" s="1">
        <v>0.03</v>
      </c>
      <c r="L1181" s="1">
        <v>549.99</v>
      </c>
      <c r="M1181" s="1" t="str">
        <f t="shared" si="36"/>
        <v>Marketplace</v>
      </c>
      <c r="N1181" s="1">
        <f t="shared" si="37"/>
        <v>267.12</v>
      </c>
    </row>
    <row r="1182" spans="1:14" x14ac:dyDescent="0.3">
      <c r="A1182" s="1" t="s">
        <v>1046</v>
      </c>
      <c r="B1182" s="1" t="s">
        <v>1042</v>
      </c>
      <c r="C1182" s="1" t="s">
        <v>61</v>
      </c>
      <c r="D1182" s="1" t="s">
        <v>27</v>
      </c>
      <c r="E1182" s="1" t="s">
        <v>28</v>
      </c>
      <c r="F1182" s="1" t="s">
        <v>23</v>
      </c>
      <c r="G1182" s="1" t="s">
        <v>24</v>
      </c>
      <c r="H1182" s="1" t="s">
        <v>73</v>
      </c>
      <c r="I1182" s="1">
        <v>5</v>
      </c>
      <c r="J1182" s="1">
        <v>22.95</v>
      </c>
      <c r="K1182" s="1">
        <v>0.2</v>
      </c>
      <c r="L1182" s="1">
        <v>91.8</v>
      </c>
      <c r="M1182" s="1" t="str">
        <f t="shared" si="36"/>
        <v>Online</v>
      </c>
      <c r="N1182" s="1">
        <f t="shared" si="37"/>
        <v>62.01</v>
      </c>
    </row>
    <row r="1183" spans="1:14" x14ac:dyDescent="0.3">
      <c r="A1183" s="1" t="s">
        <v>1047</v>
      </c>
      <c r="B1183" s="1" t="s">
        <v>1042</v>
      </c>
      <c r="C1183" s="1" t="s">
        <v>61</v>
      </c>
      <c r="D1183" s="1" t="s">
        <v>15</v>
      </c>
      <c r="E1183" s="1" t="s">
        <v>16</v>
      </c>
      <c r="F1183" s="1" t="s">
        <v>23</v>
      </c>
      <c r="G1183" s="1" t="s">
        <v>142</v>
      </c>
      <c r="H1183" s="1" t="s">
        <v>73</v>
      </c>
      <c r="I1183" s="1">
        <v>6</v>
      </c>
      <c r="J1183" s="1">
        <v>16.2</v>
      </c>
      <c r="K1183" s="1">
        <v>0.15</v>
      </c>
      <c r="L1183" s="1">
        <v>82.62</v>
      </c>
      <c r="M1183" s="1" t="str">
        <f t="shared" si="36"/>
        <v>Online</v>
      </c>
      <c r="N1183" s="1">
        <f t="shared" si="37"/>
        <v>62.01</v>
      </c>
    </row>
    <row r="1184" spans="1:14" x14ac:dyDescent="0.3">
      <c r="A1184" s="1" t="s">
        <v>1032</v>
      </c>
      <c r="B1184" s="1" t="s">
        <v>1033</v>
      </c>
      <c r="C1184" s="1" t="s">
        <v>61</v>
      </c>
      <c r="D1184" s="1" t="s">
        <v>27</v>
      </c>
      <c r="E1184" s="1" t="s">
        <v>28</v>
      </c>
      <c r="F1184" s="1" t="s">
        <v>23</v>
      </c>
      <c r="G1184" s="1" t="s">
        <v>178</v>
      </c>
      <c r="H1184" s="1" t="s">
        <v>63</v>
      </c>
      <c r="I1184" s="1">
        <v>5</v>
      </c>
      <c r="J1184" s="1">
        <v>29.93</v>
      </c>
      <c r="K1184" s="1">
        <v>0.03</v>
      </c>
      <c r="L1184" s="1">
        <v>145.13999999999999</v>
      </c>
      <c r="M1184" s="1" t="str">
        <f t="shared" si="36"/>
        <v>Retail Store</v>
      </c>
      <c r="N1184" s="1">
        <f t="shared" si="37"/>
        <v>62.01</v>
      </c>
    </row>
    <row r="1185" spans="1:14" x14ac:dyDescent="0.3">
      <c r="A1185" s="1" t="s">
        <v>1034</v>
      </c>
      <c r="B1185" s="1" t="s">
        <v>1033</v>
      </c>
      <c r="C1185" s="1" t="s">
        <v>14</v>
      </c>
      <c r="D1185" s="1" t="s">
        <v>27</v>
      </c>
      <c r="E1185" s="1" t="s">
        <v>28</v>
      </c>
      <c r="F1185" s="1" t="s">
        <v>17</v>
      </c>
      <c r="G1185" s="1" t="s">
        <v>98</v>
      </c>
      <c r="H1185" s="1" t="s">
        <v>40</v>
      </c>
      <c r="I1185" s="1">
        <v>4</v>
      </c>
      <c r="J1185" s="1">
        <v>405</v>
      </c>
      <c r="K1185" s="1">
        <v>0.1</v>
      </c>
      <c r="L1185" s="1">
        <v>1458</v>
      </c>
      <c r="M1185" s="1" t="str">
        <f t="shared" si="36"/>
        <v>Online</v>
      </c>
      <c r="N1185" s="1">
        <f t="shared" si="37"/>
        <v>16.2</v>
      </c>
    </row>
    <row r="1186" spans="1:14" x14ac:dyDescent="0.3">
      <c r="A1186" s="1" t="s">
        <v>1035</v>
      </c>
      <c r="B1186" s="1" t="s">
        <v>1033</v>
      </c>
      <c r="C1186" s="1" t="s">
        <v>21</v>
      </c>
      <c r="D1186" s="1" t="s">
        <v>35</v>
      </c>
      <c r="E1186" s="1" t="s">
        <v>16</v>
      </c>
      <c r="F1186" s="1" t="s">
        <v>82</v>
      </c>
      <c r="G1186" s="1" t="s">
        <v>150</v>
      </c>
      <c r="H1186" s="1" t="s">
        <v>25</v>
      </c>
      <c r="I1186" s="1">
        <v>2</v>
      </c>
      <c r="J1186" s="1">
        <v>3052.8</v>
      </c>
      <c r="K1186" s="1">
        <v>0.2</v>
      </c>
      <c r="L1186" s="1">
        <v>4884.4799999999996</v>
      </c>
      <c r="M1186" s="1" t="str">
        <f t="shared" si="36"/>
        <v>Marketplace</v>
      </c>
      <c r="N1186" s="1">
        <f t="shared" si="37"/>
        <v>405</v>
      </c>
    </row>
    <row r="1187" spans="1:14" x14ac:dyDescent="0.3">
      <c r="A1187" s="1" t="s">
        <v>1036</v>
      </c>
      <c r="B1187" s="1" t="s">
        <v>1033</v>
      </c>
      <c r="C1187" s="1" t="s">
        <v>47</v>
      </c>
      <c r="D1187" s="1" t="s">
        <v>27</v>
      </c>
      <c r="E1187" s="1" t="s">
        <v>16</v>
      </c>
      <c r="F1187" s="1" t="s">
        <v>82</v>
      </c>
      <c r="G1187" s="1" t="s">
        <v>96</v>
      </c>
      <c r="H1187" s="1" t="s">
        <v>49</v>
      </c>
      <c r="I1187" s="1">
        <v>2</v>
      </c>
      <c r="J1187" s="1">
        <v>2808</v>
      </c>
      <c r="K1187" s="1">
        <v>0.03</v>
      </c>
      <c r="L1187" s="1">
        <v>5447.52</v>
      </c>
      <c r="M1187" s="1" t="str">
        <f t="shared" si="36"/>
        <v>Retail Store</v>
      </c>
      <c r="N1187" s="1">
        <f t="shared" si="37"/>
        <v>421.2</v>
      </c>
    </row>
    <row r="1188" spans="1:14" x14ac:dyDescent="0.3">
      <c r="A1188" s="1" t="s">
        <v>1037</v>
      </c>
      <c r="B1188" s="1" t="s">
        <v>1033</v>
      </c>
      <c r="C1188" s="1" t="s">
        <v>21</v>
      </c>
      <c r="D1188" s="1" t="s">
        <v>27</v>
      </c>
      <c r="E1188" s="1" t="s">
        <v>16</v>
      </c>
      <c r="F1188" s="1" t="s">
        <v>42</v>
      </c>
      <c r="G1188" s="1" t="s">
        <v>48</v>
      </c>
      <c r="H1188" s="1" t="s">
        <v>25</v>
      </c>
      <c r="I1188" s="1">
        <v>2</v>
      </c>
      <c r="J1188" s="1">
        <v>19.079999999999998</v>
      </c>
      <c r="K1188" s="1">
        <v>0.08</v>
      </c>
      <c r="L1188" s="1">
        <v>35.11</v>
      </c>
      <c r="M1188" s="1" t="str">
        <f t="shared" si="36"/>
        <v>Marketplace</v>
      </c>
      <c r="N1188" s="1">
        <f t="shared" si="37"/>
        <v>405</v>
      </c>
    </row>
    <row r="1189" spans="1:14" x14ac:dyDescent="0.3">
      <c r="A1189" s="1" t="s">
        <v>1038</v>
      </c>
      <c r="B1189" s="1" t="s">
        <v>1033</v>
      </c>
      <c r="C1189" s="1" t="s">
        <v>61</v>
      </c>
      <c r="D1189" s="1" t="s">
        <v>15</v>
      </c>
      <c r="E1189" s="1" t="s">
        <v>16</v>
      </c>
      <c r="F1189" s="1" t="s">
        <v>17</v>
      </c>
      <c r="G1189" s="1" t="s">
        <v>98</v>
      </c>
      <c r="H1189" s="1" t="s">
        <v>73</v>
      </c>
      <c r="I1189" s="1">
        <v>3</v>
      </c>
      <c r="J1189" s="1">
        <v>384.75</v>
      </c>
      <c r="K1189" s="1">
        <v>0.08</v>
      </c>
      <c r="L1189" s="1">
        <v>1061.9100000000001</v>
      </c>
      <c r="M1189" s="1" t="str">
        <f t="shared" si="36"/>
        <v>Online</v>
      </c>
      <c r="N1189" s="1">
        <f t="shared" si="37"/>
        <v>62.01</v>
      </c>
    </row>
    <row r="1190" spans="1:14" x14ac:dyDescent="0.3">
      <c r="A1190" s="1" t="s">
        <v>1039</v>
      </c>
      <c r="B1190" s="1" t="s">
        <v>1033</v>
      </c>
      <c r="C1190" s="1" t="s">
        <v>14</v>
      </c>
      <c r="D1190" s="1" t="s">
        <v>35</v>
      </c>
      <c r="E1190" s="1" t="s">
        <v>16</v>
      </c>
      <c r="F1190" s="1" t="s">
        <v>36</v>
      </c>
      <c r="G1190" s="1" t="s">
        <v>70</v>
      </c>
      <c r="H1190" s="1" t="s">
        <v>31</v>
      </c>
      <c r="I1190" s="1">
        <v>4</v>
      </c>
      <c r="J1190" s="1">
        <v>495.9</v>
      </c>
      <c r="K1190" s="1">
        <v>0.05</v>
      </c>
      <c r="L1190" s="1">
        <v>1884.42</v>
      </c>
      <c r="M1190" s="1" t="str">
        <f t="shared" si="36"/>
        <v>Online</v>
      </c>
      <c r="N1190" s="1">
        <f t="shared" si="37"/>
        <v>16.2</v>
      </c>
    </row>
    <row r="1191" spans="1:14" x14ac:dyDescent="0.3">
      <c r="A1191" s="1" t="s">
        <v>1040</v>
      </c>
      <c r="B1191" s="1" t="s">
        <v>1033</v>
      </c>
      <c r="C1191" s="1" t="s">
        <v>54</v>
      </c>
      <c r="D1191" s="1" t="s">
        <v>27</v>
      </c>
      <c r="E1191" s="1" t="s">
        <v>16</v>
      </c>
      <c r="F1191" s="1" t="s">
        <v>36</v>
      </c>
      <c r="G1191" s="1" t="s">
        <v>70</v>
      </c>
      <c r="H1191" s="1" t="s">
        <v>71</v>
      </c>
      <c r="I1191" s="1">
        <v>2</v>
      </c>
      <c r="J1191" s="1">
        <v>522</v>
      </c>
      <c r="K1191" s="1">
        <v>0</v>
      </c>
      <c r="L1191" s="1">
        <v>1044</v>
      </c>
      <c r="M1191" s="1" t="str">
        <f t="shared" si="36"/>
        <v>Online</v>
      </c>
      <c r="N1191" s="1">
        <f t="shared" si="37"/>
        <v>267.12</v>
      </c>
    </row>
    <row r="1192" spans="1:14" x14ac:dyDescent="0.3">
      <c r="A1192" s="1" t="s">
        <v>1024</v>
      </c>
      <c r="B1192" s="1" t="s">
        <v>1025</v>
      </c>
      <c r="C1192" s="1" t="s">
        <v>61</v>
      </c>
      <c r="D1192" s="1" t="s">
        <v>27</v>
      </c>
      <c r="E1192" s="1" t="s">
        <v>28</v>
      </c>
      <c r="F1192" s="1" t="s">
        <v>82</v>
      </c>
      <c r="G1192" s="1" t="s">
        <v>96</v>
      </c>
      <c r="H1192" s="1" t="s">
        <v>73</v>
      </c>
      <c r="I1192" s="1">
        <v>3</v>
      </c>
      <c r="J1192" s="1">
        <v>2619</v>
      </c>
      <c r="K1192" s="1">
        <v>0.15</v>
      </c>
      <c r="L1192" s="1">
        <v>6678.45</v>
      </c>
      <c r="M1192" s="1" t="str">
        <f t="shared" si="36"/>
        <v>Online</v>
      </c>
      <c r="N1192" s="1">
        <f t="shared" si="37"/>
        <v>62.01</v>
      </c>
    </row>
    <row r="1193" spans="1:14" x14ac:dyDescent="0.3">
      <c r="A1193" s="1" t="s">
        <v>1026</v>
      </c>
      <c r="B1193" s="1" t="s">
        <v>1025</v>
      </c>
      <c r="C1193" s="1" t="s">
        <v>61</v>
      </c>
      <c r="D1193" s="1" t="s">
        <v>27</v>
      </c>
      <c r="E1193" s="1" t="s">
        <v>16</v>
      </c>
      <c r="F1193" s="1" t="s">
        <v>36</v>
      </c>
      <c r="G1193" s="1" t="s">
        <v>37</v>
      </c>
      <c r="H1193" s="1" t="s">
        <v>112</v>
      </c>
      <c r="I1193" s="1">
        <v>3</v>
      </c>
      <c r="J1193" s="1">
        <v>765</v>
      </c>
      <c r="K1193" s="1">
        <v>0.08</v>
      </c>
      <c r="L1193" s="1">
        <v>2111.4</v>
      </c>
      <c r="M1193" s="1" t="str">
        <f t="shared" si="36"/>
        <v>Online</v>
      </c>
      <c r="N1193" s="1">
        <f t="shared" si="37"/>
        <v>62.01</v>
      </c>
    </row>
    <row r="1194" spans="1:14" x14ac:dyDescent="0.3">
      <c r="A1194" s="1" t="s">
        <v>1027</v>
      </c>
      <c r="B1194" s="1" t="s">
        <v>1025</v>
      </c>
      <c r="C1194" s="1" t="s">
        <v>47</v>
      </c>
      <c r="D1194" s="1" t="s">
        <v>22</v>
      </c>
      <c r="E1194" s="1" t="s">
        <v>16</v>
      </c>
      <c r="F1194" s="1" t="s">
        <v>29</v>
      </c>
      <c r="G1194" s="1" t="s">
        <v>88</v>
      </c>
      <c r="H1194" s="1" t="s">
        <v>49</v>
      </c>
      <c r="I1194" s="1">
        <v>5</v>
      </c>
      <c r="J1194" s="1">
        <v>58.5</v>
      </c>
      <c r="K1194" s="1">
        <v>0.1</v>
      </c>
      <c r="L1194" s="1">
        <v>263.25</v>
      </c>
      <c r="M1194" s="1" t="str">
        <f t="shared" si="36"/>
        <v>Retail Store</v>
      </c>
      <c r="N1194" s="1">
        <f t="shared" si="37"/>
        <v>421.2</v>
      </c>
    </row>
    <row r="1195" spans="1:14" x14ac:dyDescent="0.3">
      <c r="A1195" s="1" t="s">
        <v>1028</v>
      </c>
      <c r="B1195" s="1" t="s">
        <v>1025</v>
      </c>
      <c r="C1195" s="1" t="s">
        <v>21</v>
      </c>
      <c r="D1195" s="1" t="s">
        <v>35</v>
      </c>
      <c r="E1195" s="1" t="s">
        <v>16</v>
      </c>
      <c r="F1195" s="1" t="s">
        <v>42</v>
      </c>
      <c r="G1195" s="1" t="s">
        <v>67</v>
      </c>
      <c r="H1195" s="1" t="s">
        <v>44</v>
      </c>
      <c r="I1195" s="1">
        <v>6</v>
      </c>
      <c r="J1195" s="1">
        <v>244.44</v>
      </c>
      <c r="K1195" s="1">
        <v>0.03</v>
      </c>
      <c r="L1195" s="1">
        <v>1422.64</v>
      </c>
      <c r="M1195" s="1" t="str">
        <f t="shared" si="36"/>
        <v>Retail Store</v>
      </c>
      <c r="N1195" s="1">
        <f t="shared" si="37"/>
        <v>405</v>
      </c>
    </row>
    <row r="1196" spans="1:14" x14ac:dyDescent="0.3">
      <c r="A1196" s="1" t="s">
        <v>1029</v>
      </c>
      <c r="B1196" s="1" t="s">
        <v>1025</v>
      </c>
      <c r="C1196" s="1" t="s">
        <v>61</v>
      </c>
      <c r="D1196" s="1" t="s">
        <v>15</v>
      </c>
      <c r="E1196" s="1" t="s">
        <v>16</v>
      </c>
      <c r="F1196" s="1" t="s">
        <v>42</v>
      </c>
      <c r="G1196" s="1" t="s">
        <v>67</v>
      </c>
      <c r="H1196" s="1" t="s">
        <v>63</v>
      </c>
      <c r="I1196" s="1">
        <v>3</v>
      </c>
      <c r="J1196" s="1">
        <v>252</v>
      </c>
      <c r="K1196" s="1">
        <v>0</v>
      </c>
      <c r="L1196" s="1">
        <v>756</v>
      </c>
      <c r="M1196" s="1" t="str">
        <f t="shared" si="36"/>
        <v>Retail Store</v>
      </c>
      <c r="N1196" s="1">
        <f t="shared" si="37"/>
        <v>62.01</v>
      </c>
    </row>
    <row r="1197" spans="1:14" x14ac:dyDescent="0.3">
      <c r="A1197" s="1" t="s">
        <v>1030</v>
      </c>
      <c r="B1197" s="1" t="s">
        <v>1025</v>
      </c>
      <c r="C1197" s="1" t="s">
        <v>61</v>
      </c>
      <c r="D1197" s="1" t="s">
        <v>27</v>
      </c>
      <c r="E1197" s="1" t="s">
        <v>16</v>
      </c>
      <c r="F1197" s="1" t="s">
        <v>82</v>
      </c>
      <c r="G1197" s="1" t="s">
        <v>150</v>
      </c>
      <c r="H1197" s="1" t="s">
        <v>63</v>
      </c>
      <c r="I1197" s="1">
        <v>2</v>
      </c>
      <c r="J1197" s="1">
        <v>2736</v>
      </c>
      <c r="K1197" s="1">
        <v>0.1</v>
      </c>
      <c r="L1197" s="1">
        <v>4924.8</v>
      </c>
      <c r="M1197" s="1" t="str">
        <f t="shared" si="36"/>
        <v>Retail Store</v>
      </c>
      <c r="N1197" s="1">
        <f t="shared" si="37"/>
        <v>62.01</v>
      </c>
    </row>
    <row r="1198" spans="1:14" x14ac:dyDescent="0.3">
      <c r="A1198" s="1" t="s">
        <v>1031</v>
      </c>
      <c r="B1198" s="1" t="s">
        <v>1025</v>
      </c>
      <c r="C1198" s="1" t="s">
        <v>54</v>
      </c>
      <c r="D1198" s="1" t="s">
        <v>22</v>
      </c>
      <c r="E1198" s="1" t="s">
        <v>28</v>
      </c>
      <c r="F1198" s="1" t="s">
        <v>17</v>
      </c>
      <c r="G1198" s="1" t="s">
        <v>18</v>
      </c>
      <c r="H1198" s="1" t="s">
        <v>80</v>
      </c>
      <c r="I1198" s="1">
        <v>2</v>
      </c>
      <c r="J1198" s="1">
        <v>78.569999999999993</v>
      </c>
      <c r="K1198" s="1">
        <v>0.05</v>
      </c>
      <c r="L1198" s="1">
        <v>149.28</v>
      </c>
      <c r="M1198" s="1" t="str">
        <f t="shared" si="36"/>
        <v>Marketplace</v>
      </c>
      <c r="N1198" s="1">
        <f t="shared" si="37"/>
        <v>267.12</v>
      </c>
    </row>
    <row r="1199" spans="1:14" x14ac:dyDescent="0.3">
      <c r="A1199" s="1" t="s">
        <v>1019</v>
      </c>
      <c r="B1199" s="1" t="s">
        <v>1020</v>
      </c>
      <c r="C1199" s="1" t="s">
        <v>54</v>
      </c>
      <c r="D1199" s="1" t="s">
        <v>22</v>
      </c>
      <c r="E1199" s="1" t="s">
        <v>28</v>
      </c>
      <c r="F1199" s="1" t="s">
        <v>36</v>
      </c>
      <c r="G1199" s="1" t="s">
        <v>70</v>
      </c>
      <c r="H1199" s="1" t="s">
        <v>56</v>
      </c>
      <c r="I1199" s="1">
        <v>3</v>
      </c>
      <c r="J1199" s="1">
        <v>542.88</v>
      </c>
      <c r="K1199" s="1">
        <v>0.08</v>
      </c>
      <c r="L1199" s="1">
        <v>1498.35</v>
      </c>
      <c r="M1199" s="1" t="str">
        <f t="shared" si="36"/>
        <v>Online</v>
      </c>
      <c r="N1199" s="1">
        <f t="shared" si="37"/>
        <v>267.12</v>
      </c>
    </row>
    <row r="1200" spans="1:14" x14ac:dyDescent="0.3">
      <c r="A1200" s="1" t="s">
        <v>1021</v>
      </c>
      <c r="B1200" s="1" t="s">
        <v>1020</v>
      </c>
      <c r="C1200" s="1" t="s">
        <v>54</v>
      </c>
      <c r="D1200" s="1" t="s">
        <v>22</v>
      </c>
      <c r="E1200" s="1" t="s">
        <v>16</v>
      </c>
      <c r="F1200" s="1" t="s">
        <v>29</v>
      </c>
      <c r="G1200" s="1" t="s">
        <v>39</v>
      </c>
      <c r="H1200" s="1" t="s">
        <v>80</v>
      </c>
      <c r="I1200" s="1">
        <v>6</v>
      </c>
      <c r="J1200" s="1">
        <v>76.319999999999993</v>
      </c>
      <c r="K1200" s="1">
        <v>0.05</v>
      </c>
      <c r="L1200" s="1">
        <v>435.02</v>
      </c>
      <c r="M1200" s="1" t="str">
        <f t="shared" si="36"/>
        <v>Marketplace</v>
      </c>
      <c r="N1200" s="1">
        <f t="shared" si="37"/>
        <v>267.12</v>
      </c>
    </row>
    <row r="1201" spans="1:14" x14ac:dyDescent="0.3">
      <c r="A1201" s="1" t="s">
        <v>1022</v>
      </c>
      <c r="B1201" s="1" t="s">
        <v>1020</v>
      </c>
      <c r="C1201" s="1" t="s">
        <v>61</v>
      </c>
      <c r="D1201" s="1" t="s">
        <v>15</v>
      </c>
      <c r="E1201" s="1" t="s">
        <v>16</v>
      </c>
      <c r="F1201" s="1" t="s">
        <v>82</v>
      </c>
      <c r="G1201" s="1" t="s">
        <v>85</v>
      </c>
      <c r="H1201" s="1" t="s">
        <v>112</v>
      </c>
      <c r="I1201" s="1">
        <v>2</v>
      </c>
      <c r="J1201" s="1">
        <v>1539</v>
      </c>
      <c r="K1201" s="1">
        <v>0.2</v>
      </c>
      <c r="L1201" s="1">
        <v>2462.4</v>
      </c>
      <c r="M1201" s="1" t="str">
        <f t="shared" si="36"/>
        <v>Online</v>
      </c>
      <c r="N1201" s="1">
        <f t="shared" si="37"/>
        <v>62.01</v>
      </c>
    </row>
    <row r="1202" spans="1:14" x14ac:dyDescent="0.3">
      <c r="A1202" s="1" t="s">
        <v>1023</v>
      </c>
      <c r="B1202" s="1" t="s">
        <v>1020</v>
      </c>
      <c r="C1202" s="1" t="s">
        <v>21</v>
      </c>
      <c r="D1202" s="1" t="s">
        <v>27</v>
      </c>
      <c r="E1202" s="1" t="s">
        <v>28</v>
      </c>
      <c r="F1202" s="1" t="s">
        <v>29</v>
      </c>
      <c r="G1202" s="1" t="s">
        <v>55</v>
      </c>
      <c r="H1202" s="1" t="s">
        <v>25</v>
      </c>
      <c r="I1202" s="1">
        <v>4</v>
      </c>
      <c r="J1202" s="1">
        <v>34.200000000000003</v>
      </c>
      <c r="K1202" s="1">
        <v>0.08</v>
      </c>
      <c r="L1202" s="1">
        <v>125.86</v>
      </c>
      <c r="M1202" s="1" t="str">
        <f t="shared" si="36"/>
        <v>Marketplace</v>
      </c>
      <c r="N1202" s="1">
        <f t="shared" si="37"/>
        <v>405</v>
      </c>
    </row>
    <row r="1203" spans="1:14" x14ac:dyDescent="0.3">
      <c r="A1203" s="1" t="s">
        <v>1012</v>
      </c>
      <c r="B1203" s="1" t="s">
        <v>1013</v>
      </c>
      <c r="C1203" s="1" t="s">
        <v>54</v>
      </c>
      <c r="D1203" s="1" t="s">
        <v>27</v>
      </c>
      <c r="E1203" s="1" t="s">
        <v>16</v>
      </c>
      <c r="F1203" s="1" t="s">
        <v>42</v>
      </c>
      <c r="G1203" s="1" t="s">
        <v>67</v>
      </c>
      <c r="H1203" s="1" t="s">
        <v>80</v>
      </c>
      <c r="I1203" s="1">
        <v>4</v>
      </c>
      <c r="J1203" s="1">
        <v>252</v>
      </c>
      <c r="K1203" s="1">
        <v>0.03</v>
      </c>
      <c r="L1203" s="1">
        <v>977.76</v>
      </c>
      <c r="M1203" s="1" t="str">
        <f t="shared" si="36"/>
        <v>Marketplace</v>
      </c>
      <c r="N1203" s="1">
        <f t="shared" si="37"/>
        <v>267.12</v>
      </c>
    </row>
    <row r="1204" spans="1:14" x14ac:dyDescent="0.3">
      <c r="A1204" s="1" t="s">
        <v>1014</v>
      </c>
      <c r="B1204" s="1" t="s">
        <v>1013</v>
      </c>
      <c r="C1204" s="1" t="s">
        <v>61</v>
      </c>
      <c r="D1204" s="1" t="s">
        <v>27</v>
      </c>
      <c r="E1204" s="1" t="s">
        <v>16</v>
      </c>
      <c r="F1204" s="1" t="s">
        <v>29</v>
      </c>
      <c r="G1204" s="1" t="s">
        <v>55</v>
      </c>
      <c r="H1204" s="1" t="s">
        <v>112</v>
      </c>
      <c r="I1204" s="1">
        <v>4</v>
      </c>
      <c r="J1204" s="1">
        <v>36.25</v>
      </c>
      <c r="K1204" s="1">
        <v>0.15</v>
      </c>
      <c r="L1204" s="1">
        <v>123.26</v>
      </c>
      <c r="M1204" s="1" t="str">
        <f t="shared" si="36"/>
        <v>Online</v>
      </c>
      <c r="N1204" s="1">
        <f t="shared" si="37"/>
        <v>62.01</v>
      </c>
    </row>
    <row r="1205" spans="1:14" x14ac:dyDescent="0.3">
      <c r="A1205" s="1" t="s">
        <v>1015</v>
      </c>
      <c r="B1205" s="1" t="s">
        <v>1013</v>
      </c>
      <c r="C1205" s="1" t="s">
        <v>14</v>
      </c>
      <c r="D1205" s="1" t="s">
        <v>15</v>
      </c>
      <c r="E1205" s="1" t="s">
        <v>28</v>
      </c>
      <c r="F1205" s="1" t="s">
        <v>17</v>
      </c>
      <c r="G1205" s="1" t="s">
        <v>98</v>
      </c>
      <c r="H1205" s="1" t="s">
        <v>40</v>
      </c>
      <c r="I1205" s="1">
        <v>3</v>
      </c>
      <c r="J1205" s="1">
        <v>405</v>
      </c>
      <c r="K1205" s="1">
        <v>0</v>
      </c>
      <c r="L1205" s="1">
        <v>1215</v>
      </c>
      <c r="M1205" s="1" t="str">
        <f t="shared" si="36"/>
        <v>Online</v>
      </c>
      <c r="N1205" s="1">
        <f t="shared" si="37"/>
        <v>16.2</v>
      </c>
    </row>
    <row r="1206" spans="1:14" x14ac:dyDescent="0.3">
      <c r="A1206" s="1" t="s">
        <v>1016</v>
      </c>
      <c r="B1206" s="1" t="s">
        <v>1013</v>
      </c>
      <c r="C1206" s="1" t="s">
        <v>14</v>
      </c>
      <c r="D1206" s="1" t="s">
        <v>15</v>
      </c>
      <c r="E1206" s="1" t="s">
        <v>28</v>
      </c>
      <c r="F1206" s="1" t="s">
        <v>29</v>
      </c>
      <c r="G1206" s="1" t="s">
        <v>55</v>
      </c>
      <c r="H1206" s="1" t="s">
        <v>19</v>
      </c>
      <c r="I1206" s="1">
        <v>2</v>
      </c>
      <c r="J1206" s="1">
        <v>34.200000000000003</v>
      </c>
      <c r="K1206" s="1">
        <v>0.05</v>
      </c>
      <c r="L1206" s="1">
        <v>64.98</v>
      </c>
      <c r="M1206" s="1" t="str">
        <f t="shared" si="36"/>
        <v>Retail Store</v>
      </c>
      <c r="N1206" s="1">
        <f t="shared" si="37"/>
        <v>16.2</v>
      </c>
    </row>
    <row r="1207" spans="1:14" x14ac:dyDescent="0.3">
      <c r="A1207" s="1" t="s">
        <v>1017</v>
      </c>
      <c r="B1207" s="1" t="s">
        <v>1013</v>
      </c>
      <c r="C1207" s="1" t="s">
        <v>47</v>
      </c>
      <c r="D1207" s="1" t="s">
        <v>15</v>
      </c>
      <c r="E1207" s="1" t="s">
        <v>16</v>
      </c>
      <c r="F1207" s="1" t="s">
        <v>36</v>
      </c>
      <c r="G1207" s="1" t="s">
        <v>119</v>
      </c>
      <c r="H1207" s="1" t="s">
        <v>78</v>
      </c>
      <c r="I1207" s="1">
        <v>2</v>
      </c>
      <c r="J1207" s="1">
        <v>598.5</v>
      </c>
      <c r="K1207" s="1">
        <v>0</v>
      </c>
      <c r="L1207" s="1">
        <v>1197</v>
      </c>
      <c r="M1207" s="1" t="str">
        <f t="shared" si="36"/>
        <v>Retail Store</v>
      </c>
      <c r="N1207" s="1">
        <f t="shared" si="37"/>
        <v>421.2</v>
      </c>
    </row>
    <row r="1208" spans="1:14" x14ac:dyDescent="0.3">
      <c r="A1208" s="1" t="s">
        <v>1018</v>
      </c>
      <c r="B1208" s="1" t="s">
        <v>1013</v>
      </c>
      <c r="C1208" s="1" t="s">
        <v>21</v>
      </c>
      <c r="D1208" s="1" t="s">
        <v>35</v>
      </c>
      <c r="E1208" s="1" t="s">
        <v>28</v>
      </c>
      <c r="F1208" s="1" t="s">
        <v>29</v>
      </c>
      <c r="G1208" s="1" t="s">
        <v>33</v>
      </c>
      <c r="H1208" s="1" t="s">
        <v>25</v>
      </c>
      <c r="I1208" s="1">
        <v>12</v>
      </c>
      <c r="J1208" s="1">
        <v>14.04</v>
      </c>
      <c r="K1208" s="1">
        <v>0.15</v>
      </c>
      <c r="L1208" s="1">
        <v>143.21</v>
      </c>
      <c r="M1208" s="1" t="str">
        <f t="shared" si="36"/>
        <v>Marketplace</v>
      </c>
      <c r="N1208" s="1">
        <f t="shared" si="37"/>
        <v>405</v>
      </c>
    </row>
    <row r="1209" spans="1:14" x14ac:dyDescent="0.3">
      <c r="A1209" s="1" t="s">
        <v>1007</v>
      </c>
      <c r="B1209" s="1" t="s">
        <v>1008</v>
      </c>
      <c r="C1209" s="1" t="s">
        <v>61</v>
      </c>
      <c r="D1209" s="1" t="s">
        <v>22</v>
      </c>
      <c r="E1209" s="1" t="s">
        <v>28</v>
      </c>
      <c r="F1209" s="1" t="s">
        <v>29</v>
      </c>
      <c r="G1209" s="1" t="s">
        <v>55</v>
      </c>
      <c r="H1209" s="1" t="s">
        <v>63</v>
      </c>
      <c r="I1209" s="1">
        <v>3</v>
      </c>
      <c r="J1209" s="1">
        <v>36.25</v>
      </c>
      <c r="K1209" s="1">
        <v>0.08</v>
      </c>
      <c r="L1209" s="1">
        <v>100.06</v>
      </c>
      <c r="M1209" s="1" t="str">
        <f t="shared" si="36"/>
        <v>Retail Store</v>
      </c>
      <c r="N1209" s="1">
        <f t="shared" si="37"/>
        <v>62.01</v>
      </c>
    </row>
    <row r="1210" spans="1:14" x14ac:dyDescent="0.3">
      <c r="A1210" s="1" t="s">
        <v>1009</v>
      </c>
      <c r="B1210" s="1" t="s">
        <v>1008</v>
      </c>
      <c r="C1210" s="1" t="s">
        <v>61</v>
      </c>
      <c r="D1210" s="1" t="s">
        <v>22</v>
      </c>
      <c r="E1210" s="1" t="s">
        <v>16</v>
      </c>
      <c r="F1210" s="1" t="s">
        <v>82</v>
      </c>
      <c r="G1210" s="1" t="s">
        <v>96</v>
      </c>
      <c r="H1210" s="1" t="s">
        <v>63</v>
      </c>
      <c r="I1210" s="1">
        <v>2</v>
      </c>
      <c r="J1210" s="1">
        <v>2862</v>
      </c>
      <c r="K1210" s="1">
        <v>0.15</v>
      </c>
      <c r="L1210" s="1">
        <v>4865.3999999999996</v>
      </c>
      <c r="M1210" s="1" t="str">
        <f t="shared" si="36"/>
        <v>Retail Store</v>
      </c>
      <c r="N1210" s="1">
        <f t="shared" si="37"/>
        <v>62.01</v>
      </c>
    </row>
    <row r="1211" spans="1:14" x14ac:dyDescent="0.3">
      <c r="A1211" s="1" t="s">
        <v>1010</v>
      </c>
      <c r="B1211" s="1" t="s">
        <v>1008</v>
      </c>
      <c r="C1211" s="1" t="s">
        <v>47</v>
      </c>
      <c r="D1211" s="1" t="s">
        <v>15</v>
      </c>
      <c r="E1211" s="1" t="s">
        <v>16</v>
      </c>
      <c r="F1211" s="1" t="s">
        <v>36</v>
      </c>
      <c r="G1211" s="1" t="s">
        <v>37</v>
      </c>
      <c r="H1211" s="1" t="s">
        <v>78</v>
      </c>
      <c r="I1211" s="1">
        <v>3</v>
      </c>
      <c r="J1211" s="1">
        <v>780.3</v>
      </c>
      <c r="K1211" s="1">
        <v>0.15</v>
      </c>
      <c r="L1211" s="1">
        <v>1989.77</v>
      </c>
      <c r="M1211" s="1" t="str">
        <f t="shared" si="36"/>
        <v>Retail Store</v>
      </c>
      <c r="N1211" s="1">
        <f t="shared" si="37"/>
        <v>421.2</v>
      </c>
    </row>
    <row r="1212" spans="1:14" x14ac:dyDescent="0.3">
      <c r="A1212" s="1" t="s">
        <v>1011</v>
      </c>
      <c r="B1212" s="1" t="s">
        <v>1008</v>
      </c>
      <c r="C1212" s="1" t="s">
        <v>61</v>
      </c>
      <c r="D1212" s="1" t="s">
        <v>27</v>
      </c>
      <c r="E1212" s="1" t="s">
        <v>28</v>
      </c>
      <c r="F1212" s="1" t="s">
        <v>36</v>
      </c>
      <c r="G1212" s="1" t="s">
        <v>77</v>
      </c>
      <c r="H1212" s="1" t="s">
        <v>63</v>
      </c>
      <c r="I1212" s="1">
        <v>2</v>
      </c>
      <c r="J1212" s="1">
        <v>1404</v>
      </c>
      <c r="K1212" s="1">
        <v>0.05</v>
      </c>
      <c r="L1212" s="1">
        <v>2667.6</v>
      </c>
      <c r="M1212" s="1" t="str">
        <f t="shared" si="36"/>
        <v>Retail Store</v>
      </c>
      <c r="N1212" s="1">
        <f t="shared" si="37"/>
        <v>62.01</v>
      </c>
    </row>
    <row r="1213" spans="1:14" x14ac:dyDescent="0.3">
      <c r="A1213" s="1" t="s">
        <v>1003</v>
      </c>
      <c r="B1213" s="1" t="s">
        <v>1004</v>
      </c>
      <c r="C1213" s="1" t="s">
        <v>14</v>
      </c>
      <c r="D1213" s="1" t="s">
        <v>27</v>
      </c>
      <c r="E1213" s="1" t="s">
        <v>16</v>
      </c>
      <c r="F1213" s="1" t="s">
        <v>29</v>
      </c>
      <c r="G1213" s="1" t="s">
        <v>33</v>
      </c>
      <c r="H1213" s="1" t="s">
        <v>31</v>
      </c>
      <c r="I1213" s="1">
        <v>6</v>
      </c>
      <c r="J1213" s="1">
        <v>13.5</v>
      </c>
      <c r="K1213" s="1">
        <v>0</v>
      </c>
      <c r="L1213" s="1">
        <v>81</v>
      </c>
      <c r="M1213" s="1" t="str">
        <f t="shared" si="36"/>
        <v>Online</v>
      </c>
      <c r="N1213" s="1">
        <f t="shared" si="37"/>
        <v>16.2</v>
      </c>
    </row>
    <row r="1214" spans="1:14" x14ac:dyDescent="0.3">
      <c r="A1214" s="1" t="s">
        <v>1005</v>
      </c>
      <c r="B1214" s="1" t="s">
        <v>1004</v>
      </c>
      <c r="C1214" s="1" t="s">
        <v>14</v>
      </c>
      <c r="D1214" s="1" t="s">
        <v>35</v>
      </c>
      <c r="E1214" s="1" t="s">
        <v>16</v>
      </c>
      <c r="F1214" s="1" t="s">
        <v>29</v>
      </c>
      <c r="G1214" s="1" t="s">
        <v>33</v>
      </c>
      <c r="H1214" s="1" t="s">
        <v>40</v>
      </c>
      <c r="I1214" s="1">
        <v>14</v>
      </c>
      <c r="J1214" s="1">
        <v>13.77</v>
      </c>
      <c r="K1214" s="1">
        <v>0.15</v>
      </c>
      <c r="L1214" s="1">
        <v>163.86</v>
      </c>
      <c r="M1214" s="1" t="str">
        <f t="shared" si="36"/>
        <v>Online</v>
      </c>
      <c r="N1214" s="1">
        <f t="shared" si="37"/>
        <v>16.2</v>
      </c>
    </row>
    <row r="1215" spans="1:14" x14ac:dyDescent="0.3">
      <c r="A1215" s="1" t="s">
        <v>1006</v>
      </c>
      <c r="B1215" s="1" t="s">
        <v>1004</v>
      </c>
      <c r="C1215" s="1" t="s">
        <v>61</v>
      </c>
      <c r="D1215" s="1" t="s">
        <v>22</v>
      </c>
      <c r="E1215" s="1" t="s">
        <v>28</v>
      </c>
      <c r="F1215" s="1" t="s">
        <v>29</v>
      </c>
      <c r="G1215" s="1" t="s">
        <v>55</v>
      </c>
      <c r="H1215" s="1" t="s">
        <v>63</v>
      </c>
      <c r="I1215" s="1">
        <v>3</v>
      </c>
      <c r="J1215" s="1">
        <v>36.25</v>
      </c>
      <c r="K1215" s="1">
        <v>0.2</v>
      </c>
      <c r="L1215" s="1">
        <v>87</v>
      </c>
      <c r="M1215" s="1" t="str">
        <f t="shared" si="36"/>
        <v>Retail Store</v>
      </c>
      <c r="N1215" s="1">
        <f t="shared" si="37"/>
        <v>62.01</v>
      </c>
    </row>
    <row r="1216" spans="1:14" x14ac:dyDescent="0.3">
      <c r="A1216" s="1" t="s">
        <v>998</v>
      </c>
      <c r="B1216" s="1" t="s">
        <v>999</v>
      </c>
      <c r="C1216" s="1" t="s">
        <v>14</v>
      </c>
      <c r="D1216" s="1" t="s">
        <v>27</v>
      </c>
      <c r="E1216" s="1" t="s">
        <v>16</v>
      </c>
      <c r="F1216" s="1" t="s">
        <v>29</v>
      </c>
      <c r="G1216" s="1" t="s">
        <v>55</v>
      </c>
      <c r="H1216" s="1" t="s">
        <v>40</v>
      </c>
      <c r="I1216" s="1">
        <v>4</v>
      </c>
      <c r="J1216" s="1">
        <v>33.17</v>
      </c>
      <c r="K1216" s="1">
        <v>0.1</v>
      </c>
      <c r="L1216" s="1">
        <v>119.43</v>
      </c>
      <c r="M1216" s="1" t="str">
        <f t="shared" si="36"/>
        <v>Online</v>
      </c>
      <c r="N1216" s="1">
        <f t="shared" si="37"/>
        <v>16.2</v>
      </c>
    </row>
    <row r="1217" spans="1:14" x14ac:dyDescent="0.3">
      <c r="A1217" s="1" t="s">
        <v>1000</v>
      </c>
      <c r="B1217" s="1" t="s">
        <v>999</v>
      </c>
      <c r="C1217" s="1" t="s">
        <v>54</v>
      </c>
      <c r="D1217" s="1" t="s">
        <v>15</v>
      </c>
      <c r="E1217" s="1" t="s">
        <v>16</v>
      </c>
      <c r="F1217" s="1" t="s">
        <v>29</v>
      </c>
      <c r="G1217" s="1" t="s">
        <v>33</v>
      </c>
      <c r="H1217" s="1" t="s">
        <v>56</v>
      </c>
      <c r="I1217" s="1">
        <v>2</v>
      </c>
      <c r="J1217" s="1">
        <v>13.5</v>
      </c>
      <c r="K1217" s="1">
        <v>0.15</v>
      </c>
      <c r="L1217" s="1">
        <v>22.95</v>
      </c>
      <c r="M1217" s="1" t="str">
        <f t="shared" si="36"/>
        <v>Online</v>
      </c>
      <c r="N1217" s="1">
        <f t="shared" si="37"/>
        <v>267.12</v>
      </c>
    </row>
    <row r="1218" spans="1:14" x14ac:dyDescent="0.3">
      <c r="A1218" s="1" t="s">
        <v>1001</v>
      </c>
      <c r="B1218" s="1" t="s">
        <v>999</v>
      </c>
      <c r="C1218" s="1" t="s">
        <v>61</v>
      </c>
      <c r="D1218" s="1" t="s">
        <v>27</v>
      </c>
      <c r="E1218" s="1" t="s">
        <v>16</v>
      </c>
      <c r="F1218" s="1" t="s">
        <v>42</v>
      </c>
      <c r="G1218" s="1" t="s">
        <v>48</v>
      </c>
      <c r="H1218" s="1" t="s">
        <v>73</v>
      </c>
      <c r="I1218" s="1">
        <v>3</v>
      </c>
      <c r="J1218" s="1">
        <v>17.100000000000001</v>
      </c>
      <c r="K1218" s="1">
        <v>0.15</v>
      </c>
      <c r="L1218" s="1">
        <v>43.61</v>
      </c>
      <c r="M1218" s="1" t="str">
        <f t="shared" ref="M1218:M1281" si="38">INDEX(D:D,MATCH(H1218,H:H,0))</f>
        <v>Online</v>
      </c>
      <c r="N1218" s="1">
        <f t="shared" ref="N1218:N1281" si="39">VLOOKUP(C:C,C:J,8,FALSE)</f>
        <v>62.01</v>
      </c>
    </row>
    <row r="1219" spans="1:14" x14ac:dyDescent="0.3">
      <c r="A1219" s="1" t="s">
        <v>1002</v>
      </c>
      <c r="B1219" s="1" t="s">
        <v>999</v>
      </c>
      <c r="C1219" s="1" t="s">
        <v>14</v>
      </c>
      <c r="D1219" s="1" t="s">
        <v>15</v>
      </c>
      <c r="E1219" s="1" t="s">
        <v>28</v>
      </c>
      <c r="F1219" s="1" t="s">
        <v>29</v>
      </c>
      <c r="G1219" s="1" t="s">
        <v>33</v>
      </c>
      <c r="H1219" s="1" t="s">
        <v>31</v>
      </c>
      <c r="I1219" s="1">
        <v>6</v>
      </c>
      <c r="J1219" s="1">
        <v>13.5</v>
      </c>
      <c r="K1219" s="1">
        <v>0.08</v>
      </c>
      <c r="L1219" s="1">
        <v>74.52</v>
      </c>
      <c r="M1219" s="1" t="str">
        <f t="shared" si="38"/>
        <v>Online</v>
      </c>
      <c r="N1219" s="1">
        <f t="shared" si="39"/>
        <v>16.2</v>
      </c>
    </row>
    <row r="1220" spans="1:14" x14ac:dyDescent="0.3">
      <c r="A1220" s="1" t="s">
        <v>993</v>
      </c>
      <c r="B1220" s="1" t="s">
        <v>994</v>
      </c>
      <c r="C1220" s="1" t="s">
        <v>47</v>
      </c>
      <c r="D1220" s="1" t="s">
        <v>35</v>
      </c>
      <c r="E1220" s="1" t="s">
        <v>28</v>
      </c>
      <c r="F1220" s="1" t="s">
        <v>23</v>
      </c>
      <c r="G1220" s="1" t="s">
        <v>178</v>
      </c>
      <c r="H1220" s="1" t="s">
        <v>49</v>
      </c>
      <c r="I1220" s="1">
        <v>4</v>
      </c>
      <c r="J1220" s="1">
        <v>31.5</v>
      </c>
      <c r="K1220" s="1">
        <v>0.08</v>
      </c>
      <c r="L1220" s="1">
        <v>115.92</v>
      </c>
      <c r="M1220" s="1" t="str">
        <f t="shared" si="38"/>
        <v>Retail Store</v>
      </c>
      <c r="N1220" s="1">
        <f t="shared" si="39"/>
        <v>421.2</v>
      </c>
    </row>
    <row r="1221" spans="1:14" x14ac:dyDescent="0.3">
      <c r="A1221" s="1" t="s">
        <v>995</v>
      </c>
      <c r="B1221" s="1" t="s">
        <v>994</v>
      </c>
      <c r="C1221" s="1" t="s">
        <v>47</v>
      </c>
      <c r="D1221" s="1" t="s">
        <v>27</v>
      </c>
      <c r="E1221" s="1" t="s">
        <v>16</v>
      </c>
      <c r="F1221" s="1" t="s">
        <v>82</v>
      </c>
      <c r="G1221" s="1" t="s">
        <v>85</v>
      </c>
      <c r="H1221" s="1" t="s">
        <v>78</v>
      </c>
      <c r="I1221" s="1">
        <v>2</v>
      </c>
      <c r="J1221" s="1">
        <v>1684.8</v>
      </c>
      <c r="K1221" s="1">
        <v>0.2</v>
      </c>
      <c r="L1221" s="1">
        <v>2695.68</v>
      </c>
      <c r="M1221" s="1" t="str">
        <f t="shared" si="38"/>
        <v>Retail Store</v>
      </c>
      <c r="N1221" s="1">
        <f t="shared" si="39"/>
        <v>421.2</v>
      </c>
    </row>
    <row r="1222" spans="1:14" x14ac:dyDescent="0.3">
      <c r="A1222" s="1" t="s">
        <v>996</v>
      </c>
      <c r="B1222" s="1" t="s">
        <v>994</v>
      </c>
      <c r="C1222" s="1" t="s">
        <v>47</v>
      </c>
      <c r="D1222" s="1" t="s">
        <v>15</v>
      </c>
      <c r="E1222" s="1" t="s">
        <v>28</v>
      </c>
      <c r="F1222" s="1" t="s">
        <v>36</v>
      </c>
      <c r="G1222" s="1" t="s">
        <v>77</v>
      </c>
      <c r="H1222" s="1" t="s">
        <v>78</v>
      </c>
      <c r="I1222" s="1">
        <v>2</v>
      </c>
      <c r="J1222" s="1">
        <v>1404</v>
      </c>
      <c r="K1222" s="1">
        <v>0.08</v>
      </c>
      <c r="L1222" s="1">
        <v>2583.36</v>
      </c>
      <c r="M1222" s="1" t="str">
        <f t="shared" si="38"/>
        <v>Retail Store</v>
      </c>
      <c r="N1222" s="1">
        <f t="shared" si="39"/>
        <v>421.2</v>
      </c>
    </row>
    <row r="1223" spans="1:14" x14ac:dyDescent="0.3">
      <c r="A1223" s="1" t="s">
        <v>997</v>
      </c>
      <c r="B1223" s="1" t="s">
        <v>994</v>
      </c>
      <c r="C1223" s="1" t="s">
        <v>54</v>
      </c>
      <c r="D1223" s="1" t="s">
        <v>22</v>
      </c>
      <c r="E1223" s="1" t="s">
        <v>28</v>
      </c>
      <c r="F1223" s="1" t="s">
        <v>29</v>
      </c>
      <c r="G1223" s="1" t="s">
        <v>55</v>
      </c>
      <c r="H1223" s="1" t="s">
        <v>71</v>
      </c>
      <c r="I1223" s="1">
        <v>5</v>
      </c>
      <c r="J1223" s="1">
        <v>32.49</v>
      </c>
      <c r="K1223" s="1">
        <v>0.1</v>
      </c>
      <c r="L1223" s="1">
        <v>146.21</v>
      </c>
      <c r="M1223" s="1" t="str">
        <f t="shared" si="38"/>
        <v>Online</v>
      </c>
      <c r="N1223" s="1">
        <f t="shared" si="39"/>
        <v>267.12</v>
      </c>
    </row>
    <row r="1224" spans="1:14" x14ac:dyDescent="0.3">
      <c r="A1224" s="1" t="s">
        <v>990</v>
      </c>
      <c r="B1224" s="1" t="s">
        <v>991</v>
      </c>
      <c r="C1224" s="1" t="s">
        <v>54</v>
      </c>
      <c r="D1224" s="1" t="s">
        <v>22</v>
      </c>
      <c r="E1224" s="1" t="s">
        <v>16</v>
      </c>
      <c r="F1224" s="1" t="s">
        <v>23</v>
      </c>
      <c r="G1224" s="1" t="s">
        <v>103</v>
      </c>
      <c r="H1224" s="1" t="s">
        <v>71</v>
      </c>
      <c r="I1224" s="1">
        <v>2</v>
      </c>
      <c r="J1224" s="1">
        <v>10.8</v>
      </c>
      <c r="K1224" s="1">
        <v>0.03</v>
      </c>
      <c r="L1224" s="1">
        <v>20.95</v>
      </c>
      <c r="M1224" s="1" t="str">
        <f t="shared" si="38"/>
        <v>Online</v>
      </c>
      <c r="N1224" s="1">
        <f t="shared" si="39"/>
        <v>267.12</v>
      </c>
    </row>
    <row r="1225" spans="1:14" x14ac:dyDescent="0.3">
      <c r="A1225" s="1" t="s">
        <v>992</v>
      </c>
      <c r="B1225" s="1" t="s">
        <v>991</v>
      </c>
      <c r="C1225" s="1" t="s">
        <v>47</v>
      </c>
      <c r="D1225" s="1" t="s">
        <v>22</v>
      </c>
      <c r="E1225" s="1" t="s">
        <v>28</v>
      </c>
      <c r="F1225" s="1" t="s">
        <v>42</v>
      </c>
      <c r="G1225" s="1" t="s">
        <v>65</v>
      </c>
      <c r="H1225" s="1" t="s">
        <v>58</v>
      </c>
      <c r="I1225" s="1">
        <v>2</v>
      </c>
      <c r="J1225" s="1">
        <v>675</v>
      </c>
      <c r="K1225" s="1">
        <v>0.15</v>
      </c>
      <c r="L1225" s="1">
        <v>1147.5</v>
      </c>
      <c r="M1225" s="1" t="str">
        <f t="shared" si="38"/>
        <v>Corporate Sales</v>
      </c>
      <c r="N1225" s="1">
        <f t="shared" si="39"/>
        <v>421.2</v>
      </c>
    </row>
    <row r="1226" spans="1:14" x14ac:dyDescent="0.3">
      <c r="A1226" s="1" t="s">
        <v>986</v>
      </c>
      <c r="B1226" s="1" t="s">
        <v>987</v>
      </c>
      <c r="C1226" s="1" t="s">
        <v>54</v>
      </c>
      <c r="D1226" s="1" t="s">
        <v>27</v>
      </c>
      <c r="E1226" s="1" t="s">
        <v>16</v>
      </c>
      <c r="F1226" s="1" t="s">
        <v>23</v>
      </c>
      <c r="G1226" s="1" t="s">
        <v>116</v>
      </c>
      <c r="H1226" s="1" t="s">
        <v>71</v>
      </c>
      <c r="I1226" s="1">
        <v>3</v>
      </c>
      <c r="J1226" s="1">
        <v>7.2</v>
      </c>
      <c r="K1226" s="1">
        <v>0.2</v>
      </c>
      <c r="L1226" s="1">
        <v>17.28</v>
      </c>
      <c r="M1226" s="1" t="str">
        <f t="shared" si="38"/>
        <v>Online</v>
      </c>
      <c r="N1226" s="1">
        <f t="shared" si="39"/>
        <v>267.12</v>
      </c>
    </row>
    <row r="1227" spans="1:14" x14ac:dyDescent="0.3">
      <c r="A1227" s="1" t="s">
        <v>988</v>
      </c>
      <c r="B1227" s="1" t="s">
        <v>987</v>
      </c>
      <c r="C1227" s="1" t="s">
        <v>47</v>
      </c>
      <c r="D1227" s="1" t="s">
        <v>22</v>
      </c>
      <c r="E1227" s="1" t="s">
        <v>28</v>
      </c>
      <c r="F1227" s="1" t="s">
        <v>29</v>
      </c>
      <c r="G1227" s="1" t="s">
        <v>30</v>
      </c>
      <c r="H1227" s="1" t="s">
        <v>49</v>
      </c>
      <c r="I1227" s="1">
        <v>5</v>
      </c>
      <c r="J1227" s="1">
        <v>52.47</v>
      </c>
      <c r="K1227" s="1">
        <v>0.08</v>
      </c>
      <c r="L1227" s="1">
        <v>241.36</v>
      </c>
      <c r="M1227" s="1" t="str">
        <f t="shared" si="38"/>
        <v>Retail Store</v>
      </c>
      <c r="N1227" s="1">
        <f t="shared" si="39"/>
        <v>421.2</v>
      </c>
    </row>
    <row r="1228" spans="1:14" x14ac:dyDescent="0.3">
      <c r="A1228" s="1" t="s">
        <v>989</v>
      </c>
      <c r="B1228" s="1" t="s">
        <v>987</v>
      </c>
      <c r="C1228" s="1" t="s">
        <v>47</v>
      </c>
      <c r="D1228" s="1" t="s">
        <v>35</v>
      </c>
      <c r="E1228" s="1" t="s">
        <v>16</v>
      </c>
      <c r="F1228" s="1" t="s">
        <v>29</v>
      </c>
      <c r="G1228" s="1" t="s">
        <v>39</v>
      </c>
      <c r="H1228" s="1" t="s">
        <v>78</v>
      </c>
      <c r="I1228" s="1">
        <v>4</v>
      </c>
      <c r="J1228" s="1">
        <v>72</v>
      </c>
      <c r="K1228" s="1">
        <v>0.08</v>
      </c>
      <c r="L1228" s="1">
        <v>264.95999999999998</v>
      </c>
      <c r="M1228" s="1" t="str">
        <f t="shared" si="38"/>
        <v>Retail Store</v>
      </c>
      <c r="N1228" s="1">
        <f t="shared" si="39"/>
        <v>421.2</v>
      </c>
    </row>
    <row r="1229" spans="1:14" x14ac:dyDescent="0.3">
      <c r="A1229" s="1" t="s">
        <v>983</v>
      </c>
      <c r="B1229" s="1" t="s">
        <v>984</v>
      </c>
      <c r="C1229" s="1" t="s">
        <v>21</v>
      </c>
      <c r="D1229" s="1" t="s">
        <v>15</v>
      </c>
      <c r="E1229" s="1" t="s">
        <v>28</v>
      </c>
      <c r="F1229" s="1" t="s">
        <v>36</v>
      </c>
      <c r="G1229" s="1" t="s">
        <v>70</v>
      </c>
      <c r="H1229" s="1" t="s">
        <v>25</v>
      </c>
      <c r="I1229" s="1">
        <v>2</v>
      </c>
      <c r="J1229" s="1">
        <v>542.88</v>
      </c>
      <c r="K1229" s="1">
        <v>0</v>
      </c>
      <c r="L1229" s="1">
        <v>1085.76</v>
      </c>
      <c r="M1229" s="1" t="str">
        <f t="shared" si="38"/>
        <v>Marketplace</v>
      </c>
      <c r="N1229" s="1">
        <f t="shared" si="39"/>
        <v>405</v>
      </c>
    </row>
    <row r="1230" spans="1:14" x14ac:dyDescent="0.3">
      <c r="A1230" s="1" t="s">
        <v>985</v>
      </c>
      <c r="B1230" s="1" t="s">
        <v>984</v>
      </c>
      <c r="C1230" s="1" t="s">
        <v>54</v>
      </c>
      <c r="D1230" s="1" t="s">
        <v>35</v>
      </c>
      <c r="E1230" s="1" t="s">
        <v>16</v>
      </c>
      <c r="F1230" s="1" t="s">
        <v>17</v>
      </c>
      <c r="G1230" s="1" t="s">
        <v>98</v>
      </c>
      <c r="H1230" s="1" t="s">
        <v>56</v>
      </c>
      <c r="I1230" s="1">
        <v>10</v>
      </c>
      <c r="J1230" s="1">
        <v>421.2</v>
      </c>
      <c r="K1230" s="1">
        <v>0.15</v>
      </c>
      <c r="L1230" s="1">
        <v>3580.2</v>
      </c>
      <c r="M1230" s="1" t="str">
        <f t="shared" si="38"/>
        <v>Online</v>
      </c>
      <c r="N1230" s="1">
        <f t="shared" si="39"/>
        <v>267.12</v>
      </c>
    </row>
    <row r="1231" spans="1:14" x14ac:dyDescent="0.3">
      <c r="A1231" s="1" t="s">
        <v>973</v>
      </c>
      <c r="B1231" s="1" t="s">
        <v>974</v>
      </c>
      <c r="C1231" s="1" t="s">
        <v>21</v>
      </c>
      <c r="D1231" s="1" t="s">
        <v>27</v>
      </c>
      <c r="E1231" s="1" t="s">
        <v>16</v>
      </c>
      <c r="F1231" s="1" t="s">
        <v>82</v>
      </c>
      <c r="G1231" s="1" t="s">
        <v>85</v>
      </c>
      <c r="H1231" s="1" t="s">
        <v>44</v>
      </c>
      <c r="I1231" s="1">
        <v>2</v>
      </c>
      <c r="J1231" s="1">
        <v>1620</v>
      </c>
      <c r="K1231" s="1">
        <v>0.15</v>
      </c>
      <c r="L1231" s="1">
        <v>2754</v>
      </c>
      <c r="M1231" s="1" t="str">
        <f t="shared" si="38"/>
        <v>Retail Store</v>
      </c>
      <c r="N1231" s="1">
        <f t="shared" si="39"/>
        <v>405</v>
      </c>
    </row>
    <row r="1232" spans="1:14" x14ac:dyDescent="0.3">
      <c r="A1232" s="1" t="s">
        <v>975</v>
      </c>
      <c r="B1232" s="1" t="s">
        <v>974</v>
      </c>
      <c r="C1232" s="1" t="s">
        <v>21</v>
      </c>
      <c r="D1232" s="1" t="s">
        <v>27</v>
      </c>
      <c r="E1232" s="1" t="s">
        <v>16</v>
      </c>
      <c r="F1232" s="1" t="s">
        <v>29</v>
      </c>
      <c r="G1232" s="1" t="s">
        <v>55</v>
      </c>
      <c r="H1232" s="1" t="s">
        <v>44</v>
      </c>
      <c r="I1232" s="1">
        <v>3</v>
      </c>
      <c r="J1232" s="1">
        <v>36.25</v>
      </c>
      <c r="K1232" s="1">
        <v>0.03</v>
      </c>
      <c r="L1232" s="1">
        <v>105.49</v>
      </c>
      <c r="M1232" s="1" t="str">
        <f t="shared" si="38"/>
        <v>Retail Store</v>
      </c>
      <c r="N1232" s="1">
        <f t="shared" si="39"/>
        <v>405</v>
      </c>
    </row>
    <row r="1233" spans="1:14" x14ac:dyDescent="0.3">
      <c r="A1233" s="1" t="s">
        <v>976</v>
      </c>
      <c r="B1233" s="1" t="s">
        <v>974</v>
      </c>
      <c r="C1233" s="1" t="s">
        <v>54</v>
      </c>
      <c r="D1233" s="1" t="s">
        <v>15</v>
      </c>
      <c r="E1233" s="1" t="s">
        <v>28</v>
      </c>
      <c r="F1233" s="1" t="s">
        <v>42</v>
      </c>
      <c r="G1233" s="1" t="s">
        <v>65</v>
      </c>
      <c r="H1233" s="1" t="s">
        <v>80</v>
      </c>
      <c r="I1233" s="1">
        <v>6</v>
      </c>
      <c r="J1233" s="1">
        <v>702</v>
      </c>
      <c r="K1233" s="1">
        <v>0.05</v>
      </c>
      <c r="L1233" s="1">
        <v>4001.4</v>
      </c>
      <c r="M1233" s="1" t="str">
        <f t="shared" si="38"/>
        <v>Marketplace</v>
      </c>
      <c r="N1233" s="1">
        <f t="shared" si="39"/>
        <v>267.12</v>
      </c>
    </row>
    <row r="1234" spans="1:14" x14ac:dyDescent="0.3">
      <c r="A1234" s="1" t="s">
        <v>977</v>
      </c>
      <c r="B1234" s="1" t="s">
        <v>974</v>
      </c>
      <c r="C1234" s="1" t="s">
        <v>61</v>
      </c>
      <c r="D1234" s="1" t="s">
        <v>27</v>
      </c>
      <c r="E1234" s="1" t="s">
        <v>28</v>
      </c>
      <c r="F1234" s="1" t="s">
        <v>29</v>
      </c>
      <c r="G1234" s="1" t="s">
        <v>33</v>
      </c>
      <c r="H1234" s="1" t="s">
        <v>112</v>
      </c>
      <c r="I1234" s="1">
        <v>2</v>
      </c>
      <c r="J1234" s="1">
        <v>12.83</v>
      </c>
      <c r="K1234" s="1">
        <v>0.2</v>
      </c>
      <c r="L1234" s="1">
        <v>20.52</v>
      </c>
      <c r="M1234" s="1" t="str">
        <f t="shared" si="38"/>
        <v>Online</v>
      </c>
      <c r="N1234" s="1">
        <f t="shared" si="39"/>
        <v>62.01</v>
      </c>
    </row>
    <row r="1235" spans="1:14" x14ac:dyDescent="0.3">
      <c r="A1235" s="1" t="s">
        <v>978</v>
      </c>
      <c r="B1235" s="1" t="s">
        <v>974</v>
      </c>
      <c r="C1235" s="1" t="s">
        <v>54</v>
      </c>
      <c r="D1235" s="1" t="s">
        <v>22</v>
      </c>
      <c r="E1235" s="1" t="s">
        <v>28</v>
      </c>
      <c r="F1235" s="1" t="s">
        <v>17</v>
      </c>
      <c r="G1235" s="1" t="s">
        <v>98</v>
      </c>
      <c r="H1235" s="1" t="s">
        <v>80</v>
      </c>
      <c r="I1235" s="1">
        <v>8</v>
      </c>
      <c r="J1235" s="1">
        <v>429.3</v>
      </c>
      <c r="K1235" s="1">
        <v>0.03</v>
      </c>
      <c r="L1235" s="1">
        <v>3331.37</v>
      </c>
      <c r="M1235" s="1" t="str">
        <f t="shared" si="38"/>
        <v>Marketplace</v>
      </c>
      <c r="N1235" s="1">
        <f t="shared" si="39"/>
        <v>267.12</v>
      </c>
    </row>
    <row r="1236" spans="1:14" x14ac:dyDescent="0.3">
      <c r="A1236" s="1" t="s">
        <v>979</v>
      </c>
      <c r="B1236" s="1" t="s">
        <v>974</v>
      </c>
      <c r="C1236" s="1" t="s">
        <v>21</v>
      </c>
      <c r="D1236" s="1" t="s">
        <v>22</v>
      </c>
      <c r="E1236" s="1" t="s">
        <v>16</v>
      </c>
      <c r="F1236" s="1" t="s">
        <v>29</v>
      </c>
      <c r="G1236" s="1" t="s">
        <v>55</v>
      </c>
      <c r="H1236" s="1" t="s">
        <v>25</v>
      </c>
      <c r="I1236" s="1">
        <v>2</v>
      </c>
      <c r="J1236" s="1">
        <v>34.200000000000003</v>
      </c>
      <c r="K1236" s="1">
        <v>0.03</v>
      </c>
      <c r="L1236" s="1">
        <v>66.349999999999994</v>
      </c>
      <c r="M1236" s="1" t="str">
        <f t="shared" si="38"/>
        <v>Marketplace</v>
      </c>
      <c r="N1236" s="1">
        <f t="shared" si="39"/>
        <v>405</v>
      </c>
    </row>
    <row r="1237" spans="1:14" x14ac:dyDescent="0.3">
      <c r="A1237" s="1" t="s">
        <v>980</v>
      </c>
      <c r="B1237" s="1" t="s">
        <v>974</v>
      </c>
      <c r="C1237" s="1" t="s">
        <v>14</v>
      </c>
      <c r="D1237" s="1" t="s">
        <v>27</v>
      </c>
      <c r="E1237" s="1" t="s">
        <v>16</v>
      </c>
      <c r="F1237" s="1" t="s">
        <v>17</v>
      </c>
      <c r="G1237" s="1" t="s">
        <v>62</v>
      </c>
      <c r="H1237" s="1" t="s">
        <v>19</v>
      </c>
      <c r="I1237" s="1">
        <v>6</v>
      </c>
      <c r="J1237" s="1">
        <v>51.3</v>
      </c>
      <c r="K1237" s="1">
        <v>0.15</v>
      </c>
      <c r="L1237" s="1">
        <v>261.63</v>
      </c>
      <c r="M1237" s="1" t="str">
        <f t="shared" si="38"/>
        <v>Retail Store</v>
      </c>
      <c r="N1237" s="1">
        <f t="shared" si="39"/>
        <v>16.2</v>
      </c>
    </row>
    <row r="1238" spans="1:14" x14ac:dyDescent="0.3">
      <c r="A1238" s="1" t="s">
        <v>981</v>
      </c>
      <c r="B1238" s="1" t="s">
        <v>974</v>
      </c>
      <c r="C1238" s="1" t="s">
        <v>61</v>
      </c>
      <c r="D1238" s="1" t="s">
        <v>27</v>
      </c>
      <c r="E1238" s="1" t="s">
        <v>16</v>
      </c>
      <c r="F1238" s="1" t="s">
        <v>36</v>
      </c>
      <c r="G1238" s="1" t="s">
        <v>37</v>
      </c>
      <c r="H1238" s="1" t="s">
        <v>73</v>
      </c>
      <c r="I1238" s="1">
        <v>2</v>
      </c>
      <c r="J1238" s="1">
        <v>765</v>
      </c>
      <c r="K1238" s="1">
        <v>0.08</v>
      </c>
      <c r="L1238" s="1">
        <v>1407.6</v>
      </c>
      <c r="M1238" s="1" t="str">
        <f t="shared" si="38"/>
        <v>Online</v>
      </c>
      <c r="N1238" s="1">
        <f t="shared" si="39"/>
        <v>62.01</v>
      </c>
    </row>
    <row r="1239" spans="1:14" x14ac:dyDescent="0.3">
      <c r="A1239" s="1" t="s">
        <v>982</v>
      </c>
      <c r="B1239" s="1" t="s">
        <v>974</v>
      </c>
      <c r="C1239" s="1" t="s">
        <v>47</v>
      </c>
      <c r="D1239" s="1" t="s">
        <v>27</v>
      </c>
      <c r="E1239" s="1" t="s">
        <v>28</v>
      </c>
      <c r="F1239" s="1" t="s">
        <v>82</v>
      </c>
      <c r="G1239" s="1" t="s">
        <v>83</v>
      </c>
      <c r="H1239" s="1" t="s">
        <v>58</v>
      </c>
      <c r="I1239" s="1">
        <v>3</v>
      </c>
      <c r="J1239" s="1">
        <v>3780</v>
      </c>
      <c r="K1239" s="1">
        <v>0.05</v>
      </c>
      <c r="L1239" s="1">
        <v>10773</v>
      </c>
      <c r="M1239" s="1" t="str">
        <f t="shared" si="38"/>
        <v>Corporate Sales</v>
      </c>
      <c r="N1239" s="1">
        <f t="shared" si="39"/>
        <v>421.2</v>
      </c>
    </row>
    <row r="1240" spans="1:14" x14ac:dyDescent="0.3">
      <c r="A1240" s="1" t="s">
        <v>967</v>
      </c>
      <c r="B1240" s="1" t="s">
        <v>968</v>
      </c>
      <c r="C1240" s="1" t="s">
        <v>21</v>
      </c>
      <c r="D1240" s="1" t="s">
        <v>22</v>
      </c>
      <c r="E1240" s="1" t="s">
        <v>28</v>
      </c>
      <c r="F1240" s="1" t="s">
        <v>42</v>
      </c>
      <c r="G1240" s="1" t="s">
        <v>65</v>
      </c>
      <c r="H1240" s="1" t="s">
        <v>86</v>
      </c>
      <c r="I1240" s="1">
        <v>2</v>
      </c>
      <c r="J1240" s="1">
        <v>675</v>
      </c>
      <c r="K1240" s="1">
        <v>0.2</v>
      </c>
      <c r="L1240" s="1">
        <v>1080</v>
      </c>
      <c r="M1240" s="1" t="str">
        <f t="shared" si="38"/>
        <v>Online</v>
      </c>
      <c r="N1240" s="1">
        <f t="shared" si="39"/>
        <v>405</v>
      </c>
    </row>
    <row r="1241" spans="1:14" x14ac:dyDescent="0.3">
      <c r="A1241" s="1" t="s">
        <v>969</v>
      </c>
      <c r="B1241" s="1" t="s">
        <v>968</v>
      </c>
      <c r="C1241" s="1" t="s">
        <v>21</v>
      </c>
      <c r="D1241" s="1" t="s">
        <v>27</v>
      </c>
      <c r="E1241" s="1" t="s">
        <v>16</v>
      </c>
      <c r="F1241" s="1" t="s">
        <v>17</v>
      </c>
      <c r="G1241" s="1" t="s">
        <v>62</v>
      </c>
      <c r="H1241" s="1" t="s">
        <v>44</v>
      </c>
      <c r="I1241" s="1">
        <v>8</v>
      </c>
      <c r="J1241" s="1">
        <v>54</v>
      </c>
      <c r="K1241" s="1">
        <v>0.08</v>
      </c>
      <c r="L1241" s="1">
        <v>397.44</v>
      </c>
      <c r="M1241" s="1" t="str">
        <f t="shared" si="38"/>
        <v>Retail Store</v>
      </c>
      <c r="N1241" s="1">
        <f t="shared" si="39"/>
        <v>405</v>
      </c>
    </row>
    <row r="1242" spans="1:14" x14ac:dyDescent="0.3">
      <c r="A1242" s="1" t="s">
        <v>970</v>
      </c>
      <c r="B1242" s="1" t="s">
        <v>968</v>
      </c>
      <c r="C1242" s="1" t="s">
        <v>14</v>
      </c>
      <c r="D1242" s="1" t="s">
        <v>15</v>
      </c>
      <c r="E1242" s="1" t="s">
        <v>28</v>
      </c>
      <c r="F1242" s="1" t="s">
        <v>36</v>
      </c>
      <c r="G1242" s="1" t="s">
        <v>37</v>
      </c>
      <c r="H1242" s="1" t="s">
        <v>40</v>
      </c>
      <c r="I1242" s="1">
        <v>3</v>
      </c>
      <c r="J1242" s="1">
        <v>780.3</v>
      </c>
      <c r="K1242" s="1">
        <v>0.15</v>
      </c>
      <c r="L1242" s="1">
        <v>1989.77</v>
      </c>
      <c r="M1242" s="1" t="str">
        <f t="shared" si="38"/>
        <v>Online</v>
      </c>
      <c r="N1242" s="1">
        <f t="shared" si="39"/>
        <v>16.2</v>
      </c>
    </row>
    <row r="1243" spans="1:14" x14ac:dyDescent="0.3">
      <c r="A1243" s="1" t="s">
        <v>971</v>
      </c>
      <c r="B1243" s="1" t="s">
        <v>968</v>
      </c>
      <c r="C1243" s="1" t="s">
        <v>54</v>
      </c>
      <c r="D1243" s="1" t="s">
        <v>15</v>
      </c>
      <c r="E1243" s="1" t="s">
        <v>16</v>
      </c>
      <c r="F1243" s="1" t="s">
        <v>82</v>
      </c>
      <c r="G1243" s="1" t="s">
        <v>114</v>
      </c>
      <c r="H1243" s="1" t="s">
        <v>56</v>
      </c>
      <c r="I1243" s="1">
        <v>3</v>
      </c>
      <c r="J1243" s="1">
        <v>2385</v>
      </c>
      <c r="K1243" s="1">
        <v>0.05</v>
      </c>
      <c r="L1243" s="1">
        <v>6797.25</v>
      </c>
      <c r="M1243" s="1" t="str">
        <f t="shared" si="38"/>
        <v>Online</v>
      </c>
      <c r="N1243" s="1">
        <f t="shared" si="39"/>
        <v>267.12</v>
      </c>
    </row>
    <row r="1244" spans="1:14" x14ac:dyDescent="0.3">
      <c r="A1244" s="1" t="s">
        <v>972</v>
      </c>
      <c r="B1244" s="1" t="s">
        <v>968</v>
      </c>
      <c r="C1244" s="1" t="s">
        <v>14</v>
      </c>
      <c r="D1244" s="1" t="s">
        <v>27</v>
      </c>
      <c r="E1244" s="1" t="s">
        <v>16</v>
      </c>
      <c r="F1244" s="1" t="s">
        <v>29</v>
      </c>
      <c r="G1244" s="1" t="s">
        <v>30</v>
      </c>
      <c r="H1244" s="1" t="s">
        <v>19</v>
      </c>
      <c r="I1244" s="1">
        <v>4</v>
      </c>
      <c r="J1244" s="1">
        <v>48.02</v>
      </c>
      <c r="K1244" s="1">
        <v>0.08</v>
      </c>
      <c r="L1244" s="1">
        <v>176.7</v>
      </c>
      <c r="M1244" s="1" t="str">
        <f t="shared" si="38"/>
        <v>Retail Store</v>
      </c>
      <c r="N1244" s="1">
        <f t="shared" si="39"/>
        <v>16.2</v>
      </c>
    </row>
    <row r="1245" spans="1:14" x14ac:dyDescent="0.3">
      <c r="A1245" s="1" t="s">
        <v>959</v>
      </c>
      <c r="B1245" s="1" t="s">
        <v>960</v>
      </c>
      <c r="C1245" s="1" t="s">
        <v>47</v>
      </c>
      <c r="D1245" s="1" t="s">
        <v>35</v>
      </c>
      <c r="E1245" s="1" t="s">
        <v>28</v>
      </c>
      <c r="F1245" s="1" t="s">
        <v>42</v>
      </c>
      <c r="G1245" s="1" t="s">
        <v>43</v>
      </c>
      <c r="H1245" s="1" t="s">
        <v>58</v>
      </c>
      <c r="I1245" s="1">
        <v>3</v>
      </c>
      <c r="J1245" s="1">
        <v>162</v>
      </c>
      <c r="K1245" s="1">
        <v>0</v>
      </c>
      <c r="L1245" s="1">
        <v>486</v>
      </c>
      <c r="M1245" s="1" t="str">
        <f t="shared" si="38"/>
        <v>Corporate Sales</v>
      </c>
      <c r="N1245" s="1">
        <f t="shared" si="39"/>
        <v>421.2</v>
      </c>
    </row>
    <row r="1246" spans="1:14" x14ac:dyDescent="0.3">
      <c r="A1246" s="1" t="s">
        <v>961</v>
      </c>
      <c r="B1246" s="1" t="s">
        <v>960</v>
      </c>
      <c r="C1246" s="1" t="s">
        <v>61</v>
      </c>
      <c r="D1246" s="1" t="s">
        <v>27</v>
      </c>
      <c r="E1246" s="1" t="s">
        <v>28</v>
      </c>
      <c r="F1246" s="1" t="s">
        <v>17</v>
      </c>
      <c r="G1246" s="1" t="s">
        <v>18</v>
      </c>
      <c r="H1246" s="1" t="s">
        <v>112</v>
      </c>
      <c r="I1246" s="1">
        <v>2</v>
      </c>
      <c r="J1246" s="1">
        <v>84.24</v>
      </c>
      <c r="K1246" s="1">
        <v>0.05</v>
      </c>
      <c r="L1246" s="1">
        <v>160.06</v>
      </c>
      <c r="M1246" s="1" t="str">
        <f t="shared" si="38"/>
        <v>Online</v>
      </c>
      <c r="N1246" s="1">
        <f t="shared" si="39"/>
        <v>62.01</v>
      </c>
    </row>
    <row r="1247" spans="1:14" x14ac:dyDescent="0.3">
      <c r="A1247" s="1" t="s">
        <v>962</v>
      </c>
      <c r="B1247" s="1" t="s">
        <v>960</v>
      </c>
      <c r="C1247" s="1" t="s">
        <v>21</v>
      </c>
      <c r="D1247" s="1" t="s">
        <v>27</v>
      </c>
      <c r="E1247" s="1" t="s">
        <v>16</v>
      </c>
      <c r="F1247" s="1" t="s">
        <v>29</v>
      </c>
      <c r="G1247" s="1" t="s">
        <v>51</v>
      </c>
      <c r="H1247" s="1" t="s">
        <v>86</v>
      </c>
      <c r="I1247" s="1">
        <v>6</v>
      </c>
      <c r="J1247" s="1">
        <v>40.5</v>
      </c>
      <c r="K1247" s="1">
        <v>0.08</v>
      </c>
      <c r="L1247" s="1">
        <v>223.56</v>
      </c>
      <c r="M1247" s="1" t="str">
        <f t="shared" si="38"/>
        <v>Online</v>
      </c>
      <c r="N1247" s="1">
        <f t="shared" si="39"/>
        <v>405</v>
      </c>
    </row>
    <row r="1248" spans="1:14" x14ac:dyDescent="0.3">
      <c r="A1248" s="1" t="s">
        <v>963</v>
      </c>
      <c r="B1248" s="1" t="s">
        <v>960</v>
      </c>
      <c r="C1248" s="1" t="s">
        <v>47</v>
      </c>
      <c r="D1248" s="1" t="s">
        <v>35</v>
      </c>
      <c r="E1248" s="1" t="s">
        <v>16</v>
      </c>
      <c r="F1248" s="1" t="s">
        <v>82</v>
      </c>
      <c r="G1248" s="1" t="s">
        <v>83</v>
      </c>
      <c r="H1248" s="1" t="s">
        <v>78</v>
      </c>
      <c r="I1248" s="1">
        <v>2</v>
      </c>
      <c r="J1248" s="1">
        <v>3780</v>
      </c>
      <c r="K1248" s="1">
        <v>0.15</v>
      </c>
      <c r="L1248" s="1">
        <v>6426</v>
      </c>
      <c r="M1248" s="1" t="str">
        <f t="shared" si="38"/>
        <v>Retail Store</v>
      </c>
      <c r="N1248" s="1">
        <f t="shared" si="39"/>
        <v>421.2</v>
      </c>
    </row>
    <row r="1249" spans="1:14" x14ac:dyDescent="0.3">
      <c r="A1249" s="1" t="s">
        <v>964</v>
      </c>
      <c r="B1249" s="1" t="s">
        <v>960</v>
      </c>
      <c r="C1249" s="1" t="s">
        <v>21</v>
      </c>
      <c r="D1249" s="1" t="s">
        <v>35</v>
      </c>
      <c r="E1249" s="1" t="s">
        <v>16</v>
      </c>
      <c r="F1249" s="1" t="s">
        <v>82</v>
      </c>
      <c r="G1249" s="1" t="s">
        <v>96</v>
      </c>
      <c r="H1249" s="1" t="s">
        <v>44</v>
      </c>
      <c r="I1249" s="1">
        <v>2</v>
      </c>
      <c r="J1249" s="1">
        <v>2862</v>
      </c>
      <c r="K1249" s="1">
        <v>0.05</v>
      </c>
      <c r="L1249" s="1">
        <v>5437.8</v>
      </c>
      <c r="M1249" s="1" t="str">
        <f t="shared" si="38"/>
        <v>Retail Store</v>
      </c>
      <c r="N1249" s="1">
        <f t="shared" si="39"/>
        <v>405</v>
      </c>
    </row>
    <row r="1250" spans="1:14" x14ac:dyDescent="0.3">
      <c r="A1250" s="1" t="s">
        <v>965</v>
      </c>
      <c r="B1250" s="1" t="s">
        <v>960</v>
      </c>
      <c r="C1250" s="1" t="s">
        <v>61</v>
      </c>
      <c r="D1250" s="1" t="s">
        <v>22</v>
      </c>
      <c r="E1250" s="1" t="s">
        <v>16</v>
      </c>
      <c r="F1250" s="1" t="s">
        <v>17</v>
      </c>
      <c r="G1250" s="1" t="s">
        <v>18</v>
      </c>
      <c r="H1250" s="1" t="s">
        <v>73</v>
      </c>
      <c r="I1250" s="1">
        <v>3</v>
      </c>
      <c r="J1250" s="1">
        <v>81</v>
      </c>
      <c r="K1250" s="1">
        <v>0.05</v>
      </c>
      <c r="L1250" s="1">
        <v>230.85</v>
      </c>
      <c r="M1250" s="1" t="str">
        <f t="shared" si="38"/>
        <v>Online</v>
      </c>
      <c r="N1250" s="1">
        <f t="shared" si="39"/>
        <v>62.01</v>
      </c>
    </row>
    <row r="1251" spans="1:14" x14ac:dyDescent="0.3">
      <c r="A1251" s="1" t="s">
        <v>966</v>
      </c>
      <c r="B1251" s="1" t="s">
        <v>960</v>
      </c>
      <c r="C1251" s="1" t="s">
        <v>61</v>
      </c>
      <c r="D1251" s="1" t="s">
        <v>22</v>
      </c>
      <c r="E1251" s="1" t="s">
        <v>16</v>
      </c>
      <c r="F1251" s="1" t="s">
        <v>23</v>
      </c>
      <c r="G1251" s="1" t="s">
        <v>116</v>
      </c>
      <c r="H1251" s="1" t="s">
        <v>73</v>
      </c>
      <c r="I1251" s="1">
        <v>5</v>
      </c>
      <c r="J1251" s="1">
        <v>7.2</v>
      </c>
      <c r="K1251" s="1">
        <v>0.2</v>
      </c>
      <c r="L1251" s="1">
        <v>28.8</v>
      </c>
      <c r="M1251" s="1" t="str">
        <f t="shared" si="38"/>
        <v>Online</v>
      </c>
      <c r="N1251" s="1">
        <f t="shared" si="39"/>
        <v>62.01</v>
      </c>
    </row>
    <row r="1252" spans="1:14" x14ac:dyDescent="0.3">
      <c r="A1252" s="1" t="s">
        <v>951</v>
      </c>
      <c r="B1252" s="1" t="s">
        <v>952</v>
      </c>
      <c r="C1252" s="1" t="s">
        <v>54</v>
      </c>
      <c r="D1252" s="1" t="s">
        <v>15</v>
      </c>
      <c r="E1252" s="1" t="s">
        <v>16</v>
      </c>
      <c r="F1252" s="1" t="s">
        <v>36</v>
      </c>
      <c r="G1252" s="1" t="s">
        <v>119</v>
      </c>
      <c r="H1252" s="1" t="s">
        <v>80</v>
      </c>
      <c r="I1252" s="1">
        <v>2</v>
      </c>
      <c r="J1252" s="1">
        <v>655.20000000000005</v>
      </c>
      <c r="K1252" s="1">
        <v>0.05</v>
      </c>
      <c r="L1252" s="1">
        <v>1244.8800000000001</v>
      </c>
      <c r="M1252" s="1" t="str">
        <f t="shared" si="38"/>
        <v>Marketplace</v>
      </c>
      <c r="N1252" s="1">
        <f t="shared" si="39"/>
        <v>267.12</v>
      </c>
    </row>
    <row r="1253" spans="1:14" x14ac:dyDescent="0.3">
      <c r="A1253" s="1" t="s">
        <v>953</v>
      </c>
      <c r="B1253" s="1" t="s">
        <v>952</v>
      </c>
      <c r="C1253" s="1" t="s">
        <v>54</v>
      </c>
      <c r="D1253" s="1" t="s">
        <v>27</v>
      </c>
      <c r="E1253" s="1" t="s">
        <v>16</v>
      </c>
      <c r="F1253" s="1" t="s">
        <v>36</v>
      </c>
      <c r="G1253" s="1" t="s">
        <v>37</v>
      </c>
      <c r="H1253" s="1" t="s">
        <v>56</v>
      </c>
      <c r="I1253" s="1">
        <v>5</v>
      </c>
      <c r="J1253" s="1">
        <v>780.3</v>
      </c>
      <c r="K1253" s="1">
        <v>0.15</v>
      </c>
      <c r="L1253" s="1">
        <v>3316.28</v>
      </c>
      <c r="M1253" s="1" t="str">
        <f t="shared" si="38"/>
        <v>Online</v>
      </c>
      <c r="N1253" s="1">
        <f t="shared" si="39"/>
        <v>267.12</v>
      </c>
    </row>
    <row r="1254" spans="1:14" x14ac:dyDescent="0.3">
      <c r="A1254" s="1" t="s">
        <v>954</v>
      </c>
      <c r="B1254" s="1" t="s">
        <v>952</v>
      </c>
      <c r="C1254" s="1" t="s">
        <v>61</v>
      </c>
      <c r="D1254" s="1" t="s">
        <v>22</v>
      </c>
      <c r="E1254" s="1" t="s">
        <v>16</v>
      </c>
      <c r="F1254" s="1" t="s">
        <v>29</v>
      </c>
      <c r="G1254" s="1" t="s">
        <v>88</v>
      </c>
      <c r="H1254" s="1" t="s">
        <v>112</v>
      </c>
      <c r="I1254" s="1">
        <v>2</v>
      </c>
      <c r="J1254" s="1">
        <v>56.75</v>
      </c>
      <c r="K1254" s="1">
        <v>0.03</v>
      </c>
      <c r="L1254" s="1">
        <v>110.09</v>
      </c>
      <c r="M1254" s="1" t="str">
        <f t="shared" si="38"/>
        <v>Online</v>
      </c>
      <c r="N1254" s="1">
        <f t="shared" si="39"/>
        <v>62.01</v>
      </c>
    </row>
    <row r="1255" spans="1:14" x14ac:dyDescent="0.3">
      <c r="A1255" s="1" t="s">
        <v>955</v>
      </c>
      <c r="B1255" s="1" t="s">
        <v>952</v>
      </c>
      <c r="C1255" s="1" t="s">
        <v>14</v>
      </c>
      <c r="D1255" s="1" t="s">
        <v>15</v>
      </c>
      <c r="E1255" s="1" t="s">
        <v>16</v>
      </c>
      <c r="F1255" s="1" t="s">
        <v>17</v>
      </c>
      <c r="G1255" s="1" t="s">
        <v>189</v>
      </c>
      <c r="H1255" s="1" t="s">
        <v>40</v>
      </c>
      <c r="I1255" s="1">
        <v>2</v>
      </c>
      <c r="J1255" s="1">
        <v>293.76</v>
      </c>
      <c r="K1255" s="1">
        <v>0.15</v>
      </c>
      <c r="L1255" s="1">
        <v>499.39</v>
      </c>
      <c r="M1255" s="1" t="str">
        <f t="shared" si="38"/>
        <v>Online</v>
      </c>
      <c r="N1255" s="1">
        <f t="shared" si="39"/>
        <v>16.2</v>
      </c>
    </row>
    <row r="1256" spans="1:14" x14ac:dyDescent="0.3">
      <c r="A1256" s="1" t="s">
        <v>956</v>
      </c>
      <c r="B1256" s="1" t="s">
        <v>952</v>
      </c>
      <c r="C1256" s="1" t="s">
        <v>14</v>
      </c>
      <c r="D1256" s="1" t="s">
        <v>22</v>
      </c>
      <c r="E1256" s="1" t="s">
        <v>16</v>
      </c>
      <c r="F1256" s="1" t="s">
        <v>23</v>
      </c>
      <c r="G1256" s="1" t="s">
        <v>178</v>
      </c>
      <c r="H1256" s="1" t="s">
        <v>31</v>
      </c>
      <c r="I1256" s="1">
        <v>7</v>
      </c>
      <c r="J1256" s="1">
        <v>32.130000000000003</v>
      </c>
      <c r="K1256" s="1">
        <v>0.15</v>
      </c>
      <c r="L1256" s="1">
        <v>191.17</v>
      </c>
      <c r="M1256" s="1" t="str">
        <f t="shared" si="38"/>
        <v>Online</v>
      </c>
      <c r="N1256" s="1">
        <f t="shared" si="39"/>
        <v>16.2</v>
      </c>
    </row>
    <row r="1257" spans="1:14" x14ac:dyDescent="0.3">
      <c r="A1257" s="1" t="s">
        <v>957</v>
      </c>
      <c r="B1257" s="1" t="s">
        <v>952</v>
      </c>
      <c r="C1257" s="1" t="s">
        <v>54</v>
      </c>
      <c r="D1257" s="1" t="s">
        <v>15</v>
      </c>
      <c r="E1257" s="1" t="s">
        <v>28</v>
      </c>
      <c r="F1257" s="1" t="s">
        <v>42</v>
      </c>
      <c r="G1257" s="1" t="s">
        <v>43</v>
      </c>
      <c r="H1257" s="1" t="s">
        <v>56</v>
      </c>
      <c r="I1257" s="1">
        <v>5</v>
      </c>
      <c r="J1257" s="1">
        <v>153.9</v>
      </c>
      <c r="K1257" s="1">
        <v>0</v>
      </c>
      <c r="L1257" s="1">
        <v>769.5</v>
      </c>
      <c r="M1257" s="1" t="str">
        <f t="shared" si="38"/>
        <v>Online</v>
      </c>
      <c r="N1257" s="1">
        <f t="shared" si="39"/>
        <v>267.12</v>
      </c>
    </row>
    <row r="1258" spans="1:14" x14ac:dyDescent="0.3">
      <c r="A1258" s="1" t="s">
        <v>958</v>
      </c>
      <c r="B1258" s="1" t="s">
        <v>952</v>
      </c>
      <c r="C1258" s="1" t="s">
        <v>14</v>
      </c>
      <c r="D1258" s="1" t="s">
        <v>22</v>
      </c>
      <c r="E1258" s="1" t="s">
        <v>16</v>
      </c>
      <c r="F1258" s="1" t="s">
        <v>82</v>
      </c>
      <c r="G1258" s="1" t="s">
        <v>96</v>
      </c>
      <c r="H1258" s="1" t="s">
        <v>40</v>
      </c>
      <c r="I1258" s="1">
        <v>2</v>
      </c>
      <c r="J1258" s="1">
        <v>2700</v>
      </c>
      <c r="K1258" s="1">
        <v>0.2</v>
      </c>
      <c r="L1258" s="1">
        <v>4320</v>
      </c>
      <c r="M1258" s="1" t="str">
        <f t="shared" si="38"/>
        <v>Online</v>
      </c>
      <c r="N1258" s="1">
        <f t="shared" si="39"/>
        <v>16.2</v>
      </c>
    </row>
    <row r="1259" spans="1:14" x14ac:dyDescent="0.3">
      <c r="A1259" s="1" t="s">
        <v>947</v>
      </c>
      <c r="B1259" s="1" t="s">
        <v>948</v>
      </c>
      <c r="C1259" s="1" t="s">
        <v>21</v>
      </c>
      <c r="D1259" s="1" t="s">
        <v>15</v>
      </c>
      <c r="E1259" s="1" t="s">
        <v>16</v>
      </c>
      <c r="F1259" s="1" t="s">
        <v>23</v>
      </c>
      <c r="G1259" s="1" t="s">
        <v>142</v>
      </c>
      <c r="H1259" s="1" t="s">
        <v>86</v>
      </c>
      <c r="I1259" s="1">
        <v>5</v>
      </c>
      <c r="J1259" s="1">
        <v>16.850000000000001</v>
      </c>
      <c r="K1259" s="1">
        <v>0</v>
      </c>
      <c r="L1259" s="1">
        <v>84.24</v>
      </c>
      <c r="M1259" s="1" t="str">
        <f t="shared" si="38"/>
        <v>Online</v>
      </c>
      <c r="N1259" s="1">
        <f t="shared" si="39"/>
        <v>405</v>
      </c>
    </row>
    <row r="1260" spans="1:14" x14ac:dyDescent="0.3">
      <c r="A1260" s="1" t="s">
        <v>949</v>
      </c>
      <c r="B1260" s="1" t="s">
        <v>948</v>
      </c>
      <c r="C1260" s="1" t="s">
        <v>21</v>
      </c>
      <c r="D1260" s="1" t="s">
        <v>15</v>
      </c>
      <c r="E1260" s="1" t="s">
        <v>16</v>
      </c>
      <c r="F1260" s="1" t="s">
        <v>36</v>
      </c>
      <c r="G1260" s="1" t="s">
        <v>77</v>
      </c>
      <c r="H1260" s="1" t="s">
        <v>44</v>
      </c>
      <c r="I1260" s="1">
        <v>5</v>
      </c>
      <c r="J1260" s="1">
        <v>1404</v>
      </c>
      <c r="K1260" s="1">
        <v>0.05</v>
      </c>
      <c r="L1260" s="1">
        <v>6669</v>
      </c>
      <c r="M1260" s="1" t="str">
        <f t="shared" si="38"/>
        <v>Retail Store</v>
      </c>
      <c r="N1260" s="1">
        <f t="shared" si="39"/>
        <v>405</v>
      </c>
    </row>
    <row r="1261" spans="1:14" x14ac:dyDescent="0.3">
      <c r="A1261" s="1" t="s">
        <v>950</v>
      </c>
      <c r="B1261" s="1" t="s">
        <v>948</v>
      </c>
      <c r="C1261" s="1" t="s">
        <v>21</v>
      </c>
      <c r="D1261" s="1" t="s">
        <v>15</v>
      </c>
      <c r="E1261" s="1" t="s">
        <v>16</v>
      </c>
      <c r="F1261" s="1" t="s">
        <v>29</v>
      </c>
      <c r="G1261" s="1" t="s">
        <v>51</v>
      </c>
      <c r="H1261" s="1" t="s">
        <v>44</v>
      </c>
      <c r="I1261" s="1">
        <v>3</v>
      </c>
      <c r="J1261" s="1">
        <v>40.5</v>
      </c>
      <c r="K1261" s="1">
        <v>0.03</v>
      </c>
      <c r="L1261" s="1">
        <v>117.86</v>
      </c>
      <c r="M1261" s="1" t="str">
        <f t="shared" si="38"/>
        <v>Retail Store</v>
      </c>
      <c r="N1261" s="1">
        <f t="shared" si="39"/>
        <v>405</v>
      </c>
    </row>
    <row r="1262" spans="1:14" x14ac:dyDescent="0.3">
      <c r="A1262" s="1" t="s">
        <v>939</v>
      </c>
      <c r="B1262" s="1" t="s">
        <v>940</v>
      </c>
      <c r="C1262" s="1" t="s">
        <v>14</v>
      </c>
      <c r="D1262" s="1" t="s">
        <v>15</v>
      </c>
      <c r="E1262" s="1" t="s">
        <v>16</v>
      </c>
      <c r="F1262" s="1" t="s">
        <v>23</v>
      </c>
      <c r="G1262" s="1" t="s">
        <v>103</v>
      </c>
      <c r="H1262" s="1" t="s">
        <v>31</v>
      </c>
      <c r="I1262" s="1">
        <v>5</v>
      </c>
      <c r="J1262" s="1">
        <v>10.8</v>
      </c>
      <c r="K1262" s="1">
        <v>0.15</v>
      </c>
      <c r="L1262" s="1">
        <v>45.9</v>
      </c>
      <c r="M1262" s="1" t="str">
        <f t="shared" si="38"/>
        <v>Online</v>
      </c>
      <c r="N1262" s="1">
        <f t="shared" si="39"/>
        <v>16.2</v>
      </c>
    </row>
    <row r="1263" spans="1:14" x14ac:dyDescent="0.3">
      <c r="A1263" s="1" t="s">
        <v>941</v>
      </c>
      <c r="B1263" s="1" t="s">
        <v>940</v>
      </c>
      <c r="C1263" s="1" t="s">
        <v>14</v>
      </c>
      <c r="D1263" s="1" t="s">
        <v>35</v>
      </c>
      <c r="E1263" s="1" t="s">
        <v>28</v>
      </c>
      <c r="F1263" s="1" t="s">
        <v>82</v>
      </c>
      <c r="G1263" s="1" t="s">
        <v>85</v>
      </c>
      <c r="H1263" s="1" t="s">
        <v>40</v>
      </c>
      <c r="I1263" s="1">
        <v>2</v>
      </c>
      <c r="J1263" s="1">
        <v>1652.4</v>
      </c>
      <c r="K1263" s="1">
        <v>0</v>
      </c>
      <c r="L1263" s="1">
        <v>3304.8</v>
      </c>
      <c r="M1263" s="1" t="str">
        <f t="shared" si="38"/>
        <v>Online</v>
      </c>
      <c r="N1263" s="1">
        <f t="shared" si="39"/>
        <v>16.2</v>
      </c>
    </row>
    <row r="1264" spans="1:14" x14ac:dyDescent="0.3">
      <c r="A1264" s="1" t="s">
        <v>942</v>
      </c>
      <c r="B1264" s="1" t="s">
        <v>940</v>
      </c>
      <c r="C1264" s="1" t="s">
        <v>21</v>
      </c>
      <c r="D1264" s="1" t="s">
        <v>15</v>
      </c>
      <c r="E1264" s="1" t="s">
        <v>16</v>
      </c>
      <c r="F1264" s="1" t="s">
        <v>29</v>
      </c>
      <c r="G1264" s="1" t="s">
        <v>39</v>
      </c>
      <c r="H1264" s="1" t="s">
        <v>44</v>
      </c>
      <c r="I1264" s="1">
        <v>2</v>
      </c>
      <c r="J1264" s="1">
        <v>76.319999999999993</v>
      </c>
      <c r="K1264" s="1">
        <v>0.05</v>
      </c>
      <c r="L1264" s="1">
        <v>145.01</v>
      </c>
      <c r="M1264" s="1" t="str">
        <f t="shared" si="38"/>
        <v>Retail Store</v>
      </c>
      <c r="N1264" s="1">
        <f t="shared" si="39"/>
        <v>405</v>
      </c>
    </row>
    <row r="1265" spans="1:14" x14ac:dyDescent="0.3">
      <c r="A1265" s="1" t="s">
        <v>943</v>
      </c>
      <c r="B1265" s="1" t="s">
        <v>940</v>
      </c>
      <c r="C1265" s="1" t="s">
        <v>54</v>
      </c>
      <c r="D1265" s="1" t="s">
        <v>27</v>
      </c>
      <c r="E1265" s="1" t="s">
        <v>28</v>
      </c>
      <c r="F1265" s="1" t="s">
        <v>17</v>
      </c>
      <c r="G1265" s="1" t="s">
        <v>189</v>
      </c>
      <c r="H1265" s="1" t="s">
        <v>56</v>
      </c>
      <c r="I1265" s="1">
        <v>5</v>
      </c>
      <c r="J1265" s="1">
        <v>299.52</v>
      </c>
      <c r="K1265" s="1">
        <v>0.08</v>
      </c>
      <c r="L1265" s="1">
        <v>1377.79</v>
      </c>
      <c r="M1265" s="1" t="str">
        <f t="shared" si="38"/>
        <v>Online</v>
      </c>
      <c r="N1265" s="1">
        <f t="shared" si="39"/>
        <v>267.12</v>
      </c>
    </row>
    <row r="1266" spans="1:14" x14ac:dyDescent="0.3">
      <c r="A1266" s="1" t="s">
        <v>944</v>
      </c>
      <c r="B1266" s="1" t="s">
        <v>940</v>
      </c>
      <c r="C1266" s="1" t="s">
        <v>54</v>
      </c>
      <c r="D1266" s="1" t="s">
        <v>22</v>
      </c>
      <c r="E1266" s="1" t="s">
        <v>16</v>
      </c>
      <c r="F1266" s="1" t="s">
        <v>23</v>
      </c>
      <c r="G1266" s="1" t="s">
        <v>103</v>
      </c>
      <c r="H1266" s="1" t="s">
        <v>80</v>
      </c>
      <c r="I1266" s="1">
        <v>4</v>
      </c>
      <c r="J1266" s="1">
        <v>10.8</v>
      </c>
      <c r="K1266" s="1">
        <v>0.08</v>
      </c>
      <c r="L1266" s="1">
        <v>39.74</v>
      </c>
      <c r="M1266" s="1" t="str">
        <f t="shared" si="38"/>
        <v>Marketplace</v>
      </c>
      <c r="N1266" s="1">
        <f t="shared" si="39"/>
        <v>267.12</v>
      </c>
    </row>
    <row r="1267" spans="1:14" x14ac:dyDescent="0.3">
      <c r="A1267" s="1" t="s">
        <v>945</v>
      </c>
      <c r="B1267" s="1" t="s">
        <v>940</v>
      </c>
      <c r="C1267" s="1" t="s">
        <v>14</v>
      </c>
      <c r="D1267" s="1" t="s">
        <v>22</v>
      </c>
      <c r="E1267" s="1" t="s">
        <v>16</v>
      </c>
      <c r="F1267" s="1" t="s">
        <v>82</v>
      </c>
      <c r="G1267" s="1" t="s">
        <v>83</v>
      </c>
      <c r="H1267" s="1" t="s">
        <v>31</v>
      </c>
      <c r="I1267" s="1">
        <v>2</v>
      </c>
      <c r="J1267" s="1">
        <v>3591</v>
      </c>
      <c r="K1267" s="1">
        <v>0.03</v>
      </c>
      <c r="L1267" s="1">
        <v>6966.54</v>
      </c>
      <c r="M1267" s="1" t="str">
        <f t="shared" si="38"/>
        <v>Online</v>
      </c>
      <c r="N1267" s="1">
        <f t="shared" si="39"/>
        <v>16.2</v>
      </c>
    </row>
    <row r="1268" spans="1:14" x14ac:dyDescent="0.3">
      <c r="A1268" s="1" t="s">
        <v>946</v>
      </c>
      <c r="B1268" s="1" t="s">
        <v>940</v>
      </c>
      <c r="C1268" s="1" t="s">
        <v>21</v>
      </c>
      <c r="D1268" s="1" t="s">
        <v>15</v>
      </c>
      <c r="E1268" s="1" t="s">
        <v>28</v>
      </c>
      <c r="F1268" s="1" t="s">
        <v>42</v>
      </c>
      <c r="G1268" s="1" t="s">
        <v>48</v>
      </c>
      <c r="H1268" s="1" t="s">
        <v>86</v>
      </c>
      <c r="I1268" s="1">
        <v>3</v>
      </c>
      <c r="J1268" s="1">
        <v>17.46</v>
      </c>
      <c r="K1268" s="1">
        <v>0.1</v>
      </c>
      <c r="L1268" s="1">
        <v>47.14</v>
      </c>
      <c r="M1268" s="1" t="str">
        <f t="shared" si="38"/>
        <v>Online</v>
      </c>
      <c r="N1268" s="1">
        <f t="shared" si="39"/>
        <v>405</v>
      </c>
    </row>
    <row r="1269" spans="1:14" x14ac:dyDescent="0.3">
      <c r="A1269" s="1" t="s">
        <v>933</v>
      </c>
      <c r="B1269" s="1" t="s">
        <v>934</v>
      </c>
      <c r="C1269" s="1" t="s">
        <v>21</v>
      </c>
      <c r="D1269" s="1" t="s">
        <v>15</v>
      </c>
      <c r="E1269" s="1" t="s">
        <v>28</v>
      </c>
      <c r="F1269" s="1" t="s">
        <v>29</v>
      </c>
      <c r="G1269" s="1" t="s">
        <v>39</v>
      </c>
      <c r="H1269" s="1" t="s">
        <v>44</v>
      </c>
      <c r="I1269" s="1">
        <v>6</v>
      </c>
      <c r="J1269" s="1">
        <v>73.44</v>
      </c>
      <c r="K1269" s="1">
        <v>0.1</v>
      </c>
      <c r="L1269" s="1">
        <v>396.58</v>
      </c>
      <c r="M1269" s="1" t="str">
        <f t="shared" si="38"/>
        <v>Retail Store</v>
      </c>
      <c r="N1269" s="1">
        <f t="shared" si="39"/>
        <v>405</v>
      </c>
    </row>
    <row r="1270" spans="1:14" x14ac:dyDescent="0.3">
      <c r="A1270" s="1" t="s">
        <v>935</v>
      </c>
      <c r="B1270" s="1" t="s">
        <v>934</v>
      </c>
      <c r="C1270" s="1" t="s">
        <v>47</v>
      </c>
      <c r="D1270" s="1" t="s">
        <v>27</v>
      </c>
      <c r="E1270" s="1" t="s">
        <v>16</v>
      </c>
      <c r="F1270" s="1" t="s">
        <v>82</v>
      </c>
      <c r="G1270" s="1" t="s">
        <v>83</v>
      </c>
      <c r="H1270" s="1" t="s">
        <v>49</v>
      </c>
      <c r="I1270" s="1">
        <v>2</v>
      </c>
      <c r="J1270" s="1">
        <v>3666.6</v>
      </c>
      <c r="K1270" s="1">
        <v>0.2</v>
      </c>
      <c r="L1270" s="1">
        <v>5866.56</v>
      </c>
      <c r="M1270" s="1" t="str">
        <f t="shared" si="38"/>
        <v>Retail Store</v>
      </c>
      <c r="N1270" s="1">
        <f t="shared" si="39"/>
        <v>421.2</v>
      </c>
    </row>
    <row r="1271" spans="1:14" x14ac:dyDescent="0.3">
      <c r="A1271" s="1" t="s">
        <v>936</v>
      </c>
      <c r="B1271" s="1" t="s">
        <v>934</v>
      </c>
      <c r="C1271" s="1" t="s">
        <v>47</v>
      </c>
      <c r="D1271" s="1" t="s">
        <v>15</v>
      </c>
      <c r="E1271" s="1" t="s">
        <v>28</v>
      </c>
      <c r="F1271" s="1" t="s">
        <v>29</v>
      </c>
      <c r="G1271" s="1" t="s">
        <v>55</v>
      </c>
      <c r="H1271" s="1" t="s">
        <v>78</v>
      </c>
      <c r="I1271" s="1">
        <v>2</v>
      </c>
      <c r="J1271" s="1">
        <v>35.57</v>
      </c>
      <c r="K1271" s="1">
        <v>0</v>
      </c>
      <c r="L1271" s="1">
        <v>71.14</v>
      </c>
      <c r="M1271" s="1" t="str">
        <f t="shared" si="38"/>
        <v>Retail Store</v>
      </c>
      <c r="N1271" s="1">
        <f t="shared" si="39"/>
        <v>421.2</v>
      </c>
    </row>
    <row r="1272" spans="1:14" x14ac:dyDescent="0.3">
      <c r="A1272" s="1" t="s">
        <v>937</v>
      </c>
      <c r="B1272" s="1" t="s">
        <v>934</v>
      </c>
      <c r="C1272" s="1" t="s">
        <v>47</v>
      </c>
      <c r="D1272" s="1" t="s">
        <v>27</v>
      </c>
      <c r="E1272" s="1" t="s">
        <v>16</v>
      </c>
      <c r="F1272" s="1" t="s">
        <v>36</v>
      </c>
      <c r="G1272" s="1" t="s">
        <v>77</v>
      </c>
      <c r="H1272" s="1" t="s">
        <v>78</v>
      </c>
      <c r="I1272" s="1">
        <v>2</v>
      </c>
      <c r="J1272" s="1">
        <v>1377</v>
      </c>
      <c r="K1272" s="1">
        <v>0</v>
      </c>
      <c r="L1272" s="1">
        <v>2754</v>
      </c>
      <c r="M1272" s="1" t="str">
        <f t="shared" si="38"/>
        <v>Retail Store</v>
      </c>
      <c r="N1272" s="1">
        <f t="shared" si="39"/>
        <v>421.2</v>
      </c>
    </row>
    <row r="1273" spans="1:14" x14ac:dyDescent="0.3">
      <c r="A1273" s="1" t="s">
        <v>938</v>
      </c>
      <c r="B1273" s="1" t="s">
        <v>934</v>
      </c>
      <c r="C1273" s="1" t="s">
        <v>21</v>
      </c>
      <c r="D1273" s="1" t="s">
        <v>27</v>
      </c>
      <c r="E1273" s="1" t="s">
        <v>16</v>
      </c>
      <c r="F1273" s="1" t="s">
        <v>17</v>
      </c>
      <c r="G1273" s="1" t="s">
        <v>18</v>
      </c>
      <c r="H1273" s="1" t="s">
        <v>44</v>
      </c>
      <c r="I1273" s="1">
        <v>6</v>
      </c>
      <c r="J1273" s="1">
        <v>85.86</v>
      </c>
      <c r="K1273" s="1">
        <v>0.2</v>
      </c>
      <c r="L1273" s="1">
        <v>412.13</v>
      </c>
      <c r="M1273" s="1" t="str">
        <f t="shared" si="38"/>
        <v>Retail Store</v>
      </c>
      <c r="N1273" s="1">
        <f t="shared" si="39"/>
        <v>405</v>
      </c>
    </row>
    <row r="1274" spans="1:14" x14ac:dyDescent="0.3">
      <c r="A1274" s="1" t="s">
        <v>929</v>
      </c>
      <c r="B1274" s="1" t="s">
        <v>930</v>
      </c>
      <c r="C1274" s="1" t="s">
        <v>61</v>
      </c>
      <c r="D1274" s="1" t="s">
        <v>27</v>
      </c>
      <c r="E1274" s="1" t="s">
        <v>16</v>
      </c>
      <c r="F1274" s="1" t="s">
        <v>17</v>
      </c>
      <c r="G1274" s="1" t="s">
        <v>189</v>
      </c>
      <c r="H1274" s="1" t="s">
        <v>63</v>
      </c>
      <c r="I1274" s="1">
        <v>4</v>
      </c>
      <c r="J1274" s="1">
        <v>305.27999999999997</v>
      </c>
      <c r="K1274" s="1">
        <v>0.03</v>
      </c>
      <c r="L1274" s="1">
        <v>1184.49</v>
      </c>
      <c r="M1274" s="1" t="str">
        <f t="shared" si="38"/>
        <v>Retail Store</v>
      </c>
      <c r="N1274" s="1">
        <f t="shared" si="39"/>
        <v>62.01</v>
      </c>
    </row>
    <row r="1275" spans="1:14" x14ac:dyDescent="0.3">
      <c r="A1275" s="1" t="s">
        <v>931</v>
      </c>
      <c r="B1275" s="1" t="s">
        <v>930</v>
      </c>
      <c r="C1275" s="1" t="s">
        <v>14</v>
      </c>
      <c r="D1275" s="1" t="s">
        <v>15</v>
      </c>
      <c r="E1275" s="1" t="s">
        <v>16</v>
      </c>
      <c r="F1275" s="1" t="s">
        <v>17</v>
      </c>
      <c r="G1275" s="1" t="s">
        <v>189</v>
      </c>
      <c r="H1275" s="1" t="s">
        <v>40</v>
      </c>
      <c r="I1275" s="1">
        <v>4</v>
      </c>
      <c r="J1275" s="1">
        <v>288</v>
      </c>
      <c r="K1275" s="1">
        <v>0</v>
      </c>
      <c r="L1275" s="1">
        <v>1152</v>
      </c>
      <c r="M1275" s="1" t="str">
        <f t="shared" si="38"/>
        <v>Online</v>
      </c>
      <c r="N1275" s="1">
        <f t="shared" si="39"/>
        <v>16.2</v>
      </c>
    </row>
    <row r="1276" spans="1:14" x14ac:dyDescent="0.3">
      <c r="A1276" s="1" t="s">
        <v>932</v>
      </c>
      <c r="B1276" s="1" t="s">
        <v>930</v>
      </c>
      <c r="C1276" s="1" t="s">
        <v>47</v>
      </c>
      <c r="D1276" s="1" t="s">
        <v>27</v>
      </c>
      <c r="E1276" s="1" t="s">
        <v>28</v>
      </c>
      <c r="F1276" s="1" t="s">
        <v>42</v>
      </c>
      <c r="G1276" s="1" t="s">
        <v>43</v>
      </c>
      <c r="H1276" s="1" t="s">
        <v>58</v>
      </c>
      <c r="I1276" s="1">
        <v>6</v>
      </c>
      <c r="J1276" s="1">
        <v>168.48</v>
      </c>
      <c r="K1276" s="1">
        <v>0</v>
      </c>
      <c r="L1276" s="1">
        <v>1010.88</v>
      </c>
      <c r="M1276" s="1" t="str">
        <f t="shared" si="38"/>
        <v>Corporate Sales</v>
      </c>
      <c r="N1276" s="1">
        <f t="shared" si="39"/>
        <v>421.2</v>
      </c>
    </row>
    <row r="1277" spans="1:14" x14ac:dyDescent="0.3">
      <c r="A1277" s="1" t="s">
        <v>925</v>
      </c>
      <c r="B1277" s="1" t="s">
        <v>926</v>
      </c>
      <c r="C1277" s="1" t="s">
        <v>21</v>
      </c>
      <c r="D1277" s="1" t="s">
        <v>15</v>
      </c>
      <c r="E1277" s="1" t="s">
        <v>28</v>
      </c>
      <c r="F1277" s="1" t="s">
        <v>29</v>
      </c>
      <c r="G1277" s="1" t="s">
        <v>30</v>
      </c>
      <c r="H1277" s="1" t="s">
        <v>25</v>
      </c>
      <c r="I1277" s="1">
        <v>3</v>
      </c>
      <c r="J1277" s="1">
        <v>49.5</v>
      </c>
      <c r="K1277" s="1">
        <v>0.03</v>
      </c>
      <c r="L1277" s="1">
        <v>144.05000000000001</v>
      </c>
      <c r="M1277" s="1" t="str">
        <f t="shared" si="38"/>
        <v>Marketplace</v>
      </c>
      <c r="N1277" s="1">
        <f t="shared" si="39"/>
        <v>405</v>
      </c>
    </row>
    <row r="1278" spans="1:14" x14ac:dyDescent="0.3">
      <c r="A1278" s="1" t="s">
        <v>927</v>
      </c>
      <c r="B1278" s="1" t="s">
        <v>926</v>
      </c>
      <c r="C1278" s="1" t="s">
        <v>61</v>
      </c>
      <c r="D1278" s="1" t="s">
        <v>15</v>
      </c>
      <c r="E1278" s="1" t="s">
        <v>16</v>
      </c>
      <c r="F1278" s="1" t="s">
        <v>29</v>
      </c>
      <c r="G1278" s="1" t="s">
        <v>51</v>
      </c>
      <c r="H1278" s="1" t="s">
        <v>63</v>
      </c>
      <c r="I1278" s="1">
        <v>9</v>
      </c>
      <c r="J1278" s="1">
        <v>40.5</v>
      </c>
      <c r="K1278" s="1">
        <v>0.03</v>
      </c>
      <c r="L1278" s="1">
        <v>353.57</v>
      </c>
      <c r="M1278" s="1" t="str">
        <f t="shared" si="38"/>
        <v>Retail Store</v>
      </c>
      <c r="N1278" s="1">
        <f t="shared" si="39"/>
        <v>62.01</v>
      </c>
    </row>
    <row r="1279" spans="1:14" x14ac:dyDescent="0.3">
      <c r="A1279" s="1" t="s">
        <v>928</v>
      </c>
      <c r="B1279" s="1" t="s">
        <v>926</v>
      </c>
      <c r="C1279" s="1" t="s">
        <v>14</v>
      </c>
      <c r="D1279" s="1" t="s">
        <v>27</v>
      </c>
      <c r="E1279" s="1" t="s">
        <v>16</v>
      </c>
      <c r="F1279" s="1" t="s">
        <v>29</v>
      </c>
      <c r="G1279" s="1" t="s">
        <v>55</v>
      </c>
      <c r="H1279" s="1" t="s">
        <v>19</v>
      </c>
      <c r="I1279" s="1">
        <v>2</v>
      </c>
      <c r="J1279" s="1">
        <v>36.25</v>
      </c>
      <c r="K1279" s="1">
        <v>0.03</v>
      </c>
      <c r="L1279" s="1">
        <v>70.33</v>
      </c>
      <c r="M1279" s="1" t="str">
        <f t="shared" si="38"/>
        <v>Retail Store</v>
      </c>
      <c r="N1279" s="1">
        <f t="shared" si="39"/>
        <v>16.2</v>
      </c>
    </row>
    <row r="1280" spans="1:14" x14ac:dyDescent="0.3">
      <c r="A1280" s="1" t="s">
        <v>917</v>
      </c>
      <c r="B1280" s="1" t="s">
        <v>918</v>
      </c>
      <c r="C1280" s="1" t="s">
        <v>54</v>
      </c>
      <c r="D1280" s="1" t="s">
        <v>15</v>
      </c>
      <c r="E1280" s="1" t="s">
        <v>16</v>
      </c>
      <c r="F1280" s="1" t="s">
        <v>42</v>
      </c>
      <c r="G1280" s="1" t="s">
        <v>48</v>
      </c>
      <c r="H1280" s="1" t="s">
        <v>80</v>
      </c>
      <c r="I1280" s="1">
        <v>5</v>
      </c>
      <c r="J1280" s="1">
        <v>18.36</v>
      </c>
      <c r="K1280" s="1">
        <v>0.05</v>
      </c>
      <c r="L1280" s="1">
        <v>87.21</v>
      </c>
      <c r="M1280" s="1" t="str">
        <f t="shared" si="38"/>
        <v>Marketplace</v>
      </c>
      <c r="N1280" s="1">
        <f t="shared" si="39"/>
        <v>267.12</v>
      </c>
    </row>
    <row r="1281" spans="1:14" x14ac:dyDescent="0.3">
      <c r="A1281" s="1" t="s">
        <v>919</v>
      </c>
      <c r="B1281" s="1" t="s">
        <v>918</v>
      </c>
      <c r="C1281" s="1" t="s">
        <v>21</v>
      </c>
      <c r="D1281" s="1" t="s">
        <v>15</v>
      </c>
      <c r="E1281" s="1" t="s">
        <v>16</v>
      </c>
      <c r="F1281" s="1" t="s">
        <v>29</v>
      </c>
      <c r="G1281" s="1" t="s">
        <v>51</v>
      </c>
      <c r="H1281" s="1" t="s">
        <v>25</v>
      </c>
      <c r="I1281" s="1">
        <v>6</v>
      </c>
      <c r="J1281" s="1">
        <v>41.31</v>
      </c>
      <c r="K1281" s="1">
        <v>0.1</v>
      </c>
      <c r="L1281" s="1">
        <v>223.07</v>
      </c>
      <c r="M1281" s="1" t="str">
        <f t="shared" si="38"/>
        <v>Marketplace</v>
      </c>
      <c r="N1281" s="1">
        <f t="shared" si="39"/>
        <v>405</v>
      </c>
    </row>
    <row r="1282" spans="1:14" x14ac:dyDescent="0.3">
      <c r="A1282" s="1" t="s">
        <v>920</v>
      </c>
      <c r="B1282" s="1" t="s">
        <v>918</v>
      </c>
      <c r="C1282" s="1" t="s">
        <v>21</v>
      </c>
      <c r="D1282" s="1" t="s">
        <v>15</v>
      </c>
      <c r="E1282" s="1" t="s">
        <v>16</v>
      </c>
      <c r="F1282" s="1" t="s">
        <v>42</v>
      </c>
      <c r="G1282" s="1" t="s">
        <v>65</v>
      </c>
      <c r="H1282" s="1" t="s">
        <v>86</v>
      </c>
      <c r="I1282" s="1">
        <v>4</v>
      </c>
      <c r="J1282" s="1">
        <v>675</v>
      </c>
      <c r="K1282" s="1">
        <v>0.05</v>
      </c>
      <c r="L1282" s="1">
        <v>2565</v>
      </c>
      <c r="M1282" s="1" t="str">
        <f t="shared" ref="M1282:M1345" si="40">INDEX(D:D,MATCH(H1282,H:H,0))</f>
        <v>Online</v>
      </c>
      <c r="N1282" s="1">
        <f t="shared" ref="N1282:N1345" si="41">VLOOKUP(C:C,C:J,8,FALSE)</f>
        <v>405</v>
      </c>
    </row>
    <row r="1283" spans="1:14" x14ac:dyDescent="0.3">
      <c r="A1283" s="1" t="s">
        <v>921</v>
      </c>
      <c r="B1283" s="1" t="s">
        <v>918</v>
      </c>
      <c r="C1283" s="1" t="s">
        <v>61</v>
      </c>
      <c r="D1283" s="1" t="s">
        <v>15</v>
      </c>
      <c r="E1283" s="1" t="s">
        <v>28</v>
      </c>
      <c r="F1283" s="1" t="s">
        <v>36</v>
      </c>
      <c r="G1283" s="1" t="s">
        <v>37</v>
      </c>
      <c r="H1283" s="1" t="s">
        <v>112</v>
      </c>
      <c r="I1283" s="1">
        <v>4</v>
      </c>
      <c r="J1283" s="1">
        <v>795.6</v>
      </c>
      <c r="K1283" s="1">
        <v>0.03</v>
      </c>
      <c r="L1283" s="1">
        <v>3086.93</v>
      </c>
      <c r="M1283" s="1" t="str">
        <f t="shared" si="40"/>
        <v>Online</v>
      </c>
      <c r="N1283" s="1">
        <f t="shared" si="41"/>
        <v>62.01</v>
      </c>
    </row>
    <row r="1284" spans="1:14" x14ac:dyDescent="0.3">
      <c r="A1284" s="1" t="s">
        <v>922</v>
      </c>
      <c r="B1284" s="1" t="s">
        <v>918</v>
      </c>
      <c r="C1284" s="1" t="s">
        <v>47</v>
      </c>
      <c r="D1284" s="1" t="s">
        <v>15</v>
      </c>
      <c r="E1284" s="1" t="s">
        <v>28</v>
      </c>
      <c r="F1284" s="1" t="s">
        <v>42</v>
      </c>
      <c r="G1284" s="1" t="s">
        <v>48</v>
      </c>
      <c r="H1284" s="1" t="s">
        <v>49</v>
      </c>
      <c r="I1284" s="1">
        <v>3</v>
      </c>
      <c r="J1284" s="1">
        <v>18.72</v>
      </c>
      <c r="K1284" s="1">
        <v>0.05</v>
      </c>
      <c r="L1284" s="1">
        <v>53.35</v>
      </c>
      <c r="M1284" s="1" t="str">
        <f t="shared" si="40"/>
        <v>Retail Store</v>
      </c>
      <c r="N1284" s="1">
        <f t="shared" si="41"/>
        <v>421.2</v>
      </c>
    </row>
    <row r="1285" spans="1:14" x14ac:dyDescent="0.3">
      <c r="A1285" s="1" t="s">
        <v>923</v>
      </c>
      <c r="B1285" s="1" t="s">
        <v>918</v>
      </c>
      <c r="C1285" s="1" t="s">
        <v>61</v>
      </c>
      <c r="D1285" s="1" t="s">
        <v>35</v>
      </c>
      <c r="E1285" s="1" t="s">
        <v>16</v>
      </c>
      <c r="F1285" s="1" t="s">
        <v>36</v>
      </c>
      <c r="G1285" s="1" t="s">
        <v>70</v>
      </c>
      <c r="H1285" s="1" t="s">
        <v>63</v>
      </c>
      <c r="I1285" s="1">
        <v>3</v>
      </c>
      <c r="J1285" s="1">
        <v>553.32000000000005</v>
      </c>
      <c r="K1285" s="1">
        <v>0</v>
      </c>
      <c r="L1285" s="1">
        <v>1659.96</v>
      </c>
      <c r="M1285" s="1" t="str">
        <f t="shared" si="40"/>
        <v>Retail Store</v>
      </c>
      <c r="N1285" s="1">
        <f t="shared" si="41"/>
        <v>62.01</v>
      </c>
    </row>
    <row r="1286" spans="1:14" x14ac:dyDescent="0.3">
      <c r="A1286" s="1" t="s">
        <v>924</v>
      </c>
      <c r="B1286" s="1" t="s">
        <v>918</v>
      </c>
      <c r="C1286" s="1" t="s">
        <v>47</v>
      </c>
      <c r="D1286" s="1" t="s">
        <v>35</v>
      </c>
      <c r="E1286" s="1" t="s">
        <v>16</v>
      </c>
      <c r="F1286" s="1" t="s">
        <v>29</v>
      </c>
      <c r="G1286" s="1" t="s">
        <v>39</v>
      </c>
      <c r="H1286" s="1" t="s">
        <v>58</v>
      </c>
      <c r="I1286" s="1">
        <v>6</v>
      </c>
      <c r="J1286" s="1">
        <v>69.84</v>
      </c>
      <c r="K1286" s="1">
        <v>0.05</v>
      </c>
      <c r="L1286" s="1">
        <v>398.09</v>
      </c>
      <c r="M1286" s="1" t="str">
        <f t="shared" si="40"/>
        <v>Corporate Sales</v>
      </c>
      <c r="N1286" s="1">
        <f t="shared" si="41"/>
        <v>421.2</v>
      </c>
    </row>
    <row r="1287" spans="1:14" x14ac:dyDescent="0.3">
      <c r="A1287" s="1" t="s">
        <v>913</v>
      </c>
      <c r="B1287" s="1" t="s">
        <v>914</v>
      </c>
      <c r="C1287" s="1" t="s">
        <v>47</v>
      </c>
      <c r="D1287" s="1" t="s">
        <v>35</v>
      </c>
      <c r="E1287" s="1" t="s">
        <v>28</v>
      </c>
      <c r="F1287" s="1" t="s">
        <v>82</v>
      </c>
      <c r="G1287" s="1" t="s">
        <v>83</v>
      </c>
      <c r="H1287" s="1" t="s">
        <v>58</v>
      </c>
      <c r="I1287" s="1">
        <v>2</v>
      </c>
      <c r="J1287" s="1">
        <v>3666.6</v>
      </c>
      <c r="K1287" s="1">
        <v>0.05</v>
      </c>
      <c r="L1287" s="1">
        <v>6966.54</v>
      </c>
      <c r="M1287" s="1" t="str">
        <f t="shared" si="40"/>
        <v>Corporate Sales</v>
      </c>
      <c r="N1287" s="1">
        <f t="shared" si="41"/>
        <v>421.2</v>
      </c>
    </row>
    <row r="1288" spans="1:14" x14ac:dyDescent="0.3">
      <c r="A1288" s="1" t="s">
        <v>915</v>
      </c>
      <c r="B1288" s="1" t="s">
        <v>914</v>
      </c>
      <c r="C1288" s="1" t="s">
        <v>61</v>
      </c>
      <c r="D1288" s="1" t="s">
        <v>22</v>
      </c>
      <c r="E1288" s="1" t="s">
        <v>16</v>
      </c>
      <c r="F1288" s="1" t="s">
        <v>29</v>
      </c>
      <c r="G1288" s="1" t="s">
        <v>88</v>
      </c>
      <c r="H1288" s="1" t="s">
        <v>73</v>
      </c>
      <c r="I1288" s="1">
        <v>2</v>
      </c>
      <c r="J1288" s="1">
        <v>59.67</v>
      </c>
      <c r="K1288" s="1">
        <v>0.08</v>
      </c>
      <c r="L1288" s="1">
        <v>109.79</v>
      </c>
      <c r="M1288" s="1" t="str">
        <f t="shared" si="40"/>
        <v>Online</v>
      </c>
      <c r="N1288" s="1">
        <f t="shared" si="41"/>
        <v>62.01</v>
      </c>
    </row>
    <row r="1289" spans="1:14" x14ac:dyDescent="0.3">
      <c r="A1289" s="1" t="s">
        <v>916</v>
      </c>
      <c r="B1289" s="1" t="s">
        <v>914</v>
      </c>
      <c r="C1289" s="1" t="s">
        <v>61</v>
      </c>
      <c r="D1289" s="1" t="s">
        <v>15</v>
      </c>
      <c r="E1289" s="1" t="s">
        <v>16</v>
      </c>
      <c r="F1289" s="1" t="s">
        <v>29</v>
      </c>
      <c r="G1289" s="1" t="s">
        <v>39</v>
      </c>
      <c r="H1289" s="1" t="s">
        <v>63</v>
      </c>
      <c r="I1289" s="1">
        <v>7</v>
      </c>
      <c r="J1289" s="1">
        <v>72</v>
      </c>
      <c r="K1289" s="1">
        <v>0.08</v>
      </c>
      <c r="L1289" s="1">
        <v>463.68</v>
      </c>
      <c r="M1289" s="1" t="str">
        <f t="shared" si="40"/>
        <v>Retail Store</v>
      </c>
      <c r="N1289" s="1">
        <f t="shared" si="41"/>
        <v>62.01</v>
      </c>
    </row>
    <row r="1290" spans="1:14" x14ac:dyDescent="0.3">
      <c r="A1290" s="1" t="s">
        <v>904</v>
      </c>
      <c r="B1290" s="1" t="s">
        <v>905</v>
      </c>
      <c r="C1290" s="1" t="s">
        <v>47</v>
      </c>
      <c r="D1290" s="1" t="s">
        <v>22</v>
      </c>
      <c r="E1290" s="1" t="s">
        <v>16</v>
      </c>
      <c r="F1290" s="1" t="s">
        <v>42</v>
      </c>
      <c r="G1290" s="1" t="s">
        <v>48</v>
      </c>
      <c r="H1290" s="1" t="s">
        <v>49</v>
      </c>
      <c r="I1290" s="1">
        <v>5</v>
      </c>
      <c r="J1290" s="1">
        <v>18</v>
      </c>
      <c r="K1290" s="1">
        <v>0</v>
      </c>
      <c r="L1290" s="1">
        <v>90</v>
      </c>
      <c r="M1290" s="1" t="str">
        <f t="shared" si="40"/>
        <v>Retail Store</v>
      </c>
      <c r="N1290" s="1">
        <f t="shared" si="41"/>
        <v>421.2</v>
      </c>
    </row>
    <row r="1291" spans="1:14" x14ac:dyDescent="0.3">
      <c r="A1291" s="1" t="s">
        <v>906</v>
      </c>
      <c r="B1291" s="1" t="s">
        <v>905</v>
      </c>
      <c r="C1291" s="1" t="s">
        <v>21</v>
      </c>
      <c r="D1291" s="1" t="s">
        <v>15</v>
      </c>
      <c r="E1291" s="1" t="s">
        <v>28</v>
      </c>
      <c r="F1291" s="1" t="s">
        <v>17</v>
      </c>
      <c r="G1291" s="1" t="s">
        <v>62</v>
      </c>
      <c r="H1291" s="1" t="s">
        <v>25</v>
      </c>
      <c r="I1291" s="1">
        <v>7</v>
      </c>
      <c r="J1291" s="1">
        <v>54</v>
      </c>
      <c r="K1291" s="1">
        <v>0</v>
      </c>
      <c r="L1291" s="1">
        <v>378</v>
      </c>
      <c r="M1291" s="1" t="str">
        <f t="shared" si="40"/>
        <v>Marketplace</v>
      </c>
      <c r="N1291" s="1">
        <f t="shared" si="41"/>
        <v>405</v>
      </c>
    </row>
    <row r="1292" spans="1:14" x14ac:dyDescent="0.3">
      <c r="A1292" s="1" t="s">
        <v>907</v>
      </c>
      <c r="B1292" s="1" t="s">
        <v>905</v>
      </c>
      <c r="C1292" s="1" t="s">
        <v>14</v>
      </c>
      <c r="D1292" s="1" t="s">
        <v>15</v>
      </c>
      <c r="E1292" s="1" t="s">
        <v>16</v>
      </c>
      <c r="F1292" s="1" t="s">
        <v>23</v>
      </c>
      <c r="G1292" s="1" t="s">
        <v>103</v>
      </c>
      <c r="H1292" s="1" t="s">
        <v>31</v>
      </c>
      <c r="I1292" s="1">
        <v>2</v>
      </c>
      <c r="J1292" s="1">
        <v>10.26</v>
      </c>
      <c r="K1292" s="1">
        <v>0</v>
      </c>
      <c r="L1292" s="1">
        <v>20.52</v>
      </c>
      <c r="M1292" s="1" t="str">
        <f t="shared" si="40"/>
        <v>Online</v>
      </c>
      <c r="N1292" s="1">
        <f t="shared" si="41"/>
        <v>16.2</v>
      </c>
    </row>
    <row r="1293" spans="1:14" x14ac:dyDescent="0.3">
      <c r="A1293" s="1" t="s">
        <v>908</v>
      </c>
      <c r="B1293" s="1" t="s">
        <v>905</v>
      </c>
      <c r="C1293" s="1" t="s">
        <v>54</v>
      </c>
      <c r="D1293" s="1" t="s">
        <v>35</v>
      </c>
      <c r="E1293" s="1" t="s">
        <v>16</v>
      </c>
      <c r="F1293" s="1" t="s">
        <v>42</v>
      </c>
      <c r="G1293" s="1" t="s">
        <v>48</v>
      </c>
      <c r="H1293" s="1" t="s">
        <v>56</v>
      </c>
      <c r="I1293" s="1">
        <v>5</v>
      </c>
      <c r="J1293" s="1">
        <v>19.079999999999998</v>
      </c>
      <c r="K1293" s="1">
        <v>0.03</v>
      </c>
      <c r="L1293" s="1">
        <v>92.54</v>
      </c>
      <c r="M1293" s="1" t="str">
        <f t="shared" si="40"/>
        <v>Online</v>
      </c>
      <c r="N1293" s="1">
        <f t="shared" si="41"/>
        <v>267.12</v>
      </c>
    </row>
    <row r="1294" spans="1:14" x14ac:dyDescent="0.3">
      <c r="A1294" s="1" t="s">
        <v>909</v>
      </c>
      <c r="B1294" s="1" t="s">
        <v>905</v>
      </c>
      <c r="C1294" s="1" t="s">
        <v>61</v>
      </c>
      <c r="D1294" s="1" t="s">
        <v>22</v>
      </c>
      <c r="E1294" s="1" t="s">
        <v>28</v>
      </c>
      <c r="F1294" s="1" t="s">
        <v>29</v>
      </c>
      <c r="G1294" s="1" t="s">
        <v>51</v>
      </c>
      <c r="H1294" s="1" t="s">
        <v>112</v>
      </c>
      <c r="I1294" s="1">
        <v>6</v>
      </c>
      <c r="J1294" s="1">
        <v>42.93</v>
      </c>
      <c r="K1294" s="1">
        <v>0.08</v>
      </c>
      <c r="L1294" s="1">
        <v>236.97</v>
      </c>
      <c r="M1294" s="1" t="str">
        <f t="shared" si="40"/>
        <v>Online</v>
      </c>
      <c r="N1294" s="1">
        <f t="shared" si="41"/>
        <v>62.01</v>
      </c>
    </row>
    <row r="1295" spans="1:14" x14ac:dyDescent="0.3">
      <c r="A1295" s="1" t="s">
        <v>910</v>
      </c>
      <c r="B1295" s="1" t="s">
        <v>905</v>
      </c>
      <c r="C1295" s="1" t="s">
        <v>54</v>
      </c>
      <c r="D1295" s="1" t="s">
        <v>27</v>
      </c>
      <c r="E1295" s="1" t="s">
        <v>16</v>
      </c>
      <c r="F1295" s="1" t="s">
        <v>29</v>
      </c>
      <c r="G1295" s="1" t="s">
        <v>30</v>
      </c>
      <c r="H1295" s="1" t="s">
        <v>80</v>
      </c>
      <c r="I1295" s="1">
        <v>3</v>
      </c>
      <c r="J1295" s="1">
        <v>50.49</v>
      </c>
      <c r="K1295" s="1">
        <v>0.03</v>
      </c>
      <c r="L1295" s="1">
        <v>146.93</v>
      </c>
      <c r="M1295" s="1" t="str">
        <f t="shared" si="40"/>
        <v>Marketplace</v>
      </c>
      <c r="N1295" s="1">
        <f t="shared" si="41"/>
        <v>267.12</v>
      </c>
    </row>
    <row r="1296" spans="1:14" x14ac:dyDescent="0.3">
      <c r="A1296" s="1" t="s">
        <v>911</v>
      </c>
      <c r="B1296" s="1" t="s">
        <v>905</v>
      </c>
      <c r="C1296" s="1" t="s">
        <v>21</v>
      </c>
      <c r="D1296" s="1" t="s">
        <v>15</v>
      </c>
      <c r="E1296" s="1" t="s">
        <v>16</v>
      </c>
      <c r="F1296" s="1" t="s">
        <v>17</v>
      </c>
      <c r="G1296" s="1" t="s">
        <v>18</v>
      </c>
      <c r="H1296" s="1" t="s">
        <v>25</v>
      </c>
      <c r="I1296" s="1">
        <v>5</v>
      </c>
      <c r="J1296" s="1">
        <v>81</v>
      </c>
      <c r="K1296" s="1">
        <v>0.1</v>
      </c>
      <c r="L1296" s="1">
        <v>364.5</v>
      </c>
      <c r="M1296" s="1" t="str">
        <f t="shared" si="40"/>
        <v>Marketplace</v>
      </c>
      <c r="N1296" s="1">
        <f t="shared" si="41"/>
        <v>405</v>
      </c>
    </row>
    <row r="1297" spans="1:14" x14ac:dyDescent="0.3">
      <c r="A1297" s="1" t="s">
        <v>912</v>
      </c>
      <c r="B1297" s="1" t="s">
        <v>905</v>
      </c>
      <c r="C1297" s="1" t="s">
        <v>61</v>
      </c>
      <c r="D1297" s="1" t="s">
        <v>15</v>
      </c>
      <c r="E1297" s="1" t="s">
        <v>28</v>
      </c>
      <c r="F1297" s="1" t="s">
        <v>23</v>
      </c>
      <c r="G1297" s="1" t="s">
        <v>142</v>
      </c>
      <c r="H1297" s="1" t="s">
        <v>63</v>
      </c>
      <c r="I1297" s="1">
        <v>3</v>
      </c>
      <c r="J1297" s="1">
        <v>16.2</v>
      </c>
      <c r="K1297" s="1">
        <v>0.03</v>
      </c>
      <c r="L1297" s="1">
        <v>47.14</v>
      </c>
      <c r="M1297" s="1" t="str">
        <f t="shared" si="40"/>
        <v>Retail Store</v>
      </c>
      <c r="N1297" s="1">
        <f t="shared" si="41"/>
        <v>62.01</v>
      </c>
    </row>
    <row r="1298" spans="1:14" x14ac:dyDescent="0.3">
      <c r="A1298" s="1" t="s">
        <v>896</v>
      </c>
      <c r="B1298" s="1" t="s">
        <v>897</v>
      </c>
      <c r="C1298" s="1" t="s">
        <v>54</v>
      </c>
      <c r="D1298" s="1" t="s">
        <v>22</v>
      </c>
      <c r="E1298" s="1" t="s">
        <v>28</v>
      </c>
      <c r="F1298" s="1" t="s">
        <v>42</v>
      </c>
      <c r="G1298" s="1" t="s">
        <v>65</v>
      </c>
      <c r="H1298" s="1" t="s">
        <v>80</v>
      </c>
      <c r="I1298" s="1">
        <v>7</v>
      </c>
      <c r="J1298" s="1">
        <v>675</v>
      </c>
      <c r="K1298" s="1">
        <v>0.05</v>
      </c>
      <c r="L1298" s="1">
        <v>4488.75</v>
      </c>
      <c r="M1298" s="1" t="str">
        <f t="shared" si="40"/>
        <v>Marketplace</v>
      </c>
      <c r="N1298" s="1">
        <f t="shared" si="41"/>
        <v>267.12</v>
      </c>
    </row>
    <row r="1299" spans="1:14" x14ac:dyDescent="0.3">
      <c r="A1299" s="1" t="s">
        <v>898</v>
      </c>
      <c r="B1299" s="1" t="s">
        <v>897</v>
      </c>
      <c r="C1299" s="1" t="s">
        <v>47</v>
      </c>
      <c r="D1299" s="1" t="s">
        <v>35</v>
      </c>
      <c r="E1299" s="1" t="s">
        <v>28</v>
      </c>
      <c r="F1299" s="1" t="s">
        <v>82</v>
      </c>
      <c r="G1299" s="1" t="s">
        <v>85</v>
      </c>
      <c r="H1299" s="1" t="s">
        <v>78</v>
      </c>
      <c r="I1299" s="1">
        <v>2</v>
      </c>
      <c r="J1299" s="1">
        <v>1620</v>
      </c>
      <c r="K1299" s="1">
        <v>0.15</v>
      </c>
      <c r="L1299" s="1">
        <v>2754</v>
      </c>
      <c r="M1299" s="1" t="str">
        <f t="shared" si="40"/>
        <v>Retail Store</v>
      </c>
      <c r="N1299" s="1">
        <f t="shared" si="41"/>
        <v>421.2</v>
      </c>
    </row>
    <row r="1300" spans="1:14" x14ac:dyDescent="0.3">
      <c r="A1300" s="1" t="s">
        <v>899</v>
      </c>
      <c r="B1300" s="1" t="s">
        <v>897</v>
      </c>
      <c r="C1300" s="1" t="s">
        <v>61</v>
      </c>
      <c r="D1300" s="1" t="s">
        <v>27</v>
      </c>
      <c r="E1300" s="1" t="s">
        <v>16</v>
      </c>
      <c r="F1300" s="1" t="s">
        <v>82</v>
      </c>
      <c r="G1300" s="1" t="s">
        <v>114</v>
      </c>
      <c r="H1300" s="1" t="s">
        <v>112</v>
      </c>
      <c r="I1300" s="1">
        <v>2</v>
      </c>
      <c r="J1300" s="1">
        <v>2182.5</v>
      </c>
      <c r="K1300" s="1">
        <v>0.2</v>
      </c>
      <c r="L1300" s="1">
        <v>3492</v>
      </c>
      <c r="M1300" s="1" t="str">
        <f t="shared" si="40"/>
        <v>Online</v>
      </c>
      <c r="N1300" s="1">
        <f t="shared" si="41"/>
        <v>62.01</v>
      </c>
    </row>
    <row r="1301" spans="1:14" x14ac:dyDescent="0.3">
      <c r="A1301" s="1" t="s">
        <v>900</v>
      </c>
      <c r="B1301" s="1" t="s">
        <v>897</v>
      </c>
      <c r="C1301" s="1" t="s">
        <v>47</v>
      </c>
      <c r="D1301" s="1" t="s">
        <v>22</v>
      </c>
      <c r="E1301" s="1" t="s">
        <v>16</v>
      </c>
      <c r="F1301" s="1" t="s">
        <v>36</v>
      </c>
      <c r="G1301" s="1" t="s">
        <v>70</v>
      </c>
      <c r="H1301" s="1" t="s">
        <v>78</v>
      </c>
      <c r="I1301" s="1">
        <v>4</v>
      </c>
      <c r="J1301" s="1">
        <v>522</v>
      </c>
      <c r="K1301" s="1">
        <v>0</v>
      </c>
      <c r="L1301" s="1">
        <v>2088</v>
      </c>
      <c r="M1301" s="1" t="str">
        <f t="shared" si="40"/>
        <v>Retail Store</v>
      </c>
      <c r="N1301" s="1">
        <f t="shared" si="41"/>
        <v>421.2</v>
      </c>
    </row>
    <row r="1302" spans="1:14" x14ac:dyDescent="0.3">
      <c r="A1302" s="1" t="s">
        <v>901</v>
      </c>
      <c r="B1302" s="1" t="s">
        <v>897</v>
      </c>
      <c r="C1302" s="1" t="s">
        <v>54</v>
      </c>
      <c r="D1302" s="1" t="s">
        <v>27</v>
      </c>
      <c r="E1302" s="1" t="s">
        <v>28</v>
      </c>
      <c r="F1302" s="1" t="s">
        <v>29</v>
      </c>
      <c r="G1302" s="1" t="s">
        <v>55</v>
      </c>
      <c r="H1302" s="1" t="s">
        <v>56</v>
      </c>
      <c r="I1302" s="1">
        <v>6</v>
      </c>
      <c r="J1302" s="1">
        <v>34.200000000000003</v>
      </c>
      <c r="K1302" s="1">
        <v>0.03</v>
      </c>
      <c r="L1302" s="1">
        <v>199.04</v>
      </c>
      <c r="M1302" s="1" t="str">
        <f t="shared" si="40"/>
        <v>Online</v>
      </c>
      <c r="N1302" s="1">
        <f t="shared" si="41"/>
        <v>267.12</v>
      </c>
    </row>
    <row r="1303" spans="1:14" x14ac:dyDescent="0.3">
      <c r="A1303" s="1" t="s">
        <v>902</v>
      </c>
      <c r="B1303" s="1" t="s">
        <v>897</v>
      </c>
      <c r="C1303" s="1" t="s">
        <v>61</v>
      </c>
      <c r="D1303" s="1" t="s">
        <v>35</v>
      </c>
      <c r="E1303" s="1" t="s">
        <v>16</v>
      </c>
      <c r="F1303" s="1" t="s">
        <v>82</v>
      </c>
      <c r="G1303" s="1" t="s">
        <v>83</v>
      </c>
      <c r="H1303" s="1" t="s">
        <v>63</v>
      </c>
      <c r="I1303" s="1">
        <v>2</v>
      </c>
      <c r="J1303" s="1">
        <v>3591</v>
      </c>
      <c r="K1303" s="1">
        <v>0.08</v>
      </c>
      <c r="L1303" s="1">
        <v>6607.44</v>
      </c>
      <c r="M1303" s="1" t="str">
        <f t="shared" si="40"/>
        <v>Retail Store</v>
      </c>
      <c r="N1303" s="1">
        <f t="shared" si="41"/>
        <v>62.01</v>
      </c>
    </row>
    <row r="1304" spans="1:14" x14ac:dyDescent="0.3">
      <c r="A1304" s="1" t="s">
        <v>903</v>
      </c>
      <c r="B1304" s="1" t="s">
        <v>897</v>
      </c>
      <c r="C1304" s="1" t="s">
        <v>47</v>
      </c>
      <c r="D1304" s="1" t="s">
        <v>22</v>
      </c>
      <c r="E1304" s="1" t="s">
        <v>16</v>
      </c>
      <c r="F1304" s="1" t="s">
        <v>29</v>
      </c>
      <c r="G1304" s="1" t="s">
        <v>39</v>
      </c>
      <c r="H1304" s="1" t="s">
        <v>78</v>
      </c>
      <c r="I1304" s="1">
        <v>7</v>
      </c>
      <c r="J1304" s="1">
        <v>72</v>
      </c>
      <c r="K1304" s="1">
        <v>0.08</v>
      </c>
      <c r="L1304" s="1">
        <v>463.68</v>
      </c>
      <c r="M1304" s="1" t="str">
        <f t="shared" si="40"/>
        <v>Retail Store</v>
      </c>
      <c r="N1304" s="1">
        <f t="shared" si="41"/>
        <v>421.2</v>
      </c>
    </row>
    <row r="1305" spans="1:14" x14ac:dyDescent="0.3">
      <c r="A1305" s="1" t="s">
        <v>888</v>
      </c>
      <c r="B1305" s="1" t="s">
        <v>889</v>
      </c>
      <c r="C1305" s="1" t="s">
        <v>21</v>
      </c>
      <c r="D1305" s="1" t="s">
        <v>35</v>
      </c>
      <c r="E1305" s="1" t="s">
        <v>28</v>
      </c>
      <c r="F1305" s="1" t="s">
        <v>42</v>
      </c>
      <c r="G1305" s="1" t="s">
        <v>48</v>
      </c>
      <c r="H1305" s="1" t="s">
        <v>44</v>
      </c>
      <c r="I1305" s="1">
        <v>7</v>
      </c>
      <c r="J1305" s="1">
        <v>18</v>
      </c>
      <c r="K1305" s="1">
        <v>0.03</v>
      </c>
      <c r="L1305" s="1">
        <v>122.22</v>
      </c>
      <c r="M1305" s="1" t="str">
        <f t="shared" si="40"/>
        <v>Retail Store</v>
      </c>
      <c r="N1305" s="1">
        <f t="shared" si="41"/>
        <v>405</v>
      </c>
    </row>
    <row r="1306" spans="1:14" x14ac:dyDescent="0.3">
      <c r="A1306" s="1" t="s">
        <v>890</v>
      </c>
      <c r="B1306" s="1" t="s">
        <v>889</v>
      </c>
      <c r="C1306" s="1" t="s">
        <v>54</v>
      </c>
      <c r="D1306" s="1" t="s">
        <v>15</v>
      </c>
      <c r="E1306" s="1" t="s">
        <v>16</v>
      </c>
      <c r="F1306" s="1" t="s">
        <v>42</v>
      </c>
      <c r="G1306" s="1" t="s">
        <v>43</v>
      </c>
      <c r="H1306" s="1" t="s">
        <v>80</v>
      </c>
      <c r="I1306" s="1">
        <v>7</v>
      </c>
      <c r="J1306" s="1">
        <v>153.9</v>
      </c>
      <c r="K1306" s="1">
        <v>0.05</v>
      </c>
      <c r="L1306" s="1">
        <v>1023.44</v>
      </c>
      <c r="M1306" s="1" t="str">
        <f t="shared" si="40"/>
        <v>Marketplace</v>
      </c>
      <c r="N1306" s="1">
        <f t="shared" si="41"/>
        <v>267.12</v>
      </c>
    </row>
    <row r="1307" spans="1:14" x14ac:dyDescent="0.3">
      <c r="A1307" s="1" t="s">
        <v>891</v>
      </c>
      <c r="B1307" s="1" t="s">
        <v>889</v>
      </c>
      <c r="C1307" s="1" t="s">
        <v>21</v>
      </c>
      <c r="D1307" s="1" t="s">
        <v>15</v>
      </c>
      <c r="E1307" s="1" t="s">
        <v>16</v>
      </c>
      <c r="F1307" s="1" t="s">
        <v>29</v>
      </c>
      <c r="G1307" s="1" t="s">
        <v>88</v>
      </c>
      <c r="H1307" s="1" t="s">
        <v>44</v>
      </c>
      <c r="I1307" s="1">
        <v>5</v>
      </c>
      <c r="J1307" s="1">
        <v>58.5</v>
      </c>
      <c r="K1307" s="1">
        <v>0.05</v>
      </c>
      <c r="L1307" s="1">
        <v>277.88</v>
      </c>
      <c r="M1307" s="1" t="str">
        <f t="shared" si="40"/>
        <v>Retail Store</v>
      </c>
      <c r="N1307" s="1">
        <f t="shared" si="41"/>
        <v>405</v>
      </c>
    </row>
    <row r="1308" spans="1:14" x14ac:dyDescent="0.3">
      <c r="A1308" s="1" t="s">
        <v>892</v>
      </c>
      <c r="B1308" s="1" t="s">
        <v>889</v>
      </c>
      <c r="C1308" s="1" t="s">
        <v>61</v>
      </c>
      <c r="D1308" s="1" t="s">
        <v>27</v>
      </c>
      <c r="E1308" s="1" t="s">
        <v>28</v>
      </c>
      <c r="F1308" s="1" t="s">
        <v>42</v>
      </c>
      <c r="G1308" s="1" t="s">
        <v>43</v>
      </c>
      <c r="H1308" s="1" t="s">
        <v>73</v>
      </c>
      <c r="I1308" s="1">
        <v>2</v>
      </c>
      <c r="J1308" s="1">
        <v>157.13999999999999</v>
      </c>
      <c r="K1308" s="1">
        <v>0.05</v>
      </c>
      <c r="L1308" s="1">
        <v>298.57</v>
      </c>
      <c r="M1308" s="1" t="str">
        <f t="shared" si="40"/>
        <v>Online</v>
      </c>
      <c r="N1308" s="1">
        <f t="shared" si="41"/>
        <v>62.01</v>
      </c>
    </row>
    <row r="1309" spans="1:14" x14ac:dyDescent="0.3">
      <c r="A1309" s="1" t="s">
        <v>893</v>
      </c>
      <c r="B1309" s="1" t="s">
        <v>889</v>
      </c>
      <c r="C1309" s="1" t="s">
        <v>61</v>
      </c>
      <c r="D1309" s="1" t="s">
        <v>15</v>
      </c>
      <c r="E1309" s="1" t="s">
        <v>28</v>
      </c>
      <c r="F1309" s="1" t="s">
        <v>82</v>
      </c>
      <c r="G1309" s="1" t="s">
        <v>114</v>
      </c>
      <c r="H1309" s="1" t="s">
        <v>112</v>
      </c>
      <c r="I1309" s="1">
        <v>2</v>
      </c>
      <c r="J1309" s="1">
        <v>2340</v>
      </c>
      <c r="K1309" s="1">
        <v>0</v>
      </c>
      <c r="L1309" s="1">
        <v>4680</v>
      </c>
      <c r="M1309" s="1" t="str">
        <f t="shared" si="40"/>
        <v>Online</v>
      </c>
      <c r="N1309" s="1">
        <f t="shared" si="41"/>
        <v>62.01</v>
      </c>
    </row>
    <row r="1310" spans="1:14" x14ac:dyDescent="0.3">
      <c r="A1310" s="1" t="s">
        <v>894</v>
      </c>
      <c r="B1310" s="1" t="s">
        <v>889</v>
      </c>
      <c r="C1310" s="1" t="s">
        <v>61</v>
      </c>
      <c r="D1310" s="1" t="s">
        <v>35</v>
      </c>
      <c r="E1310" s="1" t="s">
        <v>28</v>
      </c>
      <c r="F1310" s="1" t="s">
        <v>82</v>
      </c>
      <c r="G1310" s="1" t="s">
        <v>85</v>
      </c>
      <c r="H1310" s="1" t="s">
        <v>63</v>
      </c>
      <c r="I1310" s="1">
        <v>2</v>
      </c>
      <c r="J1310" s="1">
        <v>1571.4</v>
      </c>
      <c r="K1310" s="1">
        <v>0.15</v>
      </c>
      <c r="L1310" s="1">
        <v>2671.38</v>
      </c>
      <c r="M1310" s="1" t="str">
        <f t="shared" si="40"/>
        <v>Retail Store</v>
      </c>
      <c r="N1310" s="1">
        <f t="shared" si="41"/>
        <v>62.01</v>
      </c>
    </row>
    <row r="1311" spans="1:14" x14ac:dyDescent="0.3">
      <c r="A1311" s="1" t="s">
        <v>895</v>
      </c>
      <c r="B1311" s="1" t="s">
        <v>889</v>
      </c>
      <c r="C1311" s="1" t="s">
        <v>21</v>
      </c>
      <c r="D1311" s="1" t="s">
        <v>15</v>
      </c>
      <c r="E1311" s="1" t="s">
        <v>16</v>
      </c>
      <c r="F1311" s="1" t="s">
        <v>17</v>
      </c>
      <c r="G1311" s="1" t="s">
        <v>62</v>
      </c>
      <c r="H1311" s="1" t="s">
        <v>86</v>
      </c>
      <c r="I1311" s="1">
        <v>6</v>
      </c>
      <c r="J1311" s="1">
        <v>55.08</v>
      </c>
      <c r="K1311" s="1">
        <v>0.1</v>
      </c>
      <c r="L1311" s="1">
        <v>297.43</v>
      </c>
      <c r="M1311" s="1" t="str">
        <f t="shared" si="40"/>
        <v>Online</v>
      </c>
      <c r="N1311" s="1">
        <f t="shared" si="41"/>
        <v>405</v>
      </c>
    </row>
    <row r="1312" spans="1:14" x14ac:dyDescent="0.3">
      <c r="A1312" s="1" t="s">
        <v>883</v>
      </c>
      <c r="B1312" s="1" t="s">
        <v>884</v>
      </c>
      <c r="C1312" s="1" t="s">
        <v>21</v>
      </c>
      <c r="D1312" s="1" t="s">
        <v>15</v>
      </c>
      <c r="E1312" s="1" t="s">
        <v>16</v>
      </c>
      <c r="F1312" s="1" t="s">
        <v>29</v>
      </c>
      <c r="G1312" s="1" t="s">
        <v>30</v>
      </c>
      <c r="H1312" s="1" t="s">
        <v>44</v>
      </c>
      <c r="I1312" s="1">
        <v>4</v>
      </c>
      <c r="J1312" s="1">
        <v>52.47</v>
      </c>
      <c r="K1312" s="1">
        <v>0.2</v>
      </c>
      <c r="L1312" s="1">
        <v>167.9</v>
      </c>
      <c r="M1312" s="1" t="str">
        <f t="shared" si="40"/>
        <v>Retail Store</v>
      </c>
      <c r="N1312" s="1">
        <f t="shared" si="41"/>
        <v>405</v>
      </c>
    </row>
    <row r="1313" spans="1:14" x14ac:dyDescent="0.3">
      <c r="A1313" s="1" t="s">
        <v>885</v>
      </c>
      <c r="B1313" s="1" t="s">
        <v>884</v>
      </c>
      <c r="C1313" s="1" t="s">
        <v>54</v>
      </c>
      <c r="D1313" s="1" t="s">
        <v>15</v>
      </c>
      <c r="E1313" s="1" t="s">
        <v>16</v>
      </c>
      <c r="F1313" s="1" t="s">
        <v>29</v>
      </c>
      <c r="G1313" s="1" t="s">
        <v>39</v>
      </c>
      <c r="H1313" s="1" t="s">
        <v>71</v>
      </c>
      <c r="I1313" s="1">
        <v>4</v>
      </c>
      <c r="J1313" s="1">
        <v>76.319999999999993</v>
      </c>
      <c r="K1313" s="1">
        <v>0</v>
      </c>
      <c r="L1313" s="1">
        <v>305.27999999999997</v>
      </c>
      <c r="M1313" s="1" t="str">
        <f t="shared" si="40"/>
        <v>Online</v>
      </c>
      <c r="N1313" s="1">
        <f t="shared" si="41"/>
        <v>267.12</v>
      </c>
    </row>
    <row r="1314" spans="1:14" x14ac:dyDescent="0.3">
      <c r="A1314" s="1" t="s">
        <v>886</v>
      </c>
      <c r="B1314" s="1" t="s">
        <v>884</v>
      </c>
      <c r="C1314" s="1" t="s">
        <v>14</v>
      </c>
      <c r="D1314" s="1" t="s">
        <v>27</v>
      </c>
      <c r="E1314" s="1" t="s">
        <v>16</v>
      </c>
      <c r="F1314" s="1" t="s">
        <v>17</v>
      </c>
      <c r="G1314" s="1" t="s">
        <v>18</v>
      </c>
      <c r="H1314" s="1" t="s">
        <v>31</v>
      </c>
      <c r="I1314" s="1">
        <v>3</v>
      </c>
      <c r="J1314" s="1">
        <v>81</v>
      </c>
      <c r="K1314" s="1">
        <v>0.03</v>
      </c>
      <c r="L1314" s="1">
        <v>235.71</v>
      </c>
      <c r="M1314" s="1" t="str">
        <f t="shared" si="40"/>
        <v>Online</v>
      </c>
      <c r="N1314" s="1">
        <f t="shared" si="41"/>
        <v>16.2</v>
      </c>
    </row>
    <row r="1315" spans="1:14" x14ac:dyDescent="0.3">
      <c r="A1315" s="1" t="s">
        <v>887</v>
      </c>
      <c r="B1315" s="1" t="s">
        <v>884</v>
      </c>
      <c r="C1315" s="1" t="s">
        <v>14</v>
      </c>
      <c r="D1315" s="1" t="s">
        <v>15</v>
      </c>
      <c r="E1315" s="1" t="s">
        <v>28</v>
      </c>
      <c r="F1315" s="1" t="s">
        <v>36</v>
      </c>
      <c r="G1315" s="1" t="s">
        <v>37</v>
      </c>
      <c r="H1315" s="1" t="s">
        <v>40</v>
      </c>
      <c r="I1315" s="1">
        <v>2</v>
      </c>
      <c r="J1315" s="1">
        <v>765</v>
      </c>
      <c r="K1315" s="1">
        <v>0.03</v>
      </c>
      <c r="L1315" s="1">
        <v>1484.1</v>
      </c>
      <c r="M1315" s="1" t="str">
        <f t="shared" si="40"/>
        <v>Online</v>
      </c>
      <c r="N1315" s="1">
        <f t="shared" si="41"/>
        <v>16.2</v>
      </c>
    </row>
    <row r="1316" spans="1:14" x14ac:dyDescent="0.3">
      <c r="A1316" s="1" t="s">
        <v>877</v>
      </c>
      <c r="B1316" s="1" t="s">
        <v>878</v>
      </c>
      <c r="C1316" s="1" t="s">
        <v>14</v>
      </c>
      <c r="D1316" s="1" t="s">
        <v>27</v>
      </c>
      <c r="E1316" s="1" t="s">
        <v>28</v>
      </c>
      <c r="F1316" s="1" t="s">
        <v>29</v>
      </c>
      <c r="G1316" s="1" t="s">
        <v>88</v>
      </c>
      <c r="H1316" s="1" t="s">
        <v>31</v>
      </c>
      <c r="I1316" s="1">
        <v>2</v>
      </c>
      <c r="J1316" s="1">
        <v>56.75</v>
      </c>
      <c r="K1316" s="1">
        <v>0</v>
      </c>
      <c r="L1316" s="1">
        <v>113.49</v>
      </c>
      <c r="M1316" s="1" t="str">
        <f t="shared" si="40"/>
        <v>Online</v>
      </c>
      <c r="N1316" s="1">
        <f t="shared" si="41"/>
        <v>16.2</v>
      </c>
    </row>
    <row r="1317" spans="1:14" x14ac:dyDescent="0.3">
      <c r="A1317" s="1" t="s">
        <v>879</v>
      </c>
      <c r="B1317" s="1" t="s">
        <v>878</v>
      </c>
      <c r="C1317" s="1" t="s">
        <v>54</v>
      </c>
      <c r="D1317" s="1" t="s">
        <v>22</v>
      </c>
      <c r="E1317" s="1" t="s">
        <v>28</v>
      </c>
      <c r="F1317" s="1" t="s">
        <v>23</v>
      </c>
      <c r="G1317" s="1" t="s">
        <v>116</v>
      </c>
      <c r="H1317" s="1" t="s">
        <v>71</v>
      </c>
      <c r="I1317" s="1">
        <v>5</v>
      </c>
      <c r="J1317" s="1">
        <v>7.2</v>
      </c>
      <c r="K1317" s="1">
        <v>0.08</v>
      </c>
      <c r="L1317" s="1">
        <v>33.119999999999997</v>
      </c>
      <c r="M1317" s="1" t="str">
        <f t="shared" si="40"/>
        <v>Online</v>
      </c>
      <c r="N1317" s="1">
        <f t="shared" si="41"/>
        <v>267.12</v>
      </c>
    </row>
    <row r="1318" spans="1:14" x14ac:dyDescent="0.3">
      <c r="A1318" s="1" t="s">
        <v>880</v>
      </c>
      <c r="B1318" s="1" t="s">
        <v>878</v>
      </c>
      <c r="C1318" s="1" t="s">
        <v>47</v>
      </c>
      <c r="D1318" s="1" t="s">
        <v>27</v>
      </c>
      <c r="E1318" s="1" t="s">
        <v>16</v>
      </c>
      <c r="F1318" s="1" t="s">
        <v>82</v>
      </c>
      <c r="G1318" s="1" t="s">
        <v>83</v>
      </c>
      <c r="H1318" s="1" t="s">
        <v>49</v>
      </c>
      <c r="I1318" s="1">
        <v>2</v>
      </c>
      <c r="J1318" s="1">
        <v>3591</v>
      </c>
      <c r="K1318" s="1">
        <v>0.05</v>
      </c>
      <c r="L1318" s="1">
        <v>6822.9</v>
      </c>
      <c r="M1318" s="1" t="str">
        <f t="shared" si="40"/>
        <v>Retail Store</v>
      </c>
      <c r="N1318" s="1">
        <f t="shared" si="41"/>
        <v>421.2</v>
      </c>
    </row>
    <row r="1319" spans="1:14" x14ac:dyDescent="0.3">
      <c r="A1319" s="1" t="s">
        <v>881</v>
      </c>
      <c r="B1319" s="1" t="s">
        <v>878</v>
      </c>
      <c r="C1319" s="1" t="s">
        <v>14</v>
      </c>
      <c r="D1319" s="1" t="s">
        <v>22</v>
      </c>
      <c r="E1319" s="1" t="s">
        <v>16</v>
      </c>
      <c r="F1319" s="1" t="s">
        <v>17</v>
      </c>
      <c r="G1319" s="1" t="s">
        <v>98</v>
      </c>
      <c r="H1319" s="1" t="s">
        <v>19</v>
      </c>
      <c r="I1319" s="1">
        <v>6</v>
      </c>
      <c r="J1319" s="1">
        <v>384.75</v>
      </c>
      <c r="K1319" s="1">
        <v>0</v>
      </c>
      <c r="L1319" s="1">
        <v>2308.5</v>
      </c>
      <c r="M1319" s="1" t="str">
        <f t="shared" si="40"/>
        <v>Retail Store</v>
      </c>
      <c r="N1319" s="1">
        <f t="shared" si="41"/>
        <v>16.2</v>
      </c>
    </row>
    <row r="1320" spans="1:14" x14ac:dyDescent="0.3">
      <c r="A1320" s="1" t="s">
        <v>882</v>
      </c>
      <c r="B1320" s="1" t="s">
        <v>878</v>
      </c>
      <c r="C1320" s="1" t="s">
        <v>14</v>
      </c>
      <c r="D1320" s="1" t="s">
        <v>27</v>
      </c>
      <c r="E1320" s="1" t="s">
        <v>28</v>
      </c>
      <c r="F1320" s="1" t="s">
        <v>29</v>
      </c>
      <c r="G1320" s="1" t="s">
        <v>30</v>
      </c>
      <c r="H1320" s="1" t="s">
        <v>19</v>
      </c>
      <c r="I1320" s="1">
        <v>5</v>
      </c>
      <c r="J1320" s="1">
        <v>48.02</v>
      </c>
      <c r="K1320" s="1">
        <v>0.05</v>
      </c>
      <c r="L1320" s="1">
        <v>228.07</v>
      </c>
      <c r="M1320" s="1" t="str">
        <f t="shared" si="40"/>
        <v>Retail Store</v>
      </c>
      <c r="N1320" s="1">
        <f t="shared" si="41"/>
        <v>16.2</v>
      </c>
    </row>
    <row r="1321" spans="1:14" x14ac:dyDescent="0.3">
      <c r="A1321" s="1" t="s">
        <v>871</v>
      </c>
      <c r="B1321" s="1" t="s">
        <v>872</v>
      </c>
      <c r="C1321" s="1" t="s">
        <v>61</v>
      </c>
      <c r="D1321" s="1" t="s">
        <v>15</v>
      </c>
      <c r="E1321" s="1" t="s">
        <v>28</v>
      </c>
      <c r="F1321" s="1" t="s">
        <v>42</v>
      </c>
      <c r="G1321" s="1" t="s">
        <v>65</v>
      </c>
      <c r="H1321" s="1" t="s">
        <v>112</v>
      </c>
      <c r="I1321" s="1">
        <v>3</v>
      </c>
      <c r="J1321" s="1">
        <v>702</v>
      </c>
      <c r="K1321" s="1">
        <v>0.15</v>
      </c>
      <c r="L1321" s="1">
        <v>1790.1</v>
      </c>
      <c r="M1321" s="1" t="str">
        <f t="shared" si="40"/>
        <v>Online</v>
      </c>
      <c r="N1321" s="1">
        <f t="shared" si="41"/>
        <v>62.01</v>
      </c>
    </row>
    <row r="1322" spans="1:14" x14ac:dyDescent="0.3">
      <c r="A1322" s="1" t="s">
        <v>873</v>
      </c>
      <c r="B1322" s="1" t="s">
        <v>872</v>
      </c>
      <c r="C1322" s="1" t="s">
        <v>47</v>
      </c>
      <c r="D1322" s="1" t="s">
        <v>15</v>
      </c>
      <c r="E1322" s="1" t="s">
        <v>16</v>
      </c>
      <c r="F1322" s="1" t="s">
        <v>17</v>
      </c>
      <c r="G1322" s="1" t="s">
        <v>98</v>
      </c>
      <c r="H1322" s="1" t="s">
        <v>78</v>
      </c>
      <c r="I1322" s="1">
        <v>2</v>
      </c>
      <c r="J1322" s="1">
        <v>384.75</v>
      </c>
      <c r="K1322" s="1">
        <v>0.05</v>
      </c>
      <c r="L1322" s="1">
        <v>731.03</v>
      </c>
      <c r="M1322" s="1" t="str">
        <f t="shared" si="40"/>
        <v>Retail Store</v>
      </c>
      <c r="N1322" s="1">
        <f t="shared" si="41"/>
        <v>421.2</v>
      </c>
    </row>
    <row r="1323" spans="1:14" x14ac:dyDescent="0.3">
      <c r="A1323" s="1" t="s">
        <v>874</v>
      </c>
      <c r="B1323" s="1" t="s">
        <v>872</v>
      </c>
      <c r="C1323" s="1" t="s">
        <v>14</v>
      </c>
      <c r="D1323" s="1" t="s">
        <v>27</v>
      </c>
      <c r="E1323" s="1" t="s">
        <v>16</v>
      </c>
      <c r="F1323" s="1" t="s">
        <v>29</v>
      </c>
      <c r="G1323" s="1" t="s">
        <v>30</v>
      </c>
      <c r="H1323" s="1" t="s">
        <v>40</v>
      </c>
      <c r="I1323" s="1">
        <v>2</v>
      </c>
      <c r="J1323" s="1">
        <v>50.49</v>
      </c>
      <c r="K1323" s="1">
        <v>0.03</v>
      </c>
      <c r="L1323" s="1">
        <v>97.95</v>
      </c>
      <c r="M1323" s="1" t="str">
        <f t="shared" si="40"/>
        <v>Online</v>
      </c>
      <c r="N1323" s="1">
        <f t="shared" si="41"/>
        <v>16.2</v>
      </c>
    </row>
    <row r="1324" spans="1:14" x14ac:dyDescent="0.3">
      <c r="A1324" s="1" t="s">
        <v>875</v>
      </c>
      <c r="B1324" s="1" t="s">
        <v>872</v>
      </c>
      <c r="C1324" s="1" t="s">
        <v>54</v>
      </c>
      <c r="D1324" s="1" t="s">
        <v>35</v>
      </c>
      <c r="E1324" s="1" t="s">
        <v>16</v>
      </c>
      <c r="F1324" s="1" t="s">
        <v>36</v>
      </c>
      <c r="G1324" s="1" t="s">
        <v>77</v>
      </c>
      <c r="H1324" s="1" t="s">
        <v>71</v>
      </c>
      <c r="I1324" s="1">
        <v>2</v>
      </c>
      <c r="J1324" s="1">
        <v>1350</v>
      </c>
      <c r="K1324" s="1">
        <v>0</v>
      </c>
      <c r="L1324" s="1">
        <v>2700</v>
      </c>
      <c r="M1324" s="1" t="str">
        <f t="shared" si="40"/>
        <v>Online</v>
      </c>
      <c r="N1324" s="1">
        <f t="shared" si="41"/>
        <v>267.12</v>
      </c>
    </row>
    <row r="1325" spans="1:14" x14ac:dyDescent="0.3">
      <c r="A1325" s="1" t="s">
        <v>876</v>
      </c>
      <c r="B1325" s="1" t="s">
        <v>872</v>
      </c>
      <c r="C1325" s="1" t="s">
        <v>61</v>
      </c>
      <c r="D1325" s="1" t="s">
        <v>27</v>
      </c>
      <c r="E1325" s="1" t="s">
        <v>28</v>
      </c>
      <c r="F1325" s="1" t="s">
        <v>29</v>
      </c>
      <c r="G1325" s="1" t="s">
        <v>33</v>
      </c>
      <c r="H1325" s="1" t="s">
        <v>63</v>
      </c>
      <c r="I1325" s="1">
        <v>8</v>
      </c>
      <c r="J1325" s="1">
        <v>14.04</v>
      </c>
      <c r="K1325" s="1">
        <v>0.1</v>
      </c>
      <c r="L1325" s="1">
        <v>101.09</v>
      </c>
      <c r="M1325" s="1" t="str">
        <f t="shared" si="40"/>
        <v>Retail Store</v>
      </c>
      <c r="N1325" s="1">
        <f t="shared" si="41"/>
        <v>62.01</v>
      </c>
    </row>
    <row r="1326" spans="1:14" x14ac:dyDescent="0.3">
      <c r="A1326" s="1" t="s">
        <v>867</v>
      </c>
      <c r="B1326" s="1" t="s">
        <v>868</v>
      </c>
      <c r="C1326" s="1" t="s">
        <v>21</v>
      </c>
      <c r="D1326" s="1" t="s">
        <v>27</v>
      </c>
      <c r="E1326" s="1" t="s">
        <v>28</v>
      </c>
      <c r="F1326" s="1" t="s">
        <v>42</v>
      </c>
      <c r="G1326" s="1" t="s">
        <v>65</v>
      </c>
      <c r="H1326" s="1" t="s">
        <v>44</v>
      </c>
      <c r="I1326" s="1">
        <v>3</v>
      </c>
      <c r="J1326" s="1">
        <v>688.5</v>
      </c>
      <c r="K1326" s="1">
        <v>0.08</v>
      </c>
      <c r="L1326" s="1">
        <v>1900.26</v>
      </c>
      <c r="M1326" s="1" t="str">
        <f t="shared" si="40"/>
        <v>Retail Store</v>
      </c>
      <c r="N1326" s="1">
        <f t="shared" si="41"/>
        <v>405</v>
      </c>
    </row>
    <row r="1327" spans="1:14" x14ac:dyDescent="0.3">
      <c r="A1327" s="1" t="s">
        <v>869</v>
      </c>
      <c r="B1327" s="1" t="s">
        <v>868</v>
      </c>
      <c r="C1327" s="1" t="s">
        <v>47</v>
      </c>
      <c r="D1327" s="1" t="s">
        <v>35</v>
      </c>
      <c r="E1327" s="1" t="s">
        <v>16</v>
      </c>
      <c r="F1327" s="1" t="s">
        <v>42</v>
      </c>
      <c r="G1327" s="1" t="s">
        <v>65</v>
      </c>
      <c r="H1327" s="1" t="s">
        <v>58</v>
      </c>
      <c r="I1327" s="1">
        <v>3</v>
      </c>
      <c r="J1327" s="1">
        <v>688.5</v>
      </c>
      <c r="K1327" s="1">
        <v>0</v>
      </c>
      <c r="L1327" s="1">
        <v>2065.5</v>
      </c>
      <c r="M1327" s="1" t="str">
        <f t="shared" si="40"/>
        <v>Corporate Sales</v>
      </c>
      <c r="N1327" s="1">
        <f t="shared" si="41"/>
        <v>421.2</v>
      </c>
    </row>
    <row r="1328" spans="1:14" x14ac:dyDescent="0.3">
      <c r="A1328" s="1" t="s">
        <v>870</v>
      </c>
      <c r="B1328" s="1" t="s">
        <v>868</v>
      </c>
      <c r="C1328" s="1" t="s">
        <v>61</v>
      </c>
      <c r="D1328" s="1" t="s">
        <v>35</v>
      </c>
      <c r="E1328" s="1" t="s">
        <v>16</v>
      </c>
      <c r="F1328" s="1" t="s">
        <v>23</v>
      </c>
      <c r="G1328" s="1" t="s">
        <v>178</v>
      </c>
      <c r="H1328" s="1" t="s">
        <v>63</v>
      </c>
      <c r="I1328" s="1">
        <v>7</v>
      </c>
      <c r="J1328" s="1">
        <v>31.5</v>
      </c>
      <c r="K1328" s="1">
        <v>0</v>
      </c>
      <c r="L1328" s="1">
        <v>220.5</v>
      </c>
      <c r="M1328" s="1" t="str">
        <f t="shared" si="40"/>
        <v>Retail Store</v>
      </c>
      <c r="N1328" s="1">
        <f t="shared" si="41"/>
        <v>62.01</v>
      </c>
    </row>
    <row r="1329" spans="1:14" x14ac:dyDescent="0.3">
      <c r="A1329" s="1" t="s">
        <v>861</v>
      </c>
      <c r="B1329" s="1" t="s">
        <v>862</v>
      </c>
      <c r="C1329" s="1" t="s">
        <v>61</v>
      </c>
      <c r="D1329" s="1" t="s">
        <v>27</v>
      </c>
      <c r="E1329" s="1" t="s">
        <v>28</v>
      </c>
      <c r="F1329" s="1" t="s">
        <v>17</v>
      </c>
      <c r="G1329" s="1" t="s">
        <v>62</v>
      </c>
      <c r="H1329" s="1" t="s">
        <v>73</v>
      </c>
      <c r="I1329" s="1">
        <v>5</v>
      </c>
      <c r="J1329" s="1">
        <v>54</v>
      </c>
      <c r="K1329" s="1">
        <v>0.05</v>
      </c>
      <c r="L1329" s="1">
        <v>256.5</v>
      </c>
      <c r="M1329" s="1" t="str">
        <f t="shared" si="40"/>
        <v>Online</v>
      </c>
      <c r="N1329" s="1">
        <f t="shared" si="41"/>
        <v>62.01</v>
      </c>
    </row>
    <row r="1330" spans="1:14" x14ac:dyDescent="0.3">
      <c r="A1330" s="1" t="s">
        <v>863</v>
      </c>
      <c r="B1330" s="1" t="s">
        <v>862</v>
      </c>
      <c r="C1330" s="1" t="s">
        <v>21</v>
      </c>
      <c r="D1330" s="1" t="s">
        <v>35</v>
      </c>
      <c r="E1330" s="1" t="s">
        <v>16</v>
      </c>
      <c r="F1330" s="1" t="s">
        <v>82</v>
      </c>
      <c r="G1330" s="1" t="s">
        <v>114</v>
      </c>
      <c r="H1330" s="1" t="s">
        <v>86</v>
      </c>
      <c r="I1330" s="1">
        <v>2</v>
      </c>
      <c r="J1330" s="1">
        <v>2250</v>
      </c>
      <c r="K1330" s="1">
        <v>0.15</v>
      </c>
      <c r="L1330" s="1">
        <v>3825</v>
      </c>
      <c r="M1330" s="1" t="str">
        <f t="shared" si="40"/>
        <v>Online</v>
      </c>
      <c r="N1330" s="1">
        <f t="shared" si="41"/>
        <v>405</v>
      </c>
    </row>
    <row r="1331" spans="1:14" x14ac:dyDescent="0.3">
      <c r="A1331" s="1" t="s">
        <v>864</v>
      </c>
      <c r="B1331" s="1" t="s">
        <v>862</v>
      </c>
      <c r="C1331" s="1" t="s">
        <v>61</v>
      </c>
      <c r="D1331" s="1" t="s">
        <v>15</v>
      </c>
      <c r="E1331" s="1" t="s">
        <v>16</v>
      </c>
      <c r="F1331" s="1" t="s">
        <v>17</v>
      </c>
      <c r="G1331" s="1" t="s">
        <v>18</v>
      </c>
      <c r="H1331" s="1" t="s">
        <v>73</v>
      </c>
      <c r="I1331" s="1">
        <v>2</v>
      </c>
      <c r="J1331" s="1">
        <v>82.62</v>
      </c>
      <c r="K1331" s="1">
        <v>0.08</v>
      </c>
      <c r="L1331" s="1">
        <v>152.02000000000001</v>
      </c>
      <c r="M1331" s="1" t="str">
        <f t="shared" si="40"/>
        <v>Online</v>
      </c>
      <c r="N1331" s="1">
        <f t="shared" si="41"/>
        <v>62.01</v>
      </c>
    </row>
    <row r="1332" spans="1:14" x14ac:dyDescent="0.3">
      <c r="A1332" s="1" t="s">
        <v>865</v>
      </c>
      <c r="B1332" s="1" t="s">
        <v>862</v>
      </c>
      <c r="C1332" s="1" t="s">
        <v>61</v>
      </c>
      <c r="D1332" s="1" t="s">
        <v>15</v>
      </c>
      <c r="E1332" s="1" t="s">
        <v>16</v>
      </c>
      <c r="F1332" s="1" t="s">
        <v>17</v>
      </c>
      <c r="G1332" s="1" t="s">
        <v>189</v>
      </c>
      <c r="H1332" s="1" t="s">
        <v>112</v>
      </c>
      <c r="I1332" s="1">
        <v>3</v>
      </c>
      <c r="J1332" s="1">
        <v>299.52</v>
      </c>
      <c r="K1332" s="1">
        <v>0.05</v>
      </c>
      <c r="L1332" s="1">
        <v>853.63</v>
      </c>
      <c r="M1332" s="1" t="str">
        <f t="shared" si="40"/>
        <v>Online</v>
      </c>
      <c r="N1332" s="1">
        <f t="shared" si="41"/>
        <v>62.01</v>
      </c>
    </row>
    <row r="1333" spans="1:14" x14ac:dyDescent="0.3">
      <c r="A1333" s="1" t="s">
        <v>866</v>
      </c>
      <c r="B1333" s="1" t="s">
        <v>862</v>
      </c>
      <c r="C1333" s="1" t="s">
        <v>61</v>
      </c>
      <c r="D1333" s="1" t="s">
        <v>15</v>
      </c>
      <c r="E1333" s="1" t="s">
        <v>16</v>
      </c>
      <c r="F1333" s="1" t="s">
        <v>23</v>
      </c>
      <c r="G1333" s="1" t="s">
        <v>178</v>
      </c>
      <c r="H1333" s="1" t="s">
        <v>63</v>
      </c>
      <c r="I1333" s="1">
        <v>3</v>
      </c>
      <c r="J1333" s="1">
        <v>32.76</v>
      </c>
      <c r="K1333" s="1">
        <v>0.08</v>
      </c>
      <c r="L1333" s="1">
        <v>90.42</v>
      </c>
      <c r="M1333" s="1" t="str">
        <f t="shared" si="40"/>
        <v>Retail Store</v>
      </c>
      <c r="N1333" s="1">
        <f t="shared" si="41"/>
        <v>62.01</v>
      </c>
    </row>
    <row r="1334" spans="1:14" x14ac:dyDescent="0.3">
      <c r="A1334" s="1" t="s">
        <v>855</v>
      </c>
      <c r="B1334" s="1" t="s">
        <v>856</v>
      </c>
      <c r="C1334" s="1" t="s">
        <v>14</v>
      </c>
      <c r="D1334" s="1" t="s">
        <v>15</v>
      </c>
      <c r="E1334" s="1" t="s">
        <v>16</v>
      </c>
      <c r="F1334" s="1" t="s">
        <v>17</v>
      </c>
      <c r="G1334" s="1" t="s">
        <v>189</v>
      </c>
      <c r="H1334" s="1" t="s">
        <v>19</v>
      </c>
      <c r="I1334" s="1">
        <v>5</v>
      </c>
      <c r="J1334" s="1">
        <v>279.36</v>
      </c>
      <c r="K1334" s="1">
        <v>0.1</v>
      </c>
      <c r="L1334" s="1">
        <v>1257.1199999999999</v>
      </c>
      <c r="M1334" s="1" t="str">
        <f t="shared" si="40"/>
        <v>Retail Store</v>
      </c>
      <c r="N1334" s="1">
        <f t="shared" si="41"/>
        <v>16.2</v>
      </c>
    </row>
    <row r="1335" spans="1:14" x14ac:dyDescent="0.3">
      <c r="A1335" s="1" t="s">
        <v>857</v>
      </c>
      <c r="B1335" s="1" t="s">
        <v>856</v>
      </c>
      <c r="C1335" s="1" t="s">
        <v>21</v>
      </c>
      <c r="D1335" s="1" t="s">
        <v>35</v>
      </c>
      <c r="E1335" s="1" t="s">
        <v>16</v>
      </c>
      <c r="F1335" s="1" t="s">
        <v>82</v>
      </c>
      <c r="G1335" s="1" t="s">
        <v>83</v>
      </c>
      <c r="H1335" s="1" t="s">
        <v>25</v>
      </c>
      <c r="I1335" s="1">
        <v>4</v>
      </c>
      <c r="J1335" s="1">
        <v>3666.6</v>
      </c>
      <c r="K1335" s="1">
        <v>0.03</v>
      </c>
      <c r="L1335" s="1">
        <v>14226.41</v>
      </c>
      <c r="M1335" s="1" t="str">
        <f t="shared" si="40"/>
        <v>Marketplace</v>
      </c>
      <c r="N1335" s="1">
        <f t="shared" si="41"/>
        <v>405</v>
      </c>
    </row>
    <row r="1336" spans="1:14" x14ac:dyDescent="0.3">
      <c r="A1336" s="1" t="s">
        <v>858</v>
      </c>
      <c r="B1336" s="1" t="s">
        <v>856</v>
      </c>
      <c r="C1336" s="1" t="s">
        <v>61</v>
      </c>
      <c r="D1336" s="1" t="s">
        <v>35</v>
      </c>
      <c r="E1336" s="1" t="s">
        <v>16</v>
      </c>
      <c r="F1336" s="1" t="s">
        <v>36</v>
      </c>
      <c r="G1336" s="1" t="s">
        <v>77</v>
      </c>
      <c r="H1336" s="1" t="s">
        <v>73</v>
      </c>
      <c r="I1336" s="1">
        <v>3</v>
      </c>
      <c r="J1336" s="1">
        <v>1404</v>
      </c>
      <c r="K1336" s="1">
        <v>0</v>
      </c>
      <c r="L1336" s="1">
        <v>4212</v>
      </c>
      <c r="M1336" s="1" t="str">
        <f t="shared" si="40"/>
        <v>Online</v>
      </c>
      <c r="N1336" s="1">
        <f t="shared" si="41"/>
        <v>62.01</v>
      </c>
    </row>
    <row r="1337" spans="1:14" x14ac:dyDescent="0.3">
      <c r="A1337" s="1" t="s">
        <v>859</v>
      </c>
      <c r="B1337" s="1" t="s">
        <v>856</v>
      </c>
      <c r="C1337" s="1" t="s">
        <v>61</v>
      </c>
      <c r="D1337" s="1" t="s">
        <v>15</v>
      </c>
      <c r="E1337" s="1" t="s">
        <v>16</v>
      </c>
      <c r="F1337" s="1" t="s">
        <v>36</v>
      </c>
      <c r="G1337" s="1" t="s">
        <v>119</v>
      </c>
      <c r="H1337" s="1" t="s">
        <v>63</v>
      </c>
      <c r="I1337" s="1">
        <v>2</v>
      </c>
      <c r="J1337" s="1">
        <v>667.8</v>
      </c>
      <c r="K1337" s="1">
        <v>0.05</v>
      </c>
      <c r="L1337" s="1">
        <v>1268.82</v>
      </c>
      <c r="M1337" s="1" t="str">
        <f t="shared" si="40"/>
        <v>Retail Store</v>
      </c>
      <c r="N1337" s="1">
        <f t="shared" si="41"/>
        <v>62.01</v>
      </c>
    </row>
    <row r="1338" spans="1:14" x14ac:dyDescent="0.3">
      <c r="A1338" s="1" t="s">
        <v>860</v>
      </c>
      <c r="B1338" s="1" t="s">
        <v>856</v>
      </c>
      <c r="C1338" s="1" t="s">
        <v>47</v>
      </c>
      <c r="D1338" s="1" t="s">
        <v>15</v>
      </c>
      <c r="E1338" s="1" t="s">
        <v>16</v>
      </c>
      <c r="F1338" s="1" t="s">
        <v>17</v>
      </c>
      <c r="G1338" s="1" t="s">
        <v>98</v>
      </c>
      <c r="H1338" s="1" t="s">
        <v>58</v>
      </c>
      <c r="I1338" s="1">
        <v>4</v>
      </c>
      <c r="J1338" s="1">
        <v>429.3</v>
      </c>
      <c r="K1338" s="1">
        <v>0.03</v>
      </c>
      <c r="L1338" s="1">
        <v>1665.68</v>
      </c>
      <c r="M1338" s="1" t="str">
        <f t="shared" si="40"/>
        <v>Corporate Sales</v>
      </c>
      <c r="N1338" s="1">
        <f t="shared" si="41"/>
        <v>421.2</v>
      </c>
    </row>
    <row r="1339" spans="1:14" x14ac:dyDescent="0.3">
      <c r="A1339" s="1" t="s">
        <v>848</v>
      </c>
      <c r="B1339" s="1" t="s">
        <v>849</v>
      </c>
      <c r="C1339" s="1" t="s">
        <v>47</v>
      </c>
      <c r="D1339" s="1" t="s">
        <v>22</v>
      </c>
      <c r="E1339" s="1" t="s">
        <v>16</v>
      </c>
      <c r="F1339" s="1" t="s">
        <v>42</v>
      </c>
      <c r="G1339" s="1" t="s">
        <v>65</v>
      </c>
      <c r="H1339" s="1" t="s">
        <v>58</v>
      </c>
      <c r="I1339" s="1">
        <v>2</v>
      </c>
      <c r="J1339" s="1">
        <v>675</v>
      </c>
      <c r="K1339" s="1">
        <v>0.1</v>
      </c>
      <c r="L1339" s="1">
        <v>1215</v>
      </c>
      <c r="M1339" s="1" t="str">
        <f t="shared" si="40"/>
        <v>Corporate Sales</v>
      </c>
      <c r="N1339" s="1">
        <f t="shared" si="41"/>
        <v>421.2</v>
      </c>
    </row>
    <row r="1340" spans="1:14" x14ac:dyDescent="0.3">
      <c r="A1340" s="1" t="s">
        <v>850</v>
      </c>
      <c r="B1340" s="1" t="s">
        <v>849</v>
      </c>
      <c r="C1340" s="1" t="s">
        <v>54</v>
      </c>
      <c r="D1340" s="1" t="s">
        <v>35</v>
      </c>
      <c r="E1340" s="1" t="s">
        <v>28</v>
      </c>
      <c r="F1340" s="1" t="s">
        <v>82</v>
      </c>
      <c r="G1340" s="1" t="s">
        <v>83</v>
      </c>
      <c r="H1340" s="1" t="s">
        <v>56</v>
      </c>
      <c r="I1340" s="1">
        <v>2</v>
      </c>
      <c r="J1340" s="1">
        <v>3931.2</v>
      </c>
      <c r="K1340" s="1">
        <v>0.1</v>
      </c>
      <c r="L1340" s="1">
        <v>7076.16</v>
      </c>
      <c r="M1340" s="1" t="str">
        <f t="shared" si="40"/>
        <v>Online</v>
      </c>
      <c r="N1340" s="1">
        <f t="shared" si="41"/>
        <v>267.12</v>
      </c>
    </row>
    <row r="1341" spans="1:14" x14ac:dyDescent="0.3">
      <c r="A1341" s="1" t="s">
        <v>851</v>
      </c>
      <c r="B1341" s="1" t="s">
        <v>849</v>
      </c>
      <c r="C1341" s="1" t="s">
        <v>54</v>
      </c>
      <c r="D1341" s="1" t="s">
        <v>27</v>
      </c>
      <c r="E1341" s="1" t="s">
        <v>16</v>
      </c>
      <c r="F1341" s="1" t="s">
        <v>36</v>
      </c>
      <c r="G1341" s="1" t="s">
        <v>70</v>
      </c>
      <c r="H1341" s="1" t="s">
        <v>56</v>
      </c>
      <c r="I1341" s="1">
        <v>3</v>
      </c>
      <c r="J1341" s="1">
        <v>522</v>
      </c>
      <c r="K1341" s="1">
        <v>0.05</v>
      </c>
      <c r="L1341" s="1">
        <v>1487.7</v>
      </c>
      <c r="M1341" s="1" t="str">
        <f t="shared" si="40"/>
        <v>Online</v>
      </c>
      <c r="N1341" s="1">
        <f t="shared" si="41"/>
        <v>267.12</v>
      </c>
    </row>
    <row r="1342" spans="1:14" x14ac:dyDescent="0.3">
      <c r="A1342" s="1" t="s">
        <v>852</v>
      </c>
      <c r="B1342" s="1" t="s">
        <v>849</v>
      </c>
      <c r="C1342" s="1" t="s">
        <v>14</v>
      </c>
      <c r="D1342" s="1" t="s">
        <v>22</v>
      </c>
      <c r="E1342" s="1" t="s">
        <v>16</v>
      </c>
      <c r="F1342" s="1" t="s">
        <v>82</v>
      </c>
      <c r="G1342" s="1" t="s">
        <v>96</v>
      </c>
      <c r="H1342" s="1" t="s">
        <v>31</v>
      </c>
      <c r="I1342" s="1">
        <v>2</v>
      </c>
      <c r="J1342" s="1">
        <v>2700</v>
      </c>
      <c r="K1342" s="1">
        <v>0.03</v>
      </c>
      <c r="L1342" s="1">
        <v>5238</v>
      </c>
      <c r="M1342" s="1" t="str">
        <f t="shared" si="40"/>
        <v>Online</v>
      </c>
      <c r="N1342" s="1">
        <f t="shared" si="41"/>
        <v>16.2</v>
      </c>
    </row>
    <row r="1343" spans="1:14" x14ac:dyDescent="0.3">
      <c r="A1343" s="1" t="s">
        <v>853</v>
      </c>
      <c r="B1343" s="1" t="s">
        <v>849</v>
      </c>
      <c r="C1343" s="1" t="s">
        <v>54</v>
      </c>
      <c r="D1343" s="1" t="s">
        <v>27</v>
      </c>
      <c r="E1343" s="1" t="s">
        <v>28</v>
      </c>
      <c r="F1343" s="1" t="s">
        <v>29</v>
      </c>
      <c r="G1343" s="1" t="s">
        <v>55</v>
      </c>
      <c r="H1343" s="1" t="s">
        <v>56</v>
      </c>
      <c r="I1343" s="1">
        <v>3</v>
      </c>
      <c r="J1343" s="1">
        <v>34.200000000000003</v>
      </c>
      <c r="K1343" s="1">
        <v>0.08</v>
      </c>
      <c r="L1343" s="1">
        <v>94.39</v>
      </c>
      <c r="M1343" s="1" t="str">
        <f t="shared" si="40"/>
        <v>Online</v>
      </c>
      <c r="N1343" s="1">
        <f t="shared" si="41"/>
        <v>267.12</v>
      </c>
    </row>
    <row r="1344" spans="1:14" x14ac:dyDescent="0.3">
      <c r="A1344" s="1" t="s">
        <v>854</v>
      </c>
      <c r="B1344" s="1" t="s">
        <v>849</v>
      </c>
      <c r="C1344" s="1" t="s">
        <v>54</v>
      </c>
      <c r="D1344" s="1" t="s">
        <v>35</v>
      </c>
      <c r="E1344" s="1" t="s">
        <v>16</v>
      </c>
      <c r="F1344" s="1" t="s">
        <v>36</v>
      </c>
      <c r="G1344" s="1" t="s">
        <v>77</v>
      </c>
      <c r="H1344" s="1" t="s">
        <v>71</v>
      </c>
      <c r="I1344" s="1">
        <v>2</v>
      </c>
      <c r="J1344" s="1">
        <v>1377</v>
      </c>
      <c r="K1344" s="1">
        <v>0.15</v>
      </c>
      <c r="L1344" s="1">
        <v>2340.9</v>
      </c>
      <c r="M1344" s="1" t="str">
        <f t="shared" si="40"/>
        <v>Online</v>
      </c>
      <c r="N1344" s="1">
        <f t="shared" si="41"/>
        <v>267.12</v>
      </c>
    </row>
    <row r="1345" spans="1:14" x14ac:dyDescent="0.3">
      <c r="A1345" s="1" t="s">
        <v>836</v>
      </c>
      <c r="B1345" s="1" t="s">
        <v>837</v>
      </c>
      <c r="C1345" s="1" t="s">
        <v>61</v>
      </c>
      <c r="D1345" s="1" t="s">
        <v>35</v>
      </c>
      <c r="E1345" s="1" t="s">
        <v>16</v>
      </c>
      <c r="F1345" s="1" t="s">
        <v>29</v>
      </c>
      <c r="G1345" s="1" t="s">
        <v>51</v>
      </c>
      <c r="H1345" s="1" t="s">
        <v>112</v>
      </c>
      <c r="I1345" s="1">
        <v>10</v>
      </c>
      <c r="J1345" s="1">
        <v>40.5</v>
      </c>
      <c r="K1345" s="1">
        <v>0.03</v>
      </c>
      <c r="L1345" s="1">
        <v>392.85</v>
      </c>
      <c r="M1345" s="1" t="str">
        <f t="shared" si="40"/>
        <v>Online</v>
      </c>
      <c r="N1345" s="1">
        <f t="shared" si="41"/>
        <v>62.01</v>
      </c>
    </row>
    <row r="1346" spans="1:14" x14ac:dyDescent="0.3">
      <c r="A1346" s="1" t="s">
        <v>838</v>
      </c>
      <c r="B1346" s="1" t="s">
        <v>837</v>
      </c>
      <c r="C1346" s="1" t="s">
        <v>54</v>
      </c>
      <c r="D1346" s="1" t="s">
        <v>22</v>
      </c>
      <c r="E1346" s="1" t="s">
        <v>16</v>
      </c>
      <c r="F1346" s="1" t="s">
        <v>29</v>
      </c>
      <c r="G1346" s="1" t="s">
        <v>33</v>
      </c>
      <c r="H1346" s="1" t="s">
        <v>56</v>
      </c>
      <c r="I1346" s="1">
        <v>2</v>
      </c>
      <c r="J1346" s="1">
        <v>13.5</v>
      </c>
      <c r="K1346" s="1">
        <v>0.15</v>
      </c>
      <c r="L1346" s="1">
        <v>22.95</v>
      </c>
      <c r="M1346" s="1" t="str">
        <f t="shared" ref="M1346:M1409" si="42">INDEX(D:D,MATCH(H1346,H:H,0))</f>
        <v>Online</v>
      </c>
      <c r="N1346" s="1">
        <f t="shared" ref="N1346:N1409" si="43">VLOOKUP(C:C,C:J,8,FALSE)</f>
        <v>267.12</v>
      </c>
    </row>
    <row r="1347" spans="1:14" x14ac:dyDescent="0.3">
      <c r="A1347" s="1" t="s">
        <v>839</v>
      </c>
      <c r="B1347" s="1" t="s">
        <v>837</v>
      </c>
      <c r="C1347" s="1" t="s">
        <v>61</v>
      </c>
      <c r="D1347" s="1" t="s">
        <v>15</v>
      </c>
      <c r="E1347" s="1" t="s">
        <v>28</v>
      </c>
      <c r="F1347" s="1" t="s">
        <v>29</v>
      </c>
      <c r="G1347" s="1" t="s">
        <v>39</v>
      </c>
      <c r="H1347" s="1" t="s">
        <v>63</v>
      </c>
      <c r="I1347" s="1">
        <v>6</v>
      </c>
      <c r="J1347" s="1">
        <v>68.400000000000006</v>
      </c>
      <c r="K1347" s="1">
        <v>0.05</v>
      </c>
      <c r="L1347" s="1">
        <v>389.88</v>
      </c>
      <c r="M1347" s="1" t="str">
        <f t="shared" si="42"/>
        <v>Retail Store</v>
      </c>
      <c r="N1347" s="1">
        <f t="shared" si="43"/>
        <v>62.01</v>
      </c>
    </row>
    <row r="1348" spans="1:14" x14ac:dyDescent="0.3">
      <c r="A1348" s="1" t="s">
        <v>840</v>
      </c>
      <c r="B1348" s="1" t="s">
        <v>837</v>
      </c>
      <c r="C1348" s="1" t="s">
        <v>14</v>
      </c>
      <c r="D1348" s="1" t="s">
        <v>15</v>
      </c>
      <c r="E1348" s="1" t="s">
        <v>16</v>
      </c>
      <c r="F1348" s="1" t="s">
        <v>17</v>
      </c>
      <c r="G1348" s="1" t="s">
        <v>189</v>
      </c>
      <c r="H1348" s="1" t="s">
        <v>31</v>
      </c>
      <c r="I1348" s="1">
        <v>5</v>
      </c>
      <c r="J1348" s="1">
        <v>288</v>
      </c>
      <c r="K1348" s="1">
        <v>0.1</v>
      </c>
      <c r="L1348" s="1">
        <v>1296</v>
      </c>
      <c r="M1348" s="1" t="str">
        <f t="shared" si="42"/>
        <v>Online</v>
      </c>
      <c r="N1348" s="1">
        <f t="shared" si="43"/>
        <v>16.2</v>
      </c>
    </row>
    <row r="1349" spans="1:14" x14ac:dyDescent="0.3">
      <c r="A1349" s="1" t="s">
        <v>841</v>
      </c>
      <c r="B1349" s="1" t="s">
        <v>837</v>
      </c>
      <c r="C1349" s="1" t="s">
        <v>61</v>
      </c>
      <c r="D1349" s="1" t="s">
        <v>15</v>
      </c>
      <c r="E1349" s="1" t="s">
        <v>16</v>
      </c>
      <c r="F1349" s="1" t="s">
        <v>17</v>
      </c>
      <c r="G1349" s="1" t="s">
        <v>189</v>
      </c>
      <c r="H1349" s="1" t="s">
        <v>73</v>
      </c>
      <c r="I1349" s="1">
        <v>2</v>
      </c>
      <c r="J1349" s="1">
        <v>288</v>
      </c>
      <c r="K1349" s="1">
        <v>0.08</v>
      </c>
      <c r="L1349" s="1">
        <v>529.91999999999996</v>
      </c>
      <c r="M1349" s="1" t="str">
        <f t="shared" si="42"/>
        <v>Online</v>
      </c>
      <c r="N1349" s="1">
        <f t="shared" si="43"/>
        <v>62.01</v>
      </c>
    </row>
    <row r="1350" spans="1:14" x14ac:dyDescent="0.3">
      <c r="A1350" s="1" t="s">
        <v>842</v>
      </c>
      <c r="B1350" s="1" t="s">
        <v>837</v>
      </c>
      <c r="C1350" s="1" t="s">
        <v>47</v>
      </c>
      <c r="D1350" s="1" t="s">
        <v>15</v>
      </c>
      <c r="E1350" s="1" t="s">
        <v>16</v>
      </c>
      <c r="F1350" s="1" t="s">
        <v>36</v>
      </c>
      <c r="G1350" s="1" t="s">
        <v>119</v>
      </c>
      <c r="H1350" s="1" t="s">
        <v>78</v>
      </c>
      <c r="I1350" s="1">
        <v>2</v>
      </c>
      <c r="J1350" s="1">
        <v>630</v>
      </c>
      <c r="K1350" s="1">
        <v>0.05</v>
      </c>
      <c r="L1350" s="1">
        <v>1197</v>
      </c>
      <c r="M1350" s="1" t="str">
        <f t="shared" si="42"/>
        <v>Retail Store</v>
      </c>
      <c r="N1350" s="1">
        <f t="shared" si="43"/>
        <v>421.2</v>
      </c>
    </row>
    <row r="1351" spans="1:14" x14ac:dyDescent="0.3">
      <c r="A1351" s="1" t="s">
        <v>843</v>
      </c>
      <c r="B1351" s="1" t="s">
        <v>837</v>
      </c>
      <c r="C1351" s="1" t="s">
        <v>47</v>
      </c>
      <c r="D1351" s="1" t="s">
        <v>22</v>
      </c>
      <c r="E1351" s="1" t="s">
        <v>16</v>
      </c>
      <c r="F1351" s="1" t="s">
        <v>42</v>
      </c>
      <c r="G1351" s="1" t="s">
        <v>67</v>
      </c>
      <c r="H1351" s="1" t="s">
        <v>78</v>
      </c>
      <c r="I1351" s="1">
        <v>7</v>
      </c>
      <c r="J1351" s="1">
        <v>257.04000000000002</v>
      </c>
      <c r="K1351" s="1">
        <v>0.1</v>
      </c>
      <c r="L1351" s="1">
        <v>1619.35</v>
      </c>
      <c r="M1351" s="1" t="str">
        <f t="shared" si="42"/>
        <v>Retail Store</v>
      </c>
      <c r="N1351" s="1">
        <f t="shared" si="43"/>
        <v>421.2</v>
      </c>
    </row>
    <row r="1352" spans="1:14" x14ac:dyDescent="0.3">
      <c r="A1352" s="1" t="s">
        <v>844</v>
      </c>
      <c r="B1352" s="1" t="s">
        <v>837</v>
      </c>
      <c r="C1352" s="1" t="s">
        <v>47</v>
      </c>
      <c r="D1352" s="1" t="s">
        <v>15</v>
      </c>
      <c r="E1352" s="1" t="s">
        <v>16</v>
      </c>
      <c r="F1352" s="1" t="s">
        <v>36</v>
      </c>
      <c r="G1352" s="1" t="s">
        <v>119</v>
      </c>
      <c r="H1352" s="1" t="s">
        <v>49</v>
      </c>
      <c r="I1352" s="1">
        <v>2</v>
      </c>
      <c r="J1352" s="1">
        <v>667.8</v>
      </c>
      <c r="K1352" s="1">
        <v>0.08</v>
      </c>
      <c r="L1352" s="1">
        <v>1228.75</v>
      </c>
      <c r="M1352" s="1" t="str">
        <f t="shared" si="42"/>
        <v>Retail Store</v>
      </c>
      <c r="N1352" s="1">
        <f t="shared" si="43"/>
        <v>421.2</v>
      </c>
    </row>
    <row r="1353" spans="1:14" x14ac:dyDescent="0.3">
      <c r="A1353" s="1" t="s">
        <v>845</v>
      </c>
      <c r="B1353" s="1" t="s">
        <v>837</v>
      </c>
      <c r="C1353" s="1" t="s">
        <v>54</v>
      </c>
      <c r="D1353" s="1" t="s">
        <v>15</v>
      </c>
      <c r="E1353" s="1" t="s">
        <v>28</v>
      </c>
      <c r="F1353" s="1" t="s">
        <v>17</v>
      </c>
      <c r="G1353" s="1" t="s">
        <v>98</v>
      </c>
      <c r="H1353" s="1" t="s">
        <v>71</v>
      </c>
      <c r="I1353" s="1">
        <v>3</v>
      </c>
      <c r="J1353" s="1">
        <v>413.1</v>
      </c>
      <c r="K1353" s="1">
        <v>0</v>
      </c>
      <c r="L1353" s="1">
        <v>1239.3</v>
      </c>
      <c r="M1353" s="1" t="str">
        <f t="shared" si="42"/>
        <v>Online</v>
      </c>
      <c r="N1353" s="1">
        <f t="shared" si="43"/>
        <v>267.12</v>
      </c>
    </row>
    <row r="1354" spans="1:14" x14ac:dyDescent="0.3">
      <c r="A1354" s="1" t="s">
        <v>846</v>
      </c>
      <c r="B1354" s="1" t="s">
        <v>837</v>
      </c>
      <c r="C1354" s="1" t="s">
        <v>47</v>
      </c>
      <c r="D1354" s="1" t="s">
        <v>15</v>
      </c>
      <c r="E1354" s="1" t="s">
        <v>28</v>
      </c>
      <c r="F1354" s="1" t="s">
        <v>29</v>
      </c>
      <c r="G1354" s="1" t="s">
        <v>51</v>
      </c>
      <c r="H1354" s="1" t="s">
        <v>78</v>
      </c>
      <c r="I1354" s="1">
        <v>5</v>
      </c>
      <c r="J1354" s="1">
        <v>41.31</v>
      </c>
      <c r="K1354" s="1">
        <v>0.05</v>
      </c>
      <c r="L1354" s="1">
        <v>196.22</v>
      </c>
      <c r="M1354" s="1" t="str">
        <f t="shared" si="42"/>
        <v>Retail Store</v>
      </c>
      <c r="N1354" s="1">
        <f t="shared" si="43"/>
        <v>421.2</v>
      </c>
    </row>
    <row r="1355" spans="1:14" x14ac:dyDescent="0.3">
      <c r="A1355" s="1" t="s">
        <v>847</v>
      </c>
      <c r="B1355" s="1" t="s">
        <v>837</v>
      </c>
      <c r="C1355" s="1" t="s">
        <v>54</v>
      </c>
      <c r="D1355" s="1" t="s">
        <v>15</v>
      </c>
      <c r="E1355" s="1" t="s">
        <v>16</v>
      </c>
      <c r="F1355" s="1" t="s">
        <v>17</v>
      </c>
      <c r="G1355" s="1" t="s">
        <v>189</v>
      </c>
      <c r="H1355" s="1" t="s">
        <v>56</v>
      </c>
      <c r="I1355" s="1">
        <v>2</v>
      </c>
      <c r="J1355" s="1">
        <v>288</v>
      </c>
      <c r="K1355" s="1">
        <v>0.05</v>
      </c>
      <c r="L1355" s="1">
        <v>547.20000000000005</v>
      </c>
      <c r="M1355" s="1" t="str">
        <f t="shared" si="42"/>
        <v>Online</v>
      </c>
      <c r="N1355" s="1">
        <f t="shared" si="43"/>
        <v>267.12</v>
      </c>
    </row>
    <row r="1356" spans="1:14" x14ac:dyDescent="0.3">
      <c r="A1356" s="1" t="s">
        <v>832</v>
      </c>
      <c r="B1356" s="1" t="s">
        <v>833</v>
      </c>
      <c r="C1356" s="1" t="s">
        <v>54</v>
      </c>
      <c r="D1356" s="1" t="s">
        <v>27</v>
      </c>
      <c r="E1356" s="1" t="s">
        <v>16</v>
      </c>
      <c r="F1356" s="1" t="s">
        <v>82</v>
      </c>
      <c r="G1356" s="1" t="s">
        <v>96</v>
      </c>
      <c r="H1356" s="1" t="s">
        <v>71</v>
      </c>
      <c r="I1356" s="1">
        <v>2</v>
      </c>
      <c r="J1356" s="1">
        <v>2565</v>
      </c>
      <c r="K1356" s="1">
        <v>0.15</v>
      </c>
      <c r="L1356" s="1">
        <v>4360.5</v>
      </c>
      <c r="M1356" s="1" t="str">
        <f t="shared" si="42"/>
        <v>Online</v>
      </c>
      <c r="N1356" s="1">
        <f t="shared" si="43"/>
        <v>267.12</v>
      </c>
    </row>
    <row r="1357" spans="1:14" x14ac:dyDescent="0.3">
      <c r="A1357" s="1" t="s">
        <v>834</v>
      </c>
      <c r="B1357" s="1" t="s">
        <v>833</v>
      </c>
      <c r="C1357" s="1" t="s">
        <v>54</v>
      </c>
      <c r="D1357" s="1" t="s">
        <v>22</v>
      </c>
      <c r="E1357" s="1" t="s">
        <v>16</v>
      </c>
      <c r="F1357" s="1" t="s">
        <v>29</v>
      </c>
      <c r="G1357" s="1" t="s">
        <v>51</v>
      </c>
      <c r="H1357" s="1" t="s">
        <v>80</v>
      </c>
      <c r="I1357" s="1">
        <v>4</v>
      </c>
      <c r="J1357" s="1">
        <v>42.12</v>
      </c>
      <c r="K1357" s="1">
        <v>0.1</v>
      </c>
      <c r="L1357" s="1">
        <v>151.63</v>
      </c>
      <c r="M1357" s="1" t="str">
        <f t="shared" si="42"/>
        <v>Marketplace</v>
      </c>
      <c r="N1357" s="1">
        <f t="shared" si="43"/>
        <v>267.12</v>
      </c>
    </row>
    <row r="1358" spans="1:14" x14ac:dyDescent="0.3">
      <c r="A1358" s="1" t="s">
        <v>835</v>
      </c>
      <c r="B1358" s="1" t="s">
        <v>833</v>
      </c>
      <c r="C1358" s="1" t="s">
        <v>21</v>
      </c>
      <c r="D1358" s="1" t="s">
        <v>15</v>
      </c>
      <c r="E1358" s="1" t="s">
        <v>16</v>
      </c>
      <c r="F1358" s="1" t="s">
        <v>17</v>
      </c>
      <c r="G1358" s="1" t="s">
        <v>18</v>
      </c>
      <c r="H1358" s="1" t="s">
        <v>25</v>
      </c>
      <c r="I1358" s="1">
        <v>3</v>
      </c>
      <c r="J1358" s="1">
        <v>78.569999999999993</v>
      </c>
      <c r="K1358" s="1">
        <v>0.03</v>
      </c>
      <c r="L1358" s="1">
        <v>228.64</v>
      </c>
      <c r="M1358" s="1" t="str">
        <f t="shared" si="42"/>
        <v>Marketplace</v>
      </c>
      <c r="N1358" s="1">
        <f t="shared" si="43"/>
        <v>405</v>
      </c>
    </row>
    <row r="1359" spans="1:14" x14ac:dyDescent="0.3">
      <c r="A1359" s="1" t="s">
        <v>827</v>
      </c>
      <c r="B1359" s="1" t="s">
        <v>828</v>
      </c>
      <c r="C1359" s="1" t="s">
        <v>47</v>
      </c>
      <c r="D1359" s="1" t="s">
        <v>35</v>
      </c>
      <c r="E1359" s="1" t="s">
        <v>16</v>
      </c>
      <c r="F1359" s="1" t="s">
        <v>82</v>
      </c>
      <c r="G1359" s="1" t="s">
        <v>83</v>
      </c>
      <c r="H1359" s="1" t="s">
        <v>49</v>
      </c>
      <c r="I1359" s="1">
        <v>2</v>
      </c>
      <c r="J1359" s="1">
        <v>3780</v>
      </c>
      <c r="K1359" s="1">
        <v>0.03</v>
      </c>
      <c r="L1359" s="1">
        <v>7333.2</v>
      </c>
      <c r="M1359" s="1" t="str">
        <f t="shared" si="42"/>
        <v>Retail Store</v>
      </c>
      <c r="N1359" s="1">
        <f t="shared" si="43"/>
        <v>421.2</v>
      </c>
    </row>
    <row r="1360" spans="1:14" x14ac:dyDescent="0.3">
      <c r="A1360" s="1" t="s">
        <v>829</v>
      </c>
      <c r="B1360" s="1" t="s">
        <v>828</v>
      </c>
      <c r="C1360" s="1" t="s">
        <v>14</v>
      </c>
      <c r="D1360" s="1" t="s">
        <v>35</v>
      </c>
      <c r="E1360" s="1" t="s">
        <v>16</v>
      </c>
      <c r="F1360" s="1" t="s">
        <v>36</v>
      </c>
      <c r="G1360" s="1" t="s">
        <v>37</v>
      </c>
      <c r="H1360" s="1" t="s">
        <v>19</v>
      </c>
      <c r="I1360" s="1">
        <v>4</v>
      </c>
      <c r="J1360" s="1">
        <v>810.9</v>
      </c>
      <c r="K1360" s="1">
        <v>0.2</v>
      </c>
      <c r="L1360" s="1">
        <v>2594.88</v>
      </c>
      <c r="M1360" s="1" t="str">
        <f t="shared" si="42"/>
        <v>Retail Store</v>
      </c>
      <c r="N1360" s="1">
        <f t="shared" si="43"/>
        <v>16.2</v>
      </c>
    </row>
    <row r="1361" spans="1:14" x14ac:dyDescent="0.3">
      <c r="A1361" s="1" t="s">
        <v>830</v>
      </c>
      <c r="B1361" s="1" t="s">
        <v>828</v>
      </c>
      <c r="C1361" s="1" t="s">
        <v>47</v>
      </c>
      <c r="D1361" s="1" t="s">
        <v>35</v>
      </c>
      <c r="E1361" s="1" t="s">
        <v>28</v>
      </c>
      <c r="F1361" s="1" t="s">
        <v>17</v>
      </c>
      <c r="G1361" s="1" t="s">
        <v>98</v>
      </c>
      <c r="H1361" s="1" t="s">
        <v>49</v>
      </c>
      <c r="I1361" s="1">
        <v>7</v>
      </c>
      <c r="J1361" s="1">
        <v>405</v>
      </c>
      <c r="K1361" s="1">
        <v>0.2</v>
      </c>
      <c r="L1361" s="1">
        <v>2268</v>
      </c>
      <c r="M1361" s="1" t="str">
        <f t="shared" si="42"/>
        <v>Retail Store</v>
      </c>
      <c r="N1361" s="1">
        <f t="shared" si="43"/>
        <v>421.2</v>
      </c>
    </row>
    <row r="1362" spans="1:14" x14ac:dyDescent="0.3">
      <c r="A1362" s="1" t="s">
        <v>831</v>
      </c>
      <c r="B1362" s="1" t="s">
        <v>828</v>
      </c>
      <c r="C1362" s="1" t="s">
        <v>54</v>
      </c>
      <c r="D1362" s="1" t="s">
        <v>15</v>
      </c>
      <c r="E1362" s="1" t="s">
        <v>28</v>
      </c>
      <c r="F1362" s="1" t="s">
        <v>17</v>
      </c>
      <c r="G1362" s="1" t="s">
        <v>62</v>
      </c>
      <c r="H1362" s="1" t="s">
        <v>80</v>
      </c>
      <c r="I1362" s="1">
        <v>2</v>
      </c>
      <c r="J1362" s="1">
        <v>52.38</v>
      </c>
      <c r="K1362" s="1">
        <v>0.05</v>
      </c>
      <c r="L1362" s="1">
        <v>99.52</v>
      </c>
      <c r="M1362" s="1" t="str">
        <f t="shared" si="42"/>
        <v>Marketplace</v>
      </c>
      <c r="N1362" s="1">
        <f t="shared" si="43"/>
        <v>267.12</v>
      </c>
    </row>
    <row r="1363" spans="1:14" x14ac:dyDescent="0.3">
      <c r="A1363" s="1" t="s">
        <v>820</v>
      </c>
      <c r="B1363" s="1" t="s">
        <v>821</v>
      </c>
      <c r="C1363" s="1" t="s">
        <v>47</v>
      </c>
      <c r="D1363" s="1" t="s">
        <v>27</v>
      </c>
      <c r="E1363" s="1" t="s">
        <v>16</v>
      </c>
      <c r="F1363" s="1" t="s">
        <v>23</v>
      </c>
      <c r="G1363" s="1" t="s">
        <v>116</v>
      </c>
      <c r="H1363" s="1" t="s">
        <v>49</v>
      </c>
      <c r="I1363" s="1">
        <v>2</v>
      </c>
      <c r="J1363" s="1">
        <v>7.63</v>
      </c>
      <c r="K1363" s="1">
        <v>0.1</v>
      </c>
      <c r="L1363" s="1">
        <v>13.74</v>
      </c>
      <c r="M1363" s="1" t="str">
        <f t="shared" si="42"/>
        <v>Retail Store</v>
      </c>
      <c r="N1363" s="1">
        <f t="shared" si="43"/>
        <v>421.2</v>
      </c>
    </row>
    <row r="1364" spans="1:14" x14ac:dyDescent="0.3">
      <c r="A1364" s="1" t="s">
        <v>822</v>
      </c>
      <c r="B1364" s="1" t="s">
        <v>821</v>
      </c>
      <c r="C1364" s="1" t="s">
        <v>47</v>
      </c>
      <c r="D1364" s="1" t="s">
        <v>27</v>
      </c>
      <c r="E1364" s="1" t="s">
        <v>16</v>
      </c>
      <c r="F1364" s="1" t="s">
        <v>29</v>
      </c>
      <c r="G1364" s="1" t="s">
        <v>33</v>
      </c>
      <c r="H1364" s="1" t="s">
        <v>78</v>
      </c>
      <c r="I1364" s="1">
        <v>7</v>
      </c>
      <c r="J1364" s="1">
        <v>12.83</v>
      </c>
      <c r="K1364" s="1">
        <v>0.05</v>
      </c>
      <c r="L1364" s="1">
        <v>85.29</v>
      </c>
      <c r="M1364" s="1" t="str">
        <f t="shared" si="42"/>
        <v>Retail Store</v>
      </c>
      <c r="N1364" s="1">
        <f t="shared" si="43"/>
        <v>421.2</v>
      </c>
    </row>
    <row r="1365" spans="1:14" x14ac:dyDescent="0.3">
      <c r="A1365" s="1" t="s">
        <v>823</v>
      </c>
      <c r="B1365" s="1" t="s">
        <v>821</v>
      </c>
      <c r="C1365" s="1" t="s">
        <v>47</v>
      </c>
      <c r="D1365" s="1" t="s">
        <v>15</v>
      </c>
      <c r="E1365" s="1" t="s">
        <v>16</v>
      </c>
      <c r="F1365" s="1" t="s">
        <v>29</v>
      </c>
      <c r="G1365" s="1" t="s">
        <v>51</v>
      </c>
      <c r="H1365" s="1" t="s">
        <v>78</v>
      </c>
      <c r="I1365" s="1">
        <v>3</v>
      </c>
      <c r="J1365" s="1">
        <v>42.12</v>
      </c>
      <c r="K1365" s="1">
        <v>0.03</v>
      </c>
      <c r="L1365" s="1">
        <v>122.57</v>
      </c>
      <c r="M1365" s="1" t="str">
        <f t="shared" si="42"/>
        <v>Retail Store</v>
      </c>
      <c r="N1365" s="1">
        <f t="shared" si="43"/>
        <v>421.2</v>
      </c>
    </row>
    <row r="1366" spans="1:14" x14ac:dyDescent="0.3">
      <c r="A1366" s="1" t="s">
        <v>824</v>
      </c>
      <c r="B1366" s="1" t="s">
        <v>821</v>
      </c>
      <c r="C1366" s="1" t="s">
        <v>47</v>
      </c>
      <c r="D1366" s="1" t="s">
        <v>35</v>
      </c>
      <c r="E1366" s="1" t="s">
        <v>16</v>
      </c>
      <c r="F1366" s="1" t="s">
        <v>82</v>
      </c>
      <c r="G1366" s="1" t="s">
        <v>83</v>
      </c>
      <c r="H1366" s="1" t="s">
        <v>58</v>
      </c>
      <c r="I1366" s="1">
        <v>5</v>
      </c>
      <c r="J1366" s="1">
        <v>3591</v>
      </c>
      <c r="K1366" s="1">
        <v>0.05</v>
      </c>
      <c r="L1366" s="1">
        <v>17057.25</v>
      </c>
      <c r="M1366" s="1" t="str">
        <f t="shared" si="42"/>
        <v>Corporate Sales</v>
      </c>
      <c r="N1366" s="1">
        <f t="shared" si="43"/>
        <v>421.2</v>
      </c>
    </row>
    <row r="1367" spans="1:14" x14ac:dyDescent="0.3">
      <c r="A1367" s="1" t="s">
        <v>825</v>
      </c>
      <c r="B1367" s="1" t="s">
        <v>821</v>
      </c>
      <c r="C1367" s="1" t="s">
        <v>61</v>
      </c>
      <c r="D1367" s="1" t="s">
        <v>35</v>
      </c>
      <c r="E1367" s="1" t="s">
        <v>16</v>
      </c>
      <c r="F1367" s="1" t="s">
        <v>82</v>
      </c>
      <c r="G1367" s="1" t="s">
        <v>85</v>
      </c>
      <c r="H1367" s="1" t="s">
        <v>112</v>
      </c>
      <c r="I1367" s="1">
        <v>3</v>
      </c>
      <c r="J1367" s="1">
        <v>1539</v>
      </c>
      <c r="K1367" s="1">
        <v>0.08</v>
      </c>
      <c r="L1367" s="1">
        <v>4247.6400000000003</v>
      </c>
      <c r="M1367" s="1" t="str">
        <f t="shared" si="42"/>
        <v>Online</v>
      </c>
      <c r="N1367" s="1">
        <f t="shared" si="43"/>
        <v>62.01</v>
      </c>
    </row>
    <row r="1368" spans="1:14" x14ac:dyDescent="0.3">
      <c r="A1368" s="1" t="s">
        <v>826</v>
      </c>
      <c r="B1368" s="1" t="s">
        <v>821</v>
      </c>
      <c r="C1368" s="1" t="s">
        <v>61</v>
      </c>
      <c r="D1368" s="1" t="s">
        <v>27</v>
      </c>
      <c r="E1368" s="1" t="s">
        <v>28</v>
      </c>
      <c r="F1368" s="1" t="s">
        <v>82</v>
      </c>
      <c r="G1368" s="1" t="s">
        <v>114</v>
      </c>
      <c r="H1368" s="1" t="s">
        <v>112</v>
      </c>
      <c r="I1368" s="1">
        <v>4</v>
      </c>
      <c r="J1368" s="1">
        <v>2250</v>
      </c>
      <c r="K1368" s="1">
        <v>0.15</v>
      </c>
      <c r="L1368" s="1">
        <v>7650</v>
      </c>
      <c r="M1368" s="1" t="str">
        <f t="shared" si="42"/>
        <v>Online</v>
      </c>
      <c r="N1368" s="1">
        <f t="shared" si="43"/>
        <v>62.01</v>
      </c>
    </row>
    <row r="1369" spans="1:14" x14ac:dyDescent="0.3">
      <c r="A1369" s="1" t="s">
        <v>809</v>
      </c>
      <c r="B1369" s="1" t="s">
        <v>810</v>
      </c>
      <c r="C1369" s="1" t="s">
        <v>14</v>
      </c>
      <c r="D1369" s="1" t="s">
        <v>27</v>
      </c>
      <c r="E1369" s="1" t="s">
        <v>28</v>
      </c>
      <c r="F1369" s="1" t="s">
        <v>23</v>
      </c>
      <c r="G1369" s="1" t="s">
        <v>178</v>
      </c>
      <c r="H1369" s="1" t="s">
        <v>31</v>
      </c>
      <c r="I1369" s="1">
        <v>3</v>
      </c>
      <c r="J1369" s="1">
        <v>30.56</v>
      </c>
      <c r="K1369" s="1">
        <v>0.03</v>
      </c>
      <c r="L1369" s="1">
        <v>88.92</v>
      </c>
      <c r="M1369" s="1" t="str">
        <f t="shared" si="42"/>
        <v>Online</v>
      </c>
      <c r="N1369" s="1">
        <f t="shared" si="43"/>
        <v>16.2</v>
      </c>
    </row>
    <row r="1370" spans="1:14" x14ac:dyDescent="0.3">
      <c r="A1370" s="1" t="s">
        <v>811</v>
      </c>
      <c r="B1370" s="1" t="s">
        <v>810</v>
      </c>
      <c r="C1370" s="1" t="s">
        <v>54</v>
      </c>
      <c r="D1370" s="1" t="s">
        <v>35</v>
      </c>
      <c r="E1370" s="1" t="s">
        <v>16</v>
      </c>
      <c r="F1370" s="1" t="s">
        <v>29</v>
      </c>
      <c r="G1370" s="1" t="s">
        <v>51</v>
      </c>
      <c r="H1370" s="1" t="s">
        <v>80</v>
      </c>
      <c r="I1370" s="1">
        <v>9</v>
      </c>
      <c r="J1370" s="1">
        <v>41.31</v>
      </c>
      <c r="K1370" s="1">
        <v>0.15</v>
      </c>
      <c r="L1370" s="1">
        <v>316.02</v>
      </c>
      <c r="M1370" s="1" t="str">
        <f t="shared" si="42"/>
        <v>Marketplace</v>
      </c>
      <c r="N1370" s="1">
        <f t="shared" si="43"/>
        <v>267.12</v>
      </c>
    </row>
    <row r="1371" spans="1:14" x14ac:dyDescent="0.3">
      <c r="A1371" s="1" t="s">
        <v>812</v>
      </c>
      <c r="B1371" s="1" t="s">
        <v>810</v>
      </c>
      <c r="C1371" s="1" t="s">
        <v>47</v>
      </c>
      <c r="D1371" s="1" t="s">
        <v>35</v>
      </c>
      <c r="E1371" s="1" t="s">
        <v>28</v>
      </c>
      <c r="F1371" s="1" t="s">
        <v>82</v>
      </c>
      <c r="G1371" s="1" t="s">
        <v>150</v>
      </c>
      <c r="H1371" s="1" t="s">
        <v>58</v>
      </c>
      <c r="I1371" s="1">
        <v>2</v>
      </c>
      <c r="J1371" s="1">
        <v>2995.2</v>
      </c>
      <c r="K1371" s="1">
        <v>0.1</v>
      </c>
      <c r="L1371" s="1">
        <v>5391.36</v>
      </c>
      <c r="M1371" s="1" t="str">
        <f t="shared" si="42"/>
        <v>Corporate Sales</v>
      </c>
      <c r="N1371" s="1">
        <f t="shared" si="43"/>
        <v>421.2</v>
      </c>
    </row>
    <row r="1372" spans="1:14" x14ac:dyDescent="0.3">
      <c r="A1372" s="1" t="s">
        <v>813</v>
      </c>
      <c r="B1372" s="1" t="s">
        <v>810</v>
      </c>
      <c r="C1372" s="1" t="s">
        <v>21</v>
      </c>
      <c r="D1372" s="1" t="s">
        <v>27</v>
      </c>
      <c r="E1372" s="1" t="s">
        <v>16</v>
      </c>
      <c r="F1372" s="1" t="s">
        <v>29</v>
      </c>
      <c r="G1372" s="1" t="s">
        <v>88</v>
      </c>
      <c r="H1372" s="1" t="s">
        <v>44</v>
      </c>
      <c r="I1372" s="1">
        <v>7</v>
      </c>
      <c r="J1372" s="1">
        <v>62.01</v>
      </c>
      <c r="K1372" s="1">
        <v>0</v>
      </c>
      <c r="L1372" s="1">
        <v>434.07</v>
      </c>
      <c r="M1372" s="1" t="str">
        <f t="shared" si="42"/>
        <v>Retail Store</v>
      </c>
      <c r="N1372" s="1">
        <f t="shared" si="43"/>
        <v>405</v>
      </c>
    </row>
    <row r="1373" spans="1:14" x14ac:dyDescent="0.3">
      <c r="A1373" s="1" t="s">
        <v>814</v>
      </c>
      <c r="B1373" s="1" t="s">
        <v>810</v>
      </c>
      <c r="C1373" s="1" t="s">
        <v>54</v>
      </c>
      <c r="D1373" s="1" t="s">
        <v>27</v>
      </c>
      <c r="E1373" s="1" t="s">
        <v>28</v>
      </c>
      <c r="F1373" s="1" t="s">
        <v>29</v>
      </c>
      <c r="G1373" s="1" t="s">
        <v>33</v>
      </c>
      <c r="H1373" s="1" t="s">
        <v>80</v>
      </c>
      <c r="I1373" s="1">
        <v>3</v>
      </c>
      <c r="J1373" s="1">
        <v>13.5</v>
      </c>
      <c r="K1373" s="1">
        <v>0</v>
      </c>
      <c r="L1373" s="1">
        <v>40.5</v>
      </c>
      <c r="M1373" s="1" t="str">
        <f t="shared" si="42"/>
        <v>Marketplace</v>
      </c>
      <c r="N1373" s="1">
        <f t="shared" si="43"/>
        <v>267.12</v>
      </c>
    </row>
    <row r="1374" spans="1:14" x14ac:dyDescent="0.3">
      <c r="A1374" s="1" t="s">
        <v>815</v>
      </c>
      <c r="B1374" s="1" t="s">
        <v>810</v>
      </c>
      <c r="C1374" s="1" t="s">
        <v>47</v>
      </c>
      <c r="D1374" s="1" t="s">
        <v>27</v>
      </c>
      <c r="E1374" s="1" t="s">
        <v>28</v>
      </c>
      <c r="F1374" s="1" t="s">
        <v>42</v>
      </c>
      <c r="G1374" s="1" t="s">
        <v>48</v>
      </c>
      <c r="H1374" s="1" t="s">
        <v>58</v>
      </c>
      <c r="I1374" s="1">
        <v>2</v>
      </c>
      <c r="J1374" s="1">
        <v>17.100000000000001</v>
      </c>
      <c r="K1374" s="1">
        <v>0.1</v>
      </c>
      <c r="L1374" s="1">
        <v>30.78</v>
      </c>
      <c r="M1374" s="1" t="str">
        <f t="shared" si="42"/>
        <v>Corporate Sales</v>
      </c>
      <c r="N1374" s="1">
        <f t="shared" si="43"/>
        <v>421.2</v>
      </c>
    </row>
    <row r="1375" spans="1:14" x14ac:dyDescent="0.3">
      <c r="A1375" s="1" t="s">
        <v>816</v>
      </c>
      <c r="B1375" s="1" t="s">
        <v>810</v>
      </c>
      <c r="C1375" s="1" t="s">
        <v>14</v>
      </c>
      <c r="D1375" s="1" t="s">
        <v>15</v>
      </c>
      <c r="E1375" s="1" t="s">
        <v>28</v>
      </c>
      <c r="F1375" s="1" t="s">
        <v>29</v>
      </c>
      <c r="G1375" s="1" t="s">
        <v>33</v>
      </c>
      <c r="H1375" s="1" t="s">
        <v>19</v>
      </c>
      <c r="I1375" s="1">
        <v>4</v>
      </c>
      <c r="J1375" s="1">
        <v>14.31</v>
      </c>
      <c r="K1375" s="1">
        <v>0</v>
      </c>
      <c r="L1375" s="1">
        <v>57.24</v>
      </c>
      <c r="M1375" s="1" t="str">
        <f t="shared" si="42"/>
        <v>Retail Store</v>
      </c>
      <c r="N1375" s="1">
        <f t="shared" si="43"/>
        <v>16.2</v>
      </c>
    </row>
    <row r="1376" spans="1:14" x14ac:dyDescent="0.3">
      <c r="A1376" s="1" t="s">
        <v>817</v>
      </c>
      <c r="B1376" s="1" t="s">
        <v>810</v>
      </c>
      <c r="C1376" s="1" t="s">
        <v>14</v>
      </c>
      <c r="D1376" s="1" t="s">
        <v>27</v>
      </c>
      <c r="E1376" s="1" t="s">
        <v>16</v>
      </c>
      <c r="F1376" s="1" t="s">
        <v>29</v>
      </c>
      <c r="G1376" s="1" t="s">
        <v>51</v>
      </c>
      <c r="H1376" s="1" t="s">
        <v>31</v>
      </c>
      <c r="I1376" s="1">
        <v>3</v>
      </c>
      <c r="J1376" s="1">
        <v>42.12</v>
      </c>
      <c r="K1376" s="1">
        <v>0.1</v>
      </c>
      <c r="L1376" s="1">
        <v>113.72</v>
      </c>
      <c r="M1376" s="1" t="str">
        <f t="shared" si="42"/>
        <v>Online</v>
      </c>
      <c r="N1376" s="1">
        <f t="shared" si="43"/>
        <v>16.2</v>
      </c>
    </row>
    <row r="1377" spans="1:14" x14ac:dyDescent="0.3">
      <c r="A1377" s="1" t="s">
        <v>818</v>
      </c>
      <c r="B1377" s="1" t="s">
        <v>810</v>
      </c>
      <c r="C1377" s="1" t="s">
        <v>61</v>
      </c>
      <c r="D1377" s="1" t="s">
        <v>22</v>
      </c>
      <c r="E1377" s="1" t="s">
        <v>16</v>
      </c>
      <c r="F1377" s="1" t="s">
        <v>36</v>
      </c>
      <c r="G1377" s="1" t="s">
        <v>77</v>
      </c>
      <c r="H1377" s="1" t="s">
        <v>63</v>
      </c>
      <c r="I1377" s="1">
        <v>2</v>
      </c>
      <c r="J1377" s="1">
        <v>1350</v>
      </c>
      <c r="K1377" s="1">
        <v>0.03</v>
      </c>
      <c r="L1377" s="1">
        <v>2619</v>
      </c>
      <c r="M1377" s="1" t="str">
        <f t="shared" si="42"/>
        <v>Retail Store</v>
      </c>
      <c r="N1377" s="1">
        <f t="shared" si="43"/>
        <v>62.01</v>
      </c>
    </row>
    <row r="1378" spans="1:14" x14ac:dyDescent="0.3">
      <c r="A1378" s="1" t="s">
        <v>819</v>
      </c>
      <c r="B1378" s="1" t="s">
        <v>810</v>
      </c>
      <c r="C1378" s="1" t="s">
        <v>47</v>
      </c>
      <c r="D1378" s="1" t="s">
        <v>15</v>
      </c>
      <c r="E1378" s="1" t="s">
        <v>28</v>
      </c>
      <c r="F1378" s="1" t="s">
        <v>29</v>
      </c>
      <c r="G1378" s="1" t="s">
        <v>33</v>
      </c>
      <c r="H1378" s="1" t="s">
        <v>58</v>
      </c>
      <c r="I1378" s="1">
        <v>4</v>
      </c>
      <c r="J1378" s="1">
        <v>14.31</v>
      </c>
      <c r="K1378" s="1">
        <v>0.2</v>
      </c>
      <c r="L1378" s="1">
        <v>45.79</v>
      </c>
      <c r="M1378" s="1" t="str">
        <f t="shared" si="42"/>
        <v>Corporate Sales</v>
      </c>
      <c r="N1378" s="1">
        <f t="shared" si="43"/>
        <v>421.2</v>
      </c>
    </row>
    <row r="1379" spans="1:14" x14ac:dyDescent="0.3">
      <c r="A1379" s="1" t="s">
        <v>805</v>
      </c>
      <c r="B1379" s="1" t="s">
        <v>806</v>
      </c>
      <c r="C1379" s="1" t="s">
        <v>21</v>
      </c>
      <c r="D1379" s="1" t="s">
        <v>15</v>
      </c>
      <c r="E1379" s="1" t="s">
        <v>16</v>
      </c>
      <c r="F1379" s="1" t="s">
        <v>36</v>
      </c>
      <c r="G1379" s="1" t="s">
        <v>37</v>
      </c>
      <c r="H1379" s="1" t="s">
        <v>86</v>
      </c>
      <c r="I1379" s="1">
        <v>4</v>
      </c>
      <c r="J1379" s="1">
        <v>742.05</v>
      </c>
      <c r="K1379" s="1">
        <v>0.03</v>
      </c>
      <c r="L1379" s="1">
        <v>2879.15</v>
      </c>
      <c r="M1379" s="1" t="str">
        <f t="shared" si="42"/>
        <v>Online</v>
      </c>
      <c r="N1379" s="1">
        <f t="shared" si="43"/>
        <v>405</v>
      </c>
    </row>
    <row r="1380" spans="1:14" x14ac:dyDescent="0.3">
      <c r="A1380" s="1" t="s">
        <v>807</v>
      </c>
      <c r="B1380" s="1" t="s">
        <v>806</v>
      </c>
      <c r="C1380" s="1" t="s">
        <v>54</v>
      </c>
      <c r="D1380" s="1" t="s">
        <v>27</v>
      </c>
      <c r="E1380" s="1" t="s">
        <v>16</v>
      </c>
      <c r="F1380" s="1" t="s">
        <v>36</v>
      </c>
      <c r="G1380" s="1" t="s">
        <v>119</v>
      </c>
      <c r="H1380" s="1" t="s">
        <v>80</v>
      </c>
      <c r="I1380" s="1">
        <v>4</v>
      </c>
      <c r="J1380" s="1">
        <v>642.6</v>
      </c>
      <c r="K1380" s="1">
        <v>0.05</v>
      </c>
      <c r="L1380" s="1">
        <v>2441.88</v>
      </c>
      <c r="M1380" s="1" t="str">
        <f t="shared" si="42"/>
        <v>Marketplace</v>
      </c>
      <c r="N1380" s="1">
        <f t="shared" si="43"/>
        <v>267.12</v>
      </c>
    </row>
    <row r="1381" spans="1:14" x14ac:dyDescent="0.3">
      <c r="A1381" s="1" t="s">
        <v>808</v>
      </c>
      <c r="B1381" s="1" t="s">
        <v>806</v>
      </c>
      <c r="C1381" s="1" t="s">
        <v>54</v>
      </c>
      <c r="D1381" s="1" t="s">
        <v>35</v>
      </c>
      <c r="E1381" s="1" t="s">
        <v>16</v>
      </c>
      <c r="F1381" s="1" t="s">
        <v>82</v>
      </c>
      <c r="G1381" s="1" t="s">
        <v>96</v>
      </c>
      <c r="H1381" s="1" t="s">
        <v>80</v>
      </c>
      <c r="I1381" s="1">
        <v>2</v>
      </c>
      <c r="J1381" s="1">
        <v>2700</v>
      </c>
      <c r="K1381" s="1">
        <v>0.2</v>
      </c>
      <c r="L1381" s="1">
        <v>4320</v>
      </c>
      <c r="M1381" s="1" t="str">
        <f t="shared" si="42"/>
        <v>Marketplace</v>
      </c>
      <c r="N1381" s="1">
        <f t="shared" si="43"/>
        <v>267.12</v>
      </c>
    </row>
    <row r="1382" spans="1:14" x14ac:dyDescent="0.3">
      <c r="A1382" s="1" t="s">
        <v>800</v>
      </c>
      <c r="B1382" s="1" t="s">
        <v>801</v>
      </c>
      <c r="C1382" s="1" t="s">
        <v>21</v>
      </c>
      <c r="D1382" s="1" t="s">
        <v>27</v>
      </c>
      <c r="E1382" s="1" t="s">
        <v>28</v>
      </c>
      <c r="F1382" s="1" t="s">
        <v>17</v>
      </c>
      <c r="G1382" s="1" t="s">
        <v>18</v>
      </c>
      <c r="H1382" s="1" t="s">
        <v>25</v>
      </c>
      <c r="I1382" s="1">
        <v>4</v>
      </c>
      <c r="J1382" s="1">
        <v>78.569999999999993</v>
      </c>
      <c r="K1382" s="1">
        <v>0.15</v>
      </c>
      <c r="L1382" s="1">
        <v>267.14</v>
      </c>
      <c r="M1382" s="1" t="str">
        <f t="shared" si="42"/>
        <v>Marketplace</v>
      </c>
      <c r="N1382" s="1">
        <f t="shared" si="43"/>
        <v>405</v>
      </c>
    </row>
    <row r="1383" spans="1:14" x14ac:dyDescent="0.3">
      <c r="A1383" s="1" t="s">
        <v>802</v>
      </c>
      <c r="B1383" s="1" t="s">
        <v>801</v>
      </c>
      <c r="C1383" s="1" t="s">
        <v>14</v>
      </c>
      <c r="D1383" s="1" t="s">
        <v>22</v>
      </c>
      <c r="E1383" s="1" t="s">
        <v>28</v>
      </c>
      <c r="F1383" s="1" t="s">
        <v>29</v>
      </c>
      <c r="G1383" s="1" t="s">
        <v>51</v>
      </c>
      <c r="H1383" s="1" t="s">
        <v>40</v>
      </c>
      <c r="I1383" s="1">
        <v>2</v>
      </c>
      <c r="J1383" s="1">
        <v>40.5</v>
      </c>
      <c r="K1383" s="1">
        <v>0</v>
      </c>
      <c r="L1383" s="1">
        <v>81</v>
      </c>
      <c r="M1383" s="1" t="str">
        <f t="shared" si="42"/>
        <v>Online</v>
      </c>
      <c r="N1383" s="1">
        <f t="shared" si="43"/>
        <v>16.2</v>
      </c>
    </row>
    <row r="1384" spans="1:14" x14ac:dyDescent="0.3">
      <c r="A1384" s="1" t="s">
        <v>803</v>
      </c>
      <c r="B1384" s="1" t="s">
        <v>801</v>
      </c>
      <c r="C1384" s="1" t="s">
        <v>54</v>
      </c>
      <c r="D1384" s="1" t="s">
        <v>15</v>
      </c>
      <c r="E1384" s="1" t="s">
        <v>16</v>
      </c>
      <c r="F1384" s="1" t="s">
        <v>36</v>
      </c>
      <c r="G1384" s="1" t="s">
        <v>119</v>
      </c>
      <c r="H1384" s="1" t="s">
        <v>80</v>
      </c>
      <c r="I1384" s="1">
        <v>2</v>
      </c>
      <c r="J1384" s="1">
        <v>598.5</v>
      </c>
      <c r="K1384" s="1">
        <v>0</v>
      </c>
      <c r="L1384" s="1">
        <v>1197</v>
      </c>
      <c r="M1384" s="1" t="str">
        <f t="shared" si="42"/>
        <v>Marketplace</v>
      </c>
      <c r="N1384" s="1">
        <f t="shared" si="43"/>
        <v>267.12</v>
      </c>
    </row>
    <row r="1385" spans="1:14" x14ac:dyDescent="0.3">
      <c r="A1385" s="1" t="s">
        <v>804</v>
      </c>
      <c r="B1385" s="1" t="s">
        <v>801</v>
      </c>
      <c r="C1385" s="1" t="s">
        <v>14</v>
      </c>
      <c r="D1385" s="1" t="s">
        <v>15</v>
      </c>
      <c r="E1385" s="1" t="s">
        <v>16</v>
      </c>
      <c r="F1385" s="1" t="s">
        <v>17</v>
      </c>
      <c r="G1385" s="1" t="s">
        <v>189</v>
      </c>
      <c r="H1385" s="1" t="s">
        <v>19</v>
      </c>
      <c r="I1385" s="1">
        <v>2</v>
      </c>
      <c r="J1385" s="1">
        <v>288</v>
      </c>
      <c r="K1385" s="1">
        <v>0.05</v>
      </c>
      <c r="L1385" s="1">
        <v>547.20000000000005</v>
      </c>
      <c r="M1385" s="1" t="str">
        <f t="shared" si="42"/>
        <v>Retail Store</v>
      </c>
      <c r="N1385" s="1">
        <f t="shared" si="43"/>
        <v>16.2</v>
      </c>
    </row>
    <row r="1386" spans="1:14" x14ac:dyDescent="0.3">
      <c r="A1386" s="1" t="s">
        <v>791</v>
      </c>
      <c r="B1386" s="1" t="s">
        <v>792</v>
      </c>
      <c r="C1386" s="1" t="s">
        <v>54</v>
      </c>
      <c r="D1386" s="1" t="s">
        <v>35</v>
      </c>
      <c r="E1386" s="1" t="s">
        <v>16</v>
      </c>
      <c r="F1386" s="1" t="s">
        <v>36</v>
      </c>
      <c r="G1386" s="1" t="s">
        <v>77</v>
      </c>
      <c r="H1386" s="1" t="s">
        <v>56</v>
      </c>
      <c r="I1386" s="1">
        <v>4</v>
      </c>
      <c r="J1386" s="1">
        <v>1309.5</v>
      </c>
      <c r="K1386" s="1">
        <v>0</v>
      </c>
      <c r="L1386" s="1">
        <v>5238</v>
      </c>
      <c r="M1386" s="1" t="str">
        <f t="shared" si="42"/>
        <v>Online</v>
      </c>
      <c r="N1386" s="1">
        <f t="shared" si="43"/>
        <v>267.12</v>
      </c>
    </row>
    <row r="1387" spans="1:14" x14ac:dyDescent="0.3">
      <c r="A1387" s="1" t="s">
        <v>793</v>
      </c>
      <c r="B1387" s="1" t="s">
        <v>792</v>
      </c>
      <c r="C1387" s="1" t="s">
        <v>47</v>
      </c>
      <c r="D1387" s="1" t="s">
        <v>15</v>
      </c>
      <c r="E1387" s="1" t="s">
        <v>28</v>
      </c>
      <c r="F1387" s="1" t="s">
        <v>17</v>
      </c>
      <c r="G1387" s="1" t="s">
        <v>62</v>
      </c>
      <c r="H1387" s="1" t="s">
        <v>58</v>
      </c>
      <c r="I1387" s="1">
        <v>4</v>
      </c>
      <c r="J1387" s="1">
        <v>51.3</v>
      </c>
      <c r="K1387" s="1">
        <v>0.03</v>
      </c>
      <c r="L1387" s="1">
        <v>199.04</v>
      </c>
      <c r="M1387" s="1" t="str">
        <f t="shared" si="42"/>
        <v>Corporate Sales</v>
      </c>
      <c r="N1387" s="1">
        <f t="shared" si="43"/>
        <v>421.2</v>
      </c>
    </row>
    <row r="1388" spans="1:14" x14ac:dyDescent="0.3">
      <c r="A1388" s="1" t="s">
        <v>794</v>
      </c>
      <c r="B1388" s="1" t="s">
        <v>792</v>
      </c>
      <c r="C1388" s="1" t="s">
        <v>61</v>
      </c>
      <c r="D1388" s="1" t="s">
        <v>15</v>
      </c>
      <c r="E1388" s="1" t="s">
        <v>16</v>
      </c>
      <c r="F1388" s="1" t="s">
        <v>82</v>
      </c>
      <c r="G1388" s="1" t="s">
        <v>85</v>
      </c>
      <c r="H1388" s="1" t="s">
        <v>73</v>
      </c>
      <c r="I1388" s="1">
        <v>2</v>
      </c>
      <c r="J1388" s="1">
        <v>1684.8</v>
      </c>
      <c r="K1388" s="1">
        <v>0.05</v>
      </c>
      <c r="L1388" s="1">
        <v>3201.12</v>
      </c>
      <c r="M1388" s="1" t="str">
        <f t="shared" si="42"/>
        <v>Online</v>
      </c>
      <c r="N1388" s="1">
        <f t="shared" si="43"/>
        <v>62.01</v>
      </c>
    </row>
    <row r="1389" spans="1:14" x14ac:dyDescent="0.3">
      <c r="A1389" s="1" t="s">
        <v>795</v>
      </c>
      <c r="B1389" s="1" t="s">
        <v>792</v>
      </c>
      <c r="C1389" s="1" t="s">
        <v>14</v>
      </c>
      <c r="D1389" s="1" t="s">
        <v>22</v>
      </c>
      <c r="E1389" s="1" t="s">
        <v>16</v>
      </c>
      <c r="F1389" s="1" t="s">
        <v>36</v>
      </c>
      <c r="G1389" s="1" t="s">
        <v>77</v>
      </c>
      <c r="H1389" s="1" t="s">
        <v>40</v>
      </c>
      <c r="I1389" s="1">
        <v>4</v>
      </c>
      <c r="J1389" s="1">
        <v>1431</v>
      </c>
      <c r="K1389" s="1">
        <v>0.05</v>
      </c>
      <c r="L1389" s="1">
        <v>5437.8</v>
      </c>
      <c r="M1389" s="1" t="str">
        <f t="shared" si="42"/>
        <v>Online</v>
      </c>
      <c r="N1389" s="1">
        <f t="shared" si="43"/>
        <v>16.2</v>
      </c>
    </row>
    <row r="1390" spans="1:14" x14ac:dyDescent="0.3">
      <c r="A1390" s="1" t="s">
        <v>796</v>
      </c>
      <c r="B1390" s="1" t="s">
        <v>792</v>
      </c>
      <c r="C1390" s="1" t="s">
        <v>14</v>
      </c>
      <c r="D1390" s="1" t="s">
        <v>22</v>
      </c>
      <c r="E1390" s="1" t="s">
        <v>16</v>
      </c>
      <c r="F1390" s="1" t="s">
        <v>29</v>
      </c>
      <c r="G1390" s="1" t="s">
        <v>51</v>
      </c>
      <c r="H1390" s="1" t="s">
        <v>31</v>
      </c>
      <c r="I1390" s="1">
        <v>3</v>
      </c>
      <c r="J1390" s="1">
        <v>40.5</v>
      </c>
      <c r="K1390" s="1">
        <v>0.05</v>
      </c>
      <c r="L1390" s="1">
        <v>115.43</v>
      </c>
      <c r="M1390" s="1" t="str">
        <f t="shared" si="42"/>
        <v>Online</v>
      </c>
      <c r="N1390" s="1">
        <f t="shared" si="43"/>
        <v>16.2</v>
      </c>
    </row>
    <row r="1391" spans="1:14" x14ac:dyDescent="0.3">
      <c r="A1391" s="1" t="s">
        <v>797</v>
      </c>
      <c r="B1391" s="1" t="s">
        <v>792</v>
      </c>
      <c r="C1391" s="1" t="s">
        <v>54</v>
      </c>
      <c r="D1391" s="1" t="s">
        <v>15</v>
      </c>
      <c r="E1391" s="1" t="s">
        <v>16</v>
      </c>
      <c r="F1391" s="1" t="s">
        <v>29</v>
      </c>
      <c r="G1391" s="1" t="s">
        <v>55</v>
      </c>
      <c r="H1391" s="1" t="s">
        <v>80</v>
      </c>
      <c r="I1391" s="1">
        <v>2</v>
      </c>
      <c r="J1391" s="1">
        <v>34.200000000000003</v>
      </c>
      <c r="K1391" s="1">
        <v>0.05</v>
      </c>
      <c r="L1391" s="1">
        <v>64.98</v>
      </c>
      <c r="M1391" s="1" t="str">
        <f t="shared" si="42"/>
        <v>Marketplace</v>
      </c>
      <c r="N1391" s="1">
        <f t="shared" si="43"/>
        <v>267.12</v>
      </c>
    </row>
    <row r="1392" spans="1:14" x14ac:dyDescent="0.3">
      <c r="A1392" s="1" t="s">
        <v>798</v>
      </c>
      <c r="B1392" s="1" t="s">
        <v>792</v>
      </c>
      <c r="C1392" s="1" t="s">
        <v>14</v>
      </c>
      <c r="D1392" s="1" t="s">
        <v>15</v>
      </c>
      <c r="E1392" s="1" t="s">
        <v>28</v>
      </c>
      <c r="F1392" s="1" t="s">
        <v>29</v>
      </c>
      <c r="G1392" s="1" t="s">
        <v>51</v>
      </c>
      <c r="H1392" s="1" t="s">
        <v>40</v>
      </c>
      <c r="I1392" s="1">
        <v>5</v>
      </c>
      <c r="J1392" s="1">
        <v>41.31</v>
      </c>
      <c r="K1392" s="1">
        <v>0.08</v>
      </c>
      <c r="L1392" s="1">
        <v>190.03</v>
      </c>
      <c r="M1392" s="1" t="str">
        <f t="shared" si="42"/>
        <v>Online</v>
      </c>
      <c r="N1392" s="1">
        <f t="shared" si="43"/>
        <v>16.2</v>
      </c>
    </row>
    <row r="1393" spans="1:14" x14ac:dyDescent="0.3">
      <c r="A1393" s="1" t="s">
        <v>799</v>
      </c>
      <c r="B1393" s="1" t="s">
        <v>792</v>
      </c>
      <c r="C1393" s="1" t="s">
        <v>54</v>
      </c>
      <c r="D1393" s="1" t="s">
        <v>22</v>
      </c>
      <c r="E1393" s="1" t="s">
        <v>28</v>
      </c>
      <c r="F1393" s="1" t="s">
        <v>29</v>
      </c>
      <c r="G1393" s="1" t="s">
        <v>33</v>
      </c>
      <c r="H1393" s="1" t="s">
        <v>80</v>
      </c>
      <c r="I1393" s="1">
        <v>3</v>
      </c>
      <c r="J1393" s="1">
        <v>14.04</v>
      </c>
      <c r="K1393" s="1">
        <v>0.1</v>
      </c>
      <c r="L1393" s="1">
        <v>37.909999999999997</v>
      </c>
      <c r="M1393" s="1" t="str">
        <f t="shared" si="42"/>
        <v>Marketplace</v>
      </c>
      <c r="N1393" s="1">
        <f t="shared" si="43"/>
        <v>267.12</v>
      </c>
    </row>
    <row r="1394" spans="1:14" x14ac:dyDescent="0.3">
      <c r="A1394" s="1" t="s">
        <v>786</v>
      </c>
      <c r="B1394" s="1" t="s">
        <v>787</v>
      </c>
      <c r="C1394" s="1" t="s">
        <v>21</v>
      </c>
      <c r="D1394" s="1" t="s">
        <v>22</v>
      </c>
      <c r="E1394" s="1" t="s">
        <v>28</v>
      </c>
      <c r="F1394" s="1" t="s">
        <v>23</v>
      </c>
      <c r="G1394" s="1" t="s">
        <v>142</v>
      </c>
      <c r="H1394" s="1" t="s">
        <v>86</v>
      </c>
      <c r="I1394" s="1">
        <v>2</v>
      </c>
      <c r="J1394" s="1">
        <v>17.170000000000002</v>
      </c>
      <c r="K1394" s="1">
        <v>0.05</v>
      </c>
      <c r="L1394" s="1">
        <v>32.630000000000003</v>
      </c>
      <c r="M1394" s="1" t="str">
        <f t="shared" si="42"/>
        <v>Online</v>
      </c>
      <c r="N1394" s="1">
        <f t="shared" si="43"/>
        <v>405</v>
      </c>
    </row>
    <row r="1395" spans="1:14" x14ac:dyDescent="0.3">
      <c r="A1395" s="1" t="s">
        <v>788</v>
      </c>
      <c r="B1395" s="1" t="s">
        <v>787</v>
      </c>
      <c r="C1395" s="1" t="s">
        <v>14</v>
      </c>
      <c r="D1395" s="1" t="s">
        <v>22</v>
      </c>
      <c r="E1395" s="1" t="s">
        <v>28</v>
      </c>
      <c r="F1395" s="1" t="s">
        <v>23</v>
      </c>
      <c r="G1395" s="1" t="s">
        <v>178</v>
      </c>
      <c r="H1395" s="1" t="s">
        <v>19</v>
      </c>
      <c r="I1395" s="1">
        <v>2</v>
      </c>
      <c r="J1395" s="1">
        <v>31.5</v>
      </c>
      <c r="K1395" s="1">
        <v>0.05</v>
      </c>
      <c r="L1395" s="1">
        <v>59.85</v>
      </c>
      <c r="M1395" s="1" t="str">
        <f t="shared" si="42"/>
        <v>Retail Store</v>
      </c>
      <c r="N1395" s="1">
        <f t="shared" si="43"/>
        <v>16.2</v>
      </c>
    </row>
    <row r="1396" spans="1:14" x14ac:dyDescent="0.3">
      <c r="A1396" s="1" t="s">
        <v>789</v>
      </c>
      <c r="B1396" s="1" t="s">
        <v>787</v>
      </c>
      <c r="C1396" s="1" t="s">
        <v>47</v>
      </c>
      <c r="D1396" s="1" t="s">
        <v>22</v>
      </c>
      <c r="E1396" s="1" t="s">
        <v>16</v>
      </c>
      <c r="F1396" s="1" t="s">
        <v>17</v>
      </c>
      <c r="G1396" s="1" t="s">
        <v>98</v>
      </c>
      <c r="H1396" s="1" t="s">
        <v>58</v>
      </c>
      <c r="I1396" s="1">
        <v>2</v>
      </c>
      <c r="J1396" s="1">
        <v>429.3</v>
      </c>
      <c r="K1396" s="1">
        <v>0.15</v>
      </c>
      <c r="L1396" s="1">
        <v>729.81</v>
      </c>
      <c r="M1396" s="1" t="str">
        <f t="shared" si="42"/>
        <v>Corporate Sales</v>
      </c>
      <c r="N1396" s="1">
        <f t="shared" si="43"/>
        <v>421.2</v>
      </c>
    </row>
    <row r="1397" spans="1:14" x14ac:dyDescent="0.3">
      <c r="A1397" s="1" t="s">
        <v>790</v>
      </c>
      <c r="B1397" s="1" t="s">
        <v>787</v>
      </c>
      <c r="C1397" s="1" t="s">
        <v>47</v>
      </c>
      <c r="D1397" s="1" t="s">
        <v>27</v>
      </c>
      <c r="E1397" s="1" t="s">
        <v>16</v>
      </c>
      <c r="F1397" s="1" t="s">
        <v>23</v>
      </c>
      <c r="G1397" s="1" t="s">
        <v>103</v>
      </c>
      <c r="H1397" s="1" t="s">
        <v>58</v>
      </c>
      <c r="I1397" s="1">
        <v>2</v>
      </c>
      <c r="J1397" s="1">
        <v>10.48</v>
      </c>
      <c r="K1397" s="1">
        <v>0.08</v>
      </c>
      <c r="L1397" s="1">
        <v>19.28</v>
      </c>
      <c r="M1397" s="1" t="str">
        <f t="shared" si="42"/>
        <v>Corporate Sales</v>
      </c>
      <c r="N1397" s="1">
        <f t="shared" si="43"/>
        <v>421.2</v>
      </c>
    </row>
    <row r="1398" spans="1:14" x14ac:dyDescent="0.3">
      <c r="A1398" s="1" t="s">
        <v>778</v>
      </c>
      <c r="B1398" s="1" t="s">
        <v>779</v>
      </c>
      <c r="C1398" s="1" t="s">
        <v>54</v>
      </c>
      <c r="D1398" s="1" t="s">
        <v>35</v>
      </c>
      <c r="E1398" s="1" t="s">
        <v>16</v>
      </c>
      <c r="F1398" s="1" t="s">
        <v>82</v>
      </c>
      <c r="G1398" s="1" t="s">
        <v>83</v>
      </c>
      <c r="H1398" s="1" t="s">
        <v>80</v>
      </c>
      <c r="I1398" s="1">
        <v>2</v>
      </c>
      <c r="J1398" s="1">
        <v>3666.6</v>
      </c>
      <c r="K1398" s="1">
        <v>0.1</v>
      </c>
      <c r="L1398" s="1">
        <v>6599.88</v>
      </c>
      <c r="M1398" s="1" t="str">
        <f t="shared" si="42"/>
        <v>Marketplace</v>
      </c>
      <c r="N1398" s="1">
        <f t="shared" si="43"/>
        <v>267.12</v>
      </c>
    </row>
    <row r="1399" spans="1:14" x14ac:dyDescent="0.3">
      <c r="A1399" s="1" t="s">
        <v>780</v>
      </c>
      <c r="B1399" s="1" t="s">
        <v>779</v>
      </c>
      <c r="C1399" s="1" t="s">
        <v>61</v>
      </c>
      <c r="D1399" s="1" t="s">
        <v>27</v>
      </c>
      <c r="E1399" s="1" t="s">
        <v>28</v>
      </c>
      <c r="F1399" s="1" t="s">
        <v>23</v>
      </c>
      <c r="G1399" s="1" t="s">
        <v>103</v>
      </c>
      <c r="H1399" s="1" t="s">
        <v>63</v>
      </c>
      <c r="I1399" s="1">
        <v>6</v>
      </c>
      <c r="J1399" s="1">
        <v>10.26</v>
      </c>
      <c r="K1399" s="1">
        <v>0</v>
      </c>
      <c r="L1399" s="1">
        <v>61.56</v>
      </c>
      <c r="M1399" s="1" t="str">
        <f t="shared" si="42"/>
        <v>Retail Store</v>
      </c>
      <c r="N1399" s="1">
        <f t="shared" si="43"/>
        <v>62.01</v>
      </c>
    </row>
    <row r="1400" spans="1:14" x14ac:dyDescent="0.3">
      <c r="A1400" s="1" t="s">
        <v>781</v>
      </c>
      <c r="B1400" s="1" t="s">
        <v>779</v>
      </c>
      <c r="C1400" s="1" t="s">
        <v>14</v>
      </c>
      <c r="D1400" s="1" t="s">
        <v>15</v>
      </c>
      <c r="E1400" s="1" t="s">
        <v>28</v>
      </c>
      <c r="F1400" s="1" t="s">
        <v>17</v>
      </c>
      <c r="G1400" s="1" t="s">
        <v>189</v>
      </c>
      <c r="H1400" s="1" t="s">
        <v>31</v>
      </c>
      <c r="I1400" s="1">
        <v>3</v>
      </c>
      <c r="J1400" s="1">
        <v>279.36</v>
      </c>
      <c r="K1400" s="1">
        <v>0.08</v>
      </c>
      <c r="L1400" s="1">
        <v>771.03</v>
      </c>
      <c r="M1400" s="1" t="str">
        <f t="shared" si="42"/>
        <v>Online</v>
      </c>
      <c r="N1400" s="1">
        <f t="shared" si="43"/>
        <v>16.2</v>
      </c>
    </row>
    <row r="1401" spans="1:14" x14ac:dyDescent="0.3">
      <c r="A1401" s="1" t="s">
        <v>782</v>
      </c>
      <c r="B1401" s="1" t="s">
        <v>779</v>
      </c>
      <c r="C1401" s="1" t="s">
        <v>61</v>
      </c>
      <c r="D1401" s="1" t="s">
        <v>15</v>
      </c>
      <c r="E1401" s="1" t="s">
        <v>16</v>
      </c>
      <c r="F1401" s="1" t="s">
        <v>17</v>
      </c>
      <c r="G1401" s="1" t="s">
        <v>98</v>
      </c>
      <c r="H1401" s="1" t="s">
        <v>112</v>
      </c>
      <c r="I1401" s="1">
        <v>6</v>
      </c>
      <c r="J1401" s="1">
        <v>405</v>
      </c>
      <c r="K1401" s="1">
        <v>0.15</v>
      </c>
      <c r="L1401" s="1">
        <v>2065.5</v>
      </c>
      <c r="M1401" s="1" t="str">
        <f t="shared" si="42"/>
        <v>Online</v>
      </c>
      <c r="N1401" s="1">
        <f t="shared" si="43"/>
        <v>62.01</v>
      </c>
    </row>
    <row r="1402" spans="1:14" x14ac:dyDescent="0.3">
      <c r="A1402" s="1" t="s">
        <v>783</v>
      </c>
      <c r="B1402" s="1" t="s">
        <v>779</v>
      </c>
      <c r="C1402" s="1" t="s">
        <v>54</v>
      </c>
      <c r="D1402" s="1" t="s">
        <v>27</v>
      </c>
      <c r="E1402" s="1" t="s">
        <v>16</v>
      </c>
      <c r="F1402" s="1" t="s">
        <v>23</v>
      </c>
      <c r="G1402" s="1" t="s">
        <v>24</v>
      </c>
      <c r="H1402" s="1" t="s">
        <v>56</v>
      </c>
      <c r="I1402" s="1">
        <v>4</v>
      </c>
      <c r="J1402" s="1">
        <v>23.85</v>
      </c>
      <c r="K1402" s="1">
        <v>0.03</v>
      </c>
      <c r="L1402" s="1">
        <v>92.54</v>
      </c>
      <c r="M1402" s="1" t="str">
        <f t="shared" si="42"/>
        <v>Online</v>
      </c>
      <c r="N1402" s="1">
        <f t="shared" si="43"/>
        <v>267.12</v>
      </c>
    </row>
    <row r="1403" spans="1:14" x14ac:dyDescent="0.3">
      <c r="A1403" s="1" t="s">
        <v>784</v>
      </c>
      <c r="B1403" s="1" t="s">
        <v>779</v>
      </c>
      <c r="C1403" s="1" t="s">
        <v>61</v>
      </c>
      <c r="D1403" s="1" t="s">
        <v>27</v>
      </c>
      <c r="E1403" s="1" t="s">
        <v>28</v>
      </c>
      <c r="F1403" s="1" t="s">
        <v>82</v>
      </c>
      <c r="G1403" s="1" t="s">
        <v>83</v>
      </c>
      <c r="H1403" s="1" t="s">
        <v>112</v>
      </c>
      <c r="I1403" s="1">
        <v>2</v>
      </c>
      <c r="J1403" s="1">
        <v>3780</v>
      </c>
      <c r="K1403" s="1">
        <v>0.08</v>
      </c>
      <c r="L1403" s="1">
        <v>6955.2</v>
      </c>
      <c r="M1403" s="1" t="str">
        <f t="shared" si="42"/>
        <v>Online</v>
      </c>
      <c r="N1403" s="1">
        <f t="shared" si="43"/>
        <v>62.01</v>
      </c>
    </row>
    <row r="1404" spans="1:14" x14ac:dyDescent="0.3">
      <c r="A1404" s="1" t="s">
        <v>785</v>
      </c>
      <c r="B1404" s="1" t="s">
        <v>779</v>
      </c>
      <c r="C1404" s="1" t="s">
        <v>47</v>
      </c>
      <c r="D1404" s="1" t="s">
        <v>27</v>
      </c>
      <c r="E1404" s="1" t="s">
        <v>28</v>
      </c>
      <c r="F1404" s="1" t="s">
        <v>42</v>
      </c>
      <c r="G1404" s="1" t="s">
        <v>43</v>
      </c>
      <c r="H1404" s="1" t="s">
        <v>49</v>
      </c>
      <c r="I1404" s="1">
        <v>2</v>
      </c>
      <c r="J1404" s="1">
        <v>157.13999999999999</v>
      </c>
      <c r="K1404" s="1">
        <v>0.05</v>
      </c>
      <c r="L1404" s="1">
        <v>298.57</v>
      </c>
      <c r="M1404" s="1" t="str">
        <f t="shared" si="42"/>
        <v>Retail Store</v>
      </c>
      <c r="N1404" s="1">
        <f t="shared" si="43"/>
        <v>421.2</v>
      </c>
    </row>
    <row r="1405" spans="1:14" x14ac:dyDescent="0.3">
      <c r="A1405" s="1" t="s">
        <v>773</v>
      </c>
      <c r="B1405" s="1" t="s">
        <v>774</v>
      </c>
      <c r="C1405" s="1" t="s">
        <v>54</v>
      </c>
      <c r="D1405" s="1" t="s">
        <v>15</v>
      </c>
      <c r="E1405" s="1" t="s">
        <v>16</v>
      </c>
      <c r="F1405" s="1" t="s">
        <v>42</v>
      </c>
      <c r="G1405" s="1" t="s">
        <v>48</v>
      </c>
      <c r="H1405" s="1" t="s">
        <v>80</v>
      </c>
      <c r="I1405" s="1">
        <v>3</v>
      </c>
      <c r="J1405" s="1">
        <v>18</v>
      </c>
      <c r="K1405" s="1">
        <v>0.1</v>
      </c>
      <c r="L1405" s="1">
        <v>48.6</v>
      </c>
      <c r="M1405" s="1" t="str">
        <f t="shared" si="42"/>
        <v>Marketplace</v>
      </c>
      <c r="N1405" s="1">
        <f t="shared" si="43"/>
        <v>267.12</v>
      </c>
    </row>
    <row r="1406" spans="1:14" x14ac:dyDescent="0.3">
      <c r="A1406" s="1" t="s">
        <v>775</v>
      </c>
      <c r="B1406" s="1" t="s">
        <v>774</v>
      </c>
      <c r="C1406" s="1" t="s">
        <v>21</v>
      </c>
      <c r="D1406" s="1" t="s">
        <v>15</v>
      </c>
      <c r="E1406" s="1" t="s">
        <v>16</v>
      </c>
      <c r="F1406" s="1" t="s">
        <v>17</v>
      </c>
      <c r="G1406" s="1" t="s">
        <v>62</v>
      </c>
      <c r="H1406" s="1" t="s">
        <v>44</v>
      </c>
      <c r="I1406" s="1">
        <v>3</v>
      </c>
      <c r="J1406" s="1">
        <v>51.3</v>
      </c>
      <c r="K1406" s="1">
        <v>0.03</v>
      </c>
      <c r="L1406" s="1">
        <v>149.28</v>
      </c>
      <c r="M1406" s="1" t="str">
        <f t="shared" si="42"/>
        <v>Retail Store</v>
      </c>
      <c r="N1406" s="1">
        <f t="shared" si="43"/>
        <v>405</v>
      </c>
    </row>
    <row r="1407" spans="1:14" x14ac:dyDescent="0.3">
      <c r="A1407" s="1" t="s">
        <v>776</v>
      </c>
      <c r="B1407" s="1" t="s">
        <v>774</v>
      </c>
      <c r="C1407" s="1" t="s">
        <v>61</v>
      </c>
      <c r="D1407" s="1" t="s">
        <v>35</v>
      </c>
      <c r="E1407" s="1" t="s">
        <v>16</v>
      </c>
      <c r="F1407" s="1" t="s">
        <v>17</v>
      </c>
      <c r="G1407" s="1" t="s">
        <v>62</v>
      </c>
      <c r="H1407" s="1" t="s">
        <v>112</v>
      </c>
      <c r="I1407" s="1">
        <v>3</v>
      </c>
      <c r="J1407" s="1">
        <v>51.3</v>
      </c>
      <c r="K1407" s="1">
        <v>0.2</v>
      </c>
      <c r="L1407" s="1">
        <v>123.12</v>
      </c>
      <c r="M1407" s="1" t="str">
        <f t="shared" si="42"/>
        <v>Online</v>
      </c>
      <c r="N1407" s="1">
        <f t="shared" si="43"/>
        <v>62.01</v>
      </c>
    </row>
    <row r="1408" spans="1:14" x14ac:dyDescent="0.3">
      <c r="A1408" s="1" t="s">
        <v>777</v>
      </c>
      <c r="B1408" s="1" t="s">
        <v>774</v>
      </c>
      <c r="C1408" s="1" t="s">
        <v>21</v>
      </c>
      <c r="D1408" s="1" t="s">
        <v>27</v>
      </c>
      <c r="E1408" s="1" t="s">
        <v>16</v>
      </c>
      <c r="F1408" s="1" t="s">
        <v>82</v>
      </c>
      <c r="G1408" s="1" t="s">
        <v>150</v>
      </c>
      <c r="H1408" s="1" t="s">
        <v>44</v>
      </c>
      <c r="I1408" s="1">
        <v>3</v>
      </c>
      <c r="J1408" s="1">
        <v>3052.8</v>
      </c>
      <c r="K1408" s="1">
        <v>0.03</v>
      </c>
      <c r="L1408" s="1">
        <v>8883.65</v>
      </c>
      <c r="M1408" s="1" t="str">
        <f t="shared" si="42"/>
        <v>Retail Store</v>
      </c>
      <c r="N1408" s="1">
        <f t="shared" si="43"/>
        <v>405</v>
      </c>
    </row>
    <row r="1409" spans="1:14" x14ac:dyDescent="0.3">
      <c r="A1409" s="1" t="s">
        <v>764</v>
      </c>
      <c r="B1409" s="1" t="s">
        <v>765</v>
      </c>
      <c r="C1409" s="1" t="s">
        <v>21</v>
      </c>
      <c r="D1409" s="1" t="s">
        <v>22</v>
      </c>
      <c r="E1409" s="1" t="s">
        <v>28</v>
      </c>
      <c r="F1409" s="1" t="s">
        <v>17</v>
      </c>
      <c r="G1409" s="1" t="s">
        <v>98</v>
      </c>
      <c r="H1409" s="1" t="s">
        <v>86</v>
      </c>
      <c r="I1409" s="1">
        <v>3</v>
      </c>
      <c r="J1409" s="1">
        <v>413.1</v>
      </c>
      <c r="K1409" s="1">
        <v>0.15</v>
      </c>
      <c r="L1409" s="1">
        <v>1053.4100000000001</v>
      </c>
      <c r="M1409" s="1" t="str">
        <f t="shared" si="42"/>
        <v>Online</v>
      </c>
      <c r="N1409" s="1">
        <f t="shared" si="43"/>
        <v>405</v>
      </c>
    </row>
    <row r="1410" spans="1:14" x14ac:dyDescent="0.3">
      <c r="A1410" s="1" t="s">
        <v>766</v>
      </c>
      <c r="B1410" s="1" t="s">
        <v>765</v>
      </c>
      <c r="C1410" s="1" t="s">
        <v>21</v>
      </c>
      <c r="D1410" s="1" t="s">
        <v>27</v>
      </c>
      <c r="E1410" s="1" t="s">
        <v>16</v>
      </c>
      <c r="F1410" s="1" t="s">
        <v>36</v>
      </c>
      <c r="G1410" s="1" t="s">
        <v>119</v>
      </c>
      <c r="H1410" s="1" t="s">
        <v>44</v>
      </c>
      <c r="I1410" s="1">
        <v>2</v>
      </c>
      <c r="J1410" s="1">
        <v>630</v>
      </c>
      <c r="K1410" s="1">
        <v>0.03</v>
      </c>
      <c r="L1410" s="1">
        <v>1222.2</v>
      </c>
      <c r="M1410" s="1" t="str">
        <f t="shared" ref="M1410:M1473" si="44">INDEX(D:D,MATCH(H1410,H:H,0))</f>
        <v>Retail Store</v>
      </c>
      <c r="N1410" s="1">
        <f t="shared" ref="N1410:N1473" si="45">VLOOKUP(C:C,C:J,8,FALSE)</f>
        <v>405</v>
      </c>
    </row>
    <row r="1411" spans="1:14" x14ac:dyDescent="0.3">
      <c r="A1411" s="1" t="s">
        <v>767</v>
      </c>
      <c r="B1411" s="1" t="s">
        <v>765</v>
      </c>
      <c r="C1411" s="1" t="s">
        <v>61</v>
      </c>
      <c r="D1411" s="1" t="s">
        <v>15</v>
      </c>
      <c r="E1411" s="1" t="s">
        <v>16</v>
      </c>
      <c r="F1411" s="1" t="s">
        <v>29</v>
      </c>
      <c r="G1411" s="1" t="s">
        <v>33</v>
      </c>
      <c r="H1411" s="1" t="s">
        <v>73</v>
      </c>
      <c r="I1411" s="1">
        <v>2</v>
      </c>
      <c r="J1411" s="1">
        <v>14.31</v>
      </c>
      <c r="K1411" s="1">
        <v>0.08</v>
      </c>
      <c r="L1411" s="1">
        <v>26.33</v>
      </c>
      <c r="M1411" s="1" t="str">
        <f t="shared" si="44"/>
        <v>Online</v>
      </c>
      <c r="N1411" s="1">
        <f t="shared" si="45"/>
        <v>62.01</v>
      </c>
    </row>
    <row r="1412" spans="1:14" x14ac:dyDescent="0.3">
      <c r="A1412" s="1" t="s">
        <v>768</v>
      </c>
      <c r="B1412" s="1" t="s">
        <v>765</v>
      </c>
      <c r="C1412" s="1" t="s">
        <v>54</v>
      </c>
      <c r="D1412" s="1" t="s">
        <v>27</v>
      </c>
      <c r="E1412" s="1" t="s">
        <v>16</v>
      </c>
      <c r="F1412" s="1" t="s">
        <v>23</v>
      </c>
      <c r="G1412" s="1" t="s">
        <v>116</v>
      </c>
      <c r="H1412" s="1" t="s">
        <v>80</v>
      </c>
      <c r="I1412" s="1">
        <v>4</v>
      </c>
      <c r="J1412" s="1">
        <v>7.2</v>
      </c>
      <c r="K1412" s="1">
        <v>0</v>
      </c>
      <c r="L1412" s="1">
        <v>28.8</v>
      </c>
      <c r="M1412" s="1" t="str">
        <f t="shared" si="44"/>
        <v>Marketplace</v>
      </c>
      <c r="N1412" s="1">
        <f t="shared" si="45"/>
        <v>267.12</v>
      </c>
    </row>
    <row r="1413" spans="1:14" x14ac:dyDescent="0.3">
      <c r="A1413" s="1" t="s">
        <v>769</v>
      </c>
      <c r="B1413" s="1" t="s">
        <v>765</v>
      </c>
      <c r="C1413" s="1" t="s">
        <v>21</v>
      </c>
      <c r="D1413" s="1" t="s">
        <v>15</v>
      </c>
      <c r="E1413" s="1" t="s">
        <v>16</v>
      </c>
      <c r="F1413" s="1" t="s">
        <v>36</v>
      </c>
      <c r="G1413" s="1" t="s">
        <v>37</v>
      </c>
      <c r="H1413" s="1" t="s">
        <v>44</v>
      </c>
      <c r="I1413" s="1">
        <v>5</v>
      </c>
      <c r="J1413" s="1">
        <v>726.75</v>
      </c>
      <c r="K1413" s="1">
        <v>0.08</v>
      </c>
      <c r="L1413" s="1">
        <v>3343.05</v>
      </c>
      <c r="M1413" s="1" t="str">
        <f t="shared" si="44"/>
        <v>Retail Store</v>
      </c>
      <c r="N1413" s="1">
        <f t="shared" si="45"/>
        <v>405</v>
      </c>
    </row>
    <row r="1414" spans="1:14" x14ac:dyDescent="0.3">
      <c r="A1414" s="1" t="s">
        <v>770</v>
      </c>
      <c r="B1414" s="1" t="s">
        <v>765</v>
      </c>
      <c r="C1414" s="1" t="s">
        <v>14</v>
      </c>
      <c r="D1414" s="1" t="s">
        <v>15</v>
      </c>
      <c r="E1414" s="1" t="s">
        <v>16</v>
      </c>
      <c r="F1414" s="1" t="s">
        <v>36</v>
      </c>
      <c r="G1414" s="1" t="s">
        <v>37</v>
      </c>
      <c r="H1414" s="1" t="s">
        <v>31</v>
      </c>
      <c r="I1414" s="1">
        <v>3</v>
      </c>
      <c r="J1414" s="1">
        <v>810.9</v>
      </c>
      <c r="K1414" s="1">
        <v>0.05</v>
      </c>
      <c r="L1414" s="1">
        <v>2311.0700000000002</v>
      </c>
      <c r="M1414" s="1" t="str">
        <f t="shared" si="44"/>
        <v>Online</v>
      </c>
      <c r="N1414" s="1">
        <f t="shared" si="45"/>
        <v>16.2</v>
      </c>
    </row>
    <row r="1415" spans="1:14" x14ac:dyDescent="0.3">
      <c r="A1415" s="1" t="s">
        <v>771</v>
      </c>
      <c r="B1415" s="1" t="s">
        <v>765</v>
      </c>
      <c r="C1415" s="1" t="s">
        <v>21</v>
      </c>
      <c r="D1415" s="1" t="s">
        <v>27</v>
      </c>
      <c r="E1415" s="1" t="s">
        <v>28</v>
      </c>
      <c r="F1415" s="1" t="s">
        <v>29</v>
      </c>
      <c r="G1415" s="1" t="s">
        <v>55</v>
      </c>
      <c r="H1415" s="1" t="s">
        <v>44</v>
      </c>
      <c r="I1415" s="1">
        <v>3</v>
      </c>
      <c r="J1415" s="1">
        <v>34.200000000000003</v>
      </c>
      <c r="K1415" s="1">
        <v>0.03</v>
      </c>
      <c r="L1415" s="1">
        <v>99.52</v>
      </c>
      <c r="M1415" s="1" t="str">
        <f t="shared" si="44"/>
        <v>Retail Store</v>
      </c>
      <c r="N1415" s="1">
        <f t="shared" si="45"/>
        <v>405</v>
      </c>
    </row>
    <row r="1416" spans="1:14" x14ac:dyDescent="0.3">
      <c r="A1416" s="1" t="s">
        <v>772</v>
      </c>
      <c r="B1416" s="1" t="s">
        <v>765</v>
      </c>
      <c r="C1416" s="1" t="s">
        <v>54</v>
      </c>
      <c r="D1416" s="1" t="s">
        <v>15</v>
      </c>
      <c r="E1416" s="1" t="s">
        <v>28</v>
      </c>
      <c r="F1416" s="1" t="s">
        <v>29</v>
      </c>
      <c r="G1416" s="1" t="s">
        <v>51</v>
      </c>
      <c r="H1416" s="1" t="s">
        <v>56</v>
      </c>
      <c r="I1416" s="1">
        <v>3</v>
      </c>
      <c r="J1416" s="1">
        <v>41.31</v>
      </c>
      <c r="K1416" s="1">
        <v>0</v>
      </c>
      <c r="L1416" s="1">
        <v>123.93</v>
      </c>
      <c r="M1416" s="1" t="str">
        <f t="shared" si="44"/>
        <v>Online</v>
      </c>
      <c r="N1416" s="1">
        <f t="shared" si="45"/>
        <v>267.12</v>
      </c>
    </row>
    <row r="1417" spans="1:14" x14ac:dyDescent="0.3">
      <c r="A1417" s="1" t="s">
        <v>759</v>
      </c>
      <c r="B1417" s="1" t="s">
        <v>760</v>
      </c>
      <c r="C1417" s="1" t="s">
        <v>47</v>
      </c>
      <c r="D1417" s="1" t="s">
        <v>27</v>
      </c>
      <c r="E1417" s="1" t="s">
        <v>28</v>
      </c>
      <c r="F1417" s="1" t="s">
        <v>29</v>
      </c>
      <c r="G1417" s="1" t="s">
        <v>30</v>
      </c>
      <c r="H1417" s="1" t="s">
        <v>49</v>
      </c>
      <c r="I1417" s="1">
        <v>2</v>
      </c>
      <c r="J1417" s="1">
        <v>51.48</v>
      </c>
      <c r="K1417" s="1">
        <v>0</v>
      </c>
      <c r="L1417" s="1">
        <v>102.96</v>
      </c>
      <c r="M1417" s="1" t="str">
        <f t="shared" si="44"/>
        <v>Retail Store</v>
      </c>
      <c r="N1417" s="1">
        <f t="shared" si="45"/>
        <v>421.2</v>
      </c>
    </row>
    <row r="1418" spans="1:14" x14ac:dyDescent="0.3">
      <c r="A1418" s="1" t="s">
        <v>761</v>
      </c>
      <c r="B1418" s="1" t="s">
        <v>760</v>
      </c>
      <c r="C1418" s="1" t="s">
        <v>54</v>
      </c>
      <c r="D1418" s="1" t="s">
        <v>15</v>
      </c>
      <c r="E1418" s="1" t="s">
        <v>16</v>
      </c>
      <c r="F1418" s="1" t="s">
        <v>29</v>
      </c>
      <c r="G1418" s="1" t="s">
        <v>51</v>
      </c>
      <c r="H1418" s="1" t="s">
        <v>80</v>
      </c>
      <c r="I1418" s="1">
        <v>2</v>
      </c>
      <c r="J1418" s="1">
        <v>42.12</v>
      </c>
      <c r="K1418" s="1">
        <v>0</v>
      </c>
      <c r="L1418" s="1">
        <v>84.24</v>
      </c>
      <c r="M1418" s="1" t="str">
        <f t="shared" si="44"/>
        <v>Marketplace</v>
      </c>
      <c r="N1418" s="1">
        <f t="shared" si="45"/>
        <v>267.12</v>
      </c>
    </row>
    <row r="1419" spans="1:14" x14ac:dyDescent="0.3">
      <c r="A1419" s="1" t="s">
        <v>762</v>
      </c>
      <c r="B1419" s="1" t="s">
        <v>760</v>
      </c>
      <c r="C1419" s="1" t="s">
        <v>54</v>
      </c>
      <c r="D1419" s="1" t="s">
        <v>35</v>
      </c>
      <c r="E1419" s="1" t="s">
        <v>28</v>
      </c>
      <c r="F1419" s="1" t="s">
        <v>82</v>
      </c>
      <c r="G1419" s="1" t="s">
        <v>150</v>
      </c>
      <c r="H1419" s="1" t="s">
        <v>71</v>
      </c>
      <c r="I1419" s="1">
        <v>2</v>
      </c>
      <c r="J1419" s="1">
        <v>2880</v>
      </c>
      <c r="K1419" s="1">
        <v>0.1</v>
      </c>
      <c r="L1419" s="1">
        <v>5184</v>
      </c>
      <c r="M1419" s="1" t="str">
        <f t="shared" si="44"/>
        <v>Online</v>
      </c>
      <c r="N1419" s="1">
        <f t="shared" si="45"/>
        <v>267.12</v>
      </c>
    </row>
    <row r="1420" spans="1:14" x14ac:dyDescent="0.3">
      <c r="A1420" s="1" t="s">
        <v>763</v>
      </c>
      <c r="B1420" s="1" t="s">
        <v>760</v>
      </c>
      <c r="C1420" s="1" t="s">
        <v>21</v>
      </c>
      <c r="D1420" s="1" t="s">
        <v>15</v>
      </c>
      <c r="E1420" s="1" t="s">
        <v>28</v>
      </c>
      <c r="F1420" s="1" t="s">
        <v>82</v>
      </c>
      <c r="G1420" s="1" t="s">
        <v>150</v>
      </c>
      <c r="H1420" s="1" t="s">
        <v>86</v>
      </c>
      <c r="I1420" s="1">
        <v>2</v>
      </c>
      <c r="J1420" s="1">
        <v>2880</v>
      </c>
      <c r="K1420" s="1">
        <v>0.03</v>
      </c>
      <c r="L1420" s="1">
        <v>5587.2</v>
      </c>
      <c r="M1420" s="1" t="str">
        <f t="shared" si="44"/>
        <v>Online</v>
      </c>
      <c r="N1420" s="1">
        <f t="shared" si="45"/>
        <v>405</v>
      </c>
    </row>
    <row r="1421" spans="1:14" x14ac:dyDescent="0.3">
      <c r="A1421" s="1" t="s">
        <v>755</v>
      </c>
      <c r="B1421" s="1" t="s">
        <v>756</v>
      </c>
      <c r="C1421" s="1" t="s">
        <v>14</v>
      </c>
      <c r="D1421" s="1" t="s">
        <v>15</v>
      </c>
      <c r="E1421" s="1" t="s">
        <v>28</v>
      </c>
      <c r="F1421" s="1" t="s">
        <v>36</v>
      </c>
      <c r="G1421" s="1" t="s">
        <v>37</v>
      </c>
      <c r="H1421" s="1" t="s">
        <v>19</v>
      </c>
      <c r="I1421" s="1">
        <v>2</v>
      </c>
      <c r="J1421" s="1">
        <v>765</v>
      </c>
      <c r="K1421" s="1">
        <v>0.1</v>
      </c>
      <c r="L1421" s="1">
        <v>1377</v>
      </c>
      <c r="M1421" s="1" t="str">
        <f t="shared" si="44"/>
        <v>Retail Store</v>
      </c>
      <c r="N1421" s="1">
        <f t="shared" si="45"/>
        <v>16.2</v>
      </c>
    </row>
    <row r="1422" spans="1:14" x14ac:dyDescent="0.3">
      <c r="A1422" s="1" t="s">
        <v>757</v>
      </c>
      <c r="B1422" s="1" t="s">
        <v>756</v>
      </c>
      <c r="C1422" s="1" t="s">
        <v>54</v>
      </c>
      <c r="D1422" s="1" t="s">
        <v>15</v>
      </c>
      <c r="E1422" s="1" t="s">
        <v>16</v>
      </c>
      <c r="F1422" s="1" t="s">
        <v>17</v>
      </c>
      <c r="G1422" s="1" t="s">
        <v>189</v>
      </c>
      <c r="H1422" s="1" t="s">
        <v>80</v>
      </c>
      <c r="I1422" s="1">
        <v>3</v>
      </c>
      <c r="J1422" s="1">
        <v>279.36</v>
      </c>
      <c r="K1422" s="1">
        <v>0.1</v>
      </c>
      <c r="L1422" s="1">
        <v>754.27</v>
      </c>
      <c r="M1422" s="1" t="str">
        <f t="shared" si="44"/>
        <v>Marketplace</v>
      </c>
      <c r="N1422" s="1">
        <f t="shared" si="45"/>
        <v>267.12</v>
      </c>
    </row>
    <row r="1423" spans="1:14" x14ac:dyDescent="0.3">
      <c r="A1423" s="1" t="s">
        <v>758</v>
      </c>
      <c r="B1423" s="1" t="s">
        <v>756</v>
      </c>
      <c r="C1423" s="1" t="s">
        <v>54</v>
      </c>
      <c r="D1423" s="1" t="s">
        <v>15</v>
      </c>
      <c r="E1423" s="1" t="s">
        <v>16</v>
      </c>
      <c r="F1423" s="1" t="s">
        <v>23</v>
      </c>
      <c r="G1423" s="1" t="s">
        <v>103</v>
      </c>
      <c r="H1423" s="1" t="s">
        <v>56</v>
      </c>
      <c r="I1423" s="1">
        <v>6</v>
      </c>
      <c r="J1423" s="1">
        <v>10.8</v>
      </c>
      <c r="K1423" s="1">
        <v>0.03</v>
      </c>
      <c r="L1423" s="1">
        <v>62.86</v>
      </c>
      <c r="M1423" s="1" t="str">
        <f t="shared" si="44"/>
        <v>Online</v>
      </c>
      <c r="N1423" s="1">
        <f t="shared" si="45"/>
        <v>267.12</v>
      </c>
    </row>
    <row r="1424" spans="1:14" x14ac:dyDescent="0.3">
      <c r="A1424" s="1" t="s">
        <v>750</v>
      </c>
      <c r="B1424" s="1" t="s">
        <v>751</v>
      </c>
      <c r="C1424" s="1" t="s">
        <v>54</v>
      </c>
      <c r="D1424" s="1" t="s">
        <v>22</v>
      </c>
      <c r="E1424" s="1" t="s">
        <v>28</v>
      </c>
      <c r="F1424" s="1" t="s">
        <v>23</v>
      </c>
      <c r="G1424" s="1" t="s">
        <v>116</v>
      </c>
      <c r="H1424" s="1" t="s">
        <v>56</v>
      </c>
      <c r="I1424" s="1">
        <v>3</v>
      </c>
      <c r="J1424" s="1">
        <v>7.63</v>
      </c>
      <c r="K1424" s="1">
        <v>0.05</v>
      </c>
      <c r="L1424" s="1">
        <v>21.75</v>
      </c>
      <c r="M1424" s="1" t="str">
        <f t="shared" si="44"/>
        <v>Online</v>
      </c>
      <c r="N1424" s="1">
        <f t="shared" si="45"/>
        <v>267.12</v>
      </c>
    </row>
    <row r="1425" spans="1:14" x14ac:dyDescent="0.3">
      <c r="A1425" s="1" t="s">
        <v>752</v>
      </c>
      <c r="B1425" s="1" t="s">
        <v>751</v>
      </c>
      <c r="C1425" s="1" t="s">
        <v>14</v>
      </c>
      <c r="D1425" s="1" t="s">
        <v>27</v>
      </c>
      <c r="E1425" s="1" t="s">
        <v>16</v>
      </c>
      <c r="F1425" s="1" t="s">
        <v>42</v>
      </c>
      <c r="G1425" s="1" t="s">
        <v>65</v>
      </c>
      <c r="H1425" s="1" t="s">
        <v>31</v>
      </c>
      <c r="I1425" s="1">
        <v>2</v>
      </c>
      <c r="J1425" s="1">
        <v>715.5</v>
      </c>
      <c r="K1425" s="1">
        <v>0</v>
      </c>
      <c r="L1425" s="1">
        <v>1431</v>
      </c>
      <c r="M1425" s="1" t="str">
        <f t="shared" si="44"/>
        <v>Online</v>
      </c>
      <c r="N1425" s="1">
        <f t="shared" si="45"/>
        <v>16.2</v>
      </c>
    </row>
    <row r="1426" spans="1:14" x14ac:dyDescent="0.3">
      <c r="A1426" s="1" t="s">
        <v>753</v>
      </c>
      <c r="B1426" s="1" t="s">
        <v>751</v>
      </c>
      <c r="C1426" s="1" t="s">
        <v>14</v>
      </c>
      <c r="D1426" s="1" t="s">
        <v>35</v>
      </c>
      <c r="E1426" s="1" t="s">
        <v>16</v>
      </c>
      <c r="F1426" s="1" t="s">
        <v>23</v>
      </c>
      <c r="G1426" s="1" t="s">
        <v>24</v>
      </c>
      <c r="H1426" s="1" t="s">
        <v>19</v>
      </c>
      <c r="I1426" s="1">
        <v>11</v>
      </c>
      <c r="J1426" s="1">
        <v>22.5</v>
      </c>
      <c r="K1426" s="1">
        <v>0</v>
      </c>
      <c r="L1426" s="1">
        <v>247.5</v>
      </c>
      <c r="M1426" s="1" t="str">
        <f t="shared" si="44"/>
        <v>Retail Store</v>
      </c>
      <c r="N1426" s="1">
        <f t="shared" si="45"/>
        <v>16.2</v>
      </c>
    </row>
    <row r="1427" spans="1:14" x14ac:dyDescent="0.3">
      <c r="A1427" s="1" t="s">
        <v>754</v>
      </c>
      <c r="B1427" s="1" t="s">
        <v>751</v>
      </c>
      <c r="C1427" s="1" t="s">
        <v>21</v>
      </c>
      <c r="D1427" s="1" t="s">
        <v>27</v>
      </c>
      <c r="E1427" s="1" t="s">
        <v>16</v>
      </c>
      <c r="F1427" s="1" t="s">
        <v>17</v>
      </c>
      <c r="G1427" s="1" t="s">
        <v>98</v>
      </c>
      <c r="H1427" s="1" t="s">
        <v>86</v>
      </c>
      <c r="I1427" s="1">
        <v>3</v>
      </c>
      <c r="J1427" s="1">
        <v>392.85</v>
      </c>
      <c r="K1427" s="1">
        <v>0.08</v>
      </c>
      <c r="L1427" s="1">
        <v>1084.27</v>
      </c>
      <c r="M1427" s="1" t="str">
        <f t="shared" si="44"/>
        <v>Online</v>
      </c>
      <c r="N1427" s="1">
        <f t="shared" si="45"/>
        <v>405</v>
      </c>
    </row>
    <row r="1428" spans="1:14" x14ac:dyDescent="0.3">
      <c r="A1428" s="1" t="s">
        <v>740</v>
      </c>
      <c r="B1428" s="1" t="s">
        <v>741</v>
      </c>
      <c r="C1428" s="1" t="s">
        <v>54</v>
      </c>
      <c r="D1428" s="1" t="s">
        <v>15</v>
      </c>
      <c r="E1428" s="1" t="s">
        <v>16</v>
      </c>
      <c r="F1428" s="1" t="s">
        <v>17</v>
      </c>
      <c r="G1428" s="1" t="s">
        <v>18</v>
      </c>
      <c r="H1428" s="1" t="s">
        <v>56</v>
      </c>
      <c r="I1428" s="1">
        <v>3</v>
      </c>
      <c r="J1428" s="1">
        <v>81</v>
      </c>
      <c r="K1428" s="1">
        <v>0.05</v>
      </c>
      <c r="L1428" s="1">
        <v>230.85</v>
      </c>
      <c r="M1428" s="1" t="str">
        <f t="shared" si="44"/>
        <v>Online</v>
      </c>
      <c r="N1428" s="1">
        <f t="shared" si="45"/>
        <v>267.12</v>
      </c>
    </row>
    <row r="1429" spans="1:14" x14ac:dyDescent="0.3">
      <c r="A1429" s="1" t="s">
        <v>742</v>
      </c>
      <c r="B1429" s="1" t="s">
        <v>741</v>
      </c>
      <c r="C1429" s="1" t="s">
        <v>47</v>
      </c>
      <c r="D1429" s="1" t="s">
        <v>27</v>
      </c>
      <c r="E1429" s="1" t="s">
        <v>16</v>
      </c>
      <c r="F1429" s="1" t="s">
        <v>36</v>
      </c>
      <c r="G1429" s="1" t="s">
        <v>70</v>
      </c>
      <c r="H1429" s="1" t="s">
        <v>58</v>
      </c>
      <c r="I1429" s="1">
        <v>2</v>
      </c>
      <c r="J1429" s="1">
        <v>522</v>
      </c>
      <c r="K1429" s="1">
        <v>0</v>
      </c>
      <c r="L1429" s="1">
        <v>1044</v>
      </c>
      <c r="M1429" s="1" t="str">
        <f t="shared" si="44"/>
        <v>Corporate Sales</v>
      </c>
      <c r="N1429" s="1">
        <f t="shared" si="45"/>
        <v>421.2</v>
      </c>
    </row>
    <row r="1430" spans="1:14" x14ac:dyDescent="0.3">
      <c r="A1430" s="1" t="s">
        <v>743</v>
      </c>
      <c r="B1430" s="1" t="s">
        <v>741</v>
      </c>
      <c r="C1430" s="1" t="s">
        <v>47</v>
      </c>
      <c r="D1430" s="1" t="s">
        <v>35</v>
      </c>
      <c r="E1430" s="1" t="s">
        <v>16</v>
      </c>
      <c r="F1430" s="1" t="s">
        <v>82</v>
      </c>
      <c r="G1430" s="1" t="s">
        <v>83</v>
      </c>
      <c r="H1430" s="1" t="s">
        <v>58</v>
      </c>
      <c r="I1430" s="1">
        <v>5</v>
      </c>
      <c r="J1430" s="1">
        <v>3780</v>
      </c>
      <c r="K1430" s="1">
        <v>0.05</v>
      </c>
      <c r="L1430" s="1">
        <v>17955</v>
      </c>
      <c r="M1430" s="1" t="str">
        <f t="shared" si="44"/>
        <v>Corporate Sales</v>
      </c>
      <c r="N1430" s="1">
        <f t="shared" si="45"/>
        <v>421.2</v>
      </c>
    </row>
    <row r="1431" spans="1:14" x14ac:dyDescent="0.3">
      <c r="A1431" s="1" t="s">
        <v>744</v>
      </c>
      <c r="B1431" s="1" t="s">
        <v>741</v>
      </c>
      <c r="C1431" s="1" t="s">
        <v>14</v>
      </c>
      <c r="D1431" s="1" t="s">
        <v>15</v>
      </c>
      <c r="E1431" s="1" t="s">
        <v>28</v>
      </c>
      <c r="F1431" s="1" t="s">
        <v>82</v>
      </c>
      <c r="G1431" s="1" t="s">
        <v>96</v>
      </c>
      <c r="H1431" s="1" t="s">
        <v>40</v>
      </c>
      <c r="I1431" s="1">
        <v>2</v>
      </c>
      <c r="J1431" s="1">
        <v>2754</v>
      </c>
      <c r="K1431" s="1">
        <v>0.03</v>
      </c>
      <c r="L1431" s="1">
        <v>5342.76</v>
      </c>
      <c r="M1431" s="1" t="str">
        <f t="shared" si="44"/>
        <v>Online</v>
      </c>
      <c r="N1431" s="1">
        <f t="shared" si="45"/>
        <v>16.2</v>
      </c>
    </row>
    <row r="1432" spans="1:14" x14ac:dyDescent="0.3">
      <c r="A1432" s="1" t="s">
        <v>745</v>
      </c>
      <c r="B1432" s="1" t="s">
        <v>741</v>
      </c>
      <c r="C1432" s="1" t="s">
        <v>14</v>
      </c>
      <c r="D1432" s="1" t="s">
        <v>22</v>
      </c>
      <c r="E1432" s="1" t="s">
        <v>16</v>
      </c>
      <c r="F1432" s="1" t="s">
        <v>29</v>
      </c>
      <c r="G1432" s="1" t="s">
        <v>55</v>
      </c>
      <c r="H1432" s="1" t="s">
        <v>19</v>
      </c>
      <c r="I1432" s="1">
        <v>6</v>
      </c>
      <c r="J1432" s="1">
        <v>34.200000000000003</v>
      </c>
      <c r="K1432" s="1">
        <v>0.03</v>
      </c>
      <c r="L1432" s="1">
        <v>199.04</v>
      </c>
      <c r="M1432" s="1" t="str">
        <f t="shared" si="44"/>
        <v>Retail Store</v>
      </c>
      <c r="N1432" s="1">
        <f t="shared" si="45"/>
        <v>16.2</v>
      </c>
    </row>
    <row r="1433" spans="1:14" x14ac:dyDescent="0.3">
      <c r="A1433" s="1" t="s">
        <v>746</v>
      </c>
      <c r="B1433" s="1" t="s">
        <v>741</v>
      </c>
      <c r="C1433" s="1" t="s">
        <v>61</v>
      </c>
      <c r="D1433" s="1" t="s">
        <v>15</v>
      </c>
      <c r="E1433" s="1" t="s">
        <v>16</v>
      </c>
      <c r="F1433" s="1" t="s">
        <v>36</v>
      </c>
      <c r="G1433" s="1" t="s">
        <v>70</v>
      </c>
      <c r="H1433" s="1" t="s">
        <v>112</v>
      </c>
      <c r="I1433" s="1">
        <v>2</v>
      </c>
      <c r="J1433" s="1">
        <v>506.34</v>
      </c>
      <c r="K1433" s="1">
        <v>0.1</v>
      </c>
      <c r="L1433" s="1">
        <v>911.41</v>
      </c>
      <c r="M1433" s="1" t="str">
        <f t="shared" si="44"/>
        <v>Online</v>
      </c>
      <c r="N1433" s="1">
        <f t="shared" si="45"/>
        <v>62.01</v>
      </c>
    </row>
    <row r="1434" spans="1:14" x14ac:dyDescent="0.3">
      <c r="A1434" s="1" t="s">
        <v>747</v>
      </c>
      <c r="B1434" s="1" t="s">
        <v>741</v>
      </c>
      <c r="C1434" s="1" t="s">
        <v>61</v>
      </c>
      <c r="D1434" s="1" t="s">
        <v>15</v>
      </c>
      <c r="E1434" s="1" t="s">
        <v>16</v>
      </c>
      <c r="F1434" s="1" t="s">
        <v>17</v>
      </c>
      <c r="G1434" s="1" t="s">
        <v>189</v>
      </c>
      <c r="H1434" s="1" t="s">
        <v>73</v>
      </c>
      <c r="I1434" s="1">
        <v>4</v>
      </c>
      <c r="J1434" s="1">
        <v>305.27999999999997</v>
      </c>
      <c r="K1434" s="1">
        <v>0.08</v>
      </c>
      <c r="L1434" s="1">
        <v>1123.43</v>
      </c>
      <c r="M1434" s="1" t="str">
        <f t="shared" si="44"/>
        <v>Online</v>
      </c>
      <c r="N1434" s="1">
        <f t="shared" si="45"/>
        <v>62.01</v>
      </c>
    </row>
    <row r="1435" spans="1:14" x14ac:dyDescent="0.3">
      <c r="A1435" s="1" t="s">
        <v>748</v>
      </c>
      <c r="B1435" s="1" t="s">
        <v>741</v>
      </c>
      <c r="C1435" s="1" t="s">
        <v>21</v>
      </c>
      <c r="D1435" s="1" t="s">
        <v>35</v>
      </c>
      <c r="E1435" s="1" t="s">
        <v>16</v>
      </c>
      <c r="F1435" s="1" t="s">
        <v>17</v>
      </c>
      <c r="G1435" s="1" t="s">
        <v>98</v>
      </c>
      <c r="H1435" s="1" t="s">
        <v>25</v>
      </c>
      <c r="I1435" s="1">
        <v>6</v>
      </c>
      <c r="J1435" s="1">
        <v>405</v>
      </c>
      <c r="K1435" s="1">
        <v>0.08</v>
      </c>
      <c r="L1435" s="1">
        <v>2235.6</v>
      </c>
      <c r="M1435" s="1" t="str">
        <f t="shared" si="44"/>
        <v>Marketplace</v>
      </c>
      <c r="N1435" s="1">
        <f t="shared" si="45"/>
        <v>405</v>
      </c>
    </row>
    <row r="1436" spans="1:14" x14ac:dyDescent="0.3">
      <c r="A1436" s="1" t="s">
        <v>749</v>
      </c>
      <c r="B1436" s="1" t="s">
        <v>741</v>
      </c>
      <c r="C1436" s="1" t="s">
        <v>14</v>
      </c>
      <c r="D1436" s="1" t="s">
        <v>27</v>
      </c>
      <c r="E1436" s="1" t="s">
        <v>28</v>
      </c>
      <c r="F1436" s="1" t="s">
        <v>23</v>
      </c>
      <c r="G1436" s="1" t="s">
        <v>103</v>
      </c>
      <c r="H1436" s="1" t="s">
        <v>19</v>
      </c>
      <c r="I1436" s="1">
        <v>3</v>
      </c>
      <c r="J1436" s="1">
        <v>11.23</v>
      </c>
      <c r="K1436" s="1">
        <v>0</v>
      </c>
      <c r="L1436" s="1">
        <v>33.700000000000003</v>
      </c>
      <c r="M1436" s="1" t="str">
        <f t="shared" si="44"/>
        <v>Retail Store</v>
      </c>
      <c r="N1436" s="1">
        <f t="shared" si="45"/>
        <v>16.2</v>
      </c>
    </row>
    <row r="1437" spans="1:14" x14ac:dyDescent="0.3">
      <c r="A1437" s="1" t="s">
        <v>734</v>
      </c>
      <c r="B1437" s="1" t="s">
        <v>735</v>
      </c>
      <c r="C1437" s="1" t="s">
        <v>21</v>
      </c>
      <c r="D1437" s="1" t="s">
        <v>15</v>
      </c>
      <c r="E1437" s="1" t="s">
        <v>16</v>
      </c>
      <c r="F1437" s="1" t="s">
        <v>17</v>
      </c>
      <c r="G1437" s="1" t="s">
        <v>98</v>
      </c>
      <c r="H1437" s="1" t="s">
        <v>25</v>
      </c>
      <c r="I1437" s="1">
        <v>3</v>
      </c>
      <c r="J1437" s="1">
        <v>405</v>
      </c>
      <c r="K1437" s="1">
        <v>0.03</v>
      </c>
      <c r="L1437" s="1">
        <v>1178.55</v>
      </c>
      <c r="M1437" s="1" t="str">
        <f t="shared" si="44"/>
        <v>Marketplace</v>
      </c>
      <c r="N1437" s="1">
        <f t="shared" si="45"/>
        <v>405</v>
      </c>
    </row>
    <row r="1438" spans="1:14" x14ac:dyDescent="0.3">
      <c r="A1438" s="1" t="s">
        <v>736</v>
      </c>
      <c r="B1438" s="1" t="s">
        <v>735</v>
      </c>
      <c r="C1438" s="1" t="s">
        <v>47</v>
      </c>
      <c r="D1438" s="1" t="s">
        <v>15</v>
      </c>
      <c r="E1438" s="1" t="s">
        <v>16</v>
      </c>
      <c r="F1438" s="1" t="s">
        <v>17</v>
      </c>
      <c r="G1438" s="1" t="s">
        <v>18</v>
      </c>
      <c r="H1438" s="1" t="s">
        <v>58</v>
      </c>
      <c r="I1438" s="1">
        <v>2</v>
      </c>
      <c r="J1438" s="1">
        <v>76.95</v>
      </c>
      <c r="K1438" s="1">
        <v>0.1</v>
      </c>
      <c r="L1438" s="1">
        <v>138.51</v>
      </c>
      <c r="M1438" s="1" t="str">
        <f t="shared" si="44"/>
        <v>Corporate Sales</v>
      </c>
      <c r="N1438" s="1">
        <f t="shared" si="45"/>
        <v>421.2</v>
      </c>
    </row>
    <row r="1439" spans="1:14" x14ac:dyDescent="0.3">
      <c r="A1439" s="1" t="s">
        <v>737</v>
      </c>
      <c r="B1439" s="1" t="s">
        <v>735</v>
      </c>
      <c r="C1439" s="1" t="s">
        <v>14</v>
      </c>
      <c r="D1439" s="1" t="s">
        <v>27</v>
      </c>
      <c r="E1439" s="1" t="s">
        <v>28</v>
      </c>
      <c r="F1439" s="1" t="s">
        <v>29</v>
      </c>
      <c r="G1439" s="1" t="s">
        <v>51</v>
      </c>
      <c r="H1439" s="1" t="s">
        <v>40</v>
      </c>
      <c r="I1439" s="1">
        <v>4</v>
      </c>
      <c r="J1439" s="1">
        <v>41.31</v>
      </c>
      <c r="K1439" s="1">
        <v>0.05</v>
      </c>
      <c r="L1439" s="1">
        <v>156.97999999999999</v>
      </c>
      <c r="M1439" s="1" t="str">
        <f t="shared" si="44"/>
        <v>Online</v>
      </c>
      <c r="N1439" s="1">
        <f t="shared" si="45"/>
        <v>16.2</v>
      </c>
    </row>
    <row r="1440" spans="1:14" x14ac:dyDescent="0.3">
      <c r="A1440" s="1" t="s">
        <v>738</v>
      </c>
      <c r="B1440" s="1" t="s">
        <v>735</v>
      </c>
      <c r="C1440" s="1" t="s">
        <v>14</v>
      </c>
      <c r="D1440" s="1" t="s">
        <v>35</v>
      </c>
      <c r="E1440" s="1" t="s">
        <v>16</v>
      </c>
      <c r="F1440" s="1" t="s">
        <v>36</v>
      </c>
      <c r="G1440" s="1" t="s">
        <v>77</v>
      </c>
      <c r="H1440" s="1" t="s">
        <v>19</v>
      </c>
      <c r="I1440" s="1">
        <v>3</v>
      </c>
      <c r="J1440" s="1">
        <v>1431</v>
      </c>
      <c r="K1440" s="1">
        <v>0.05</v>
      </c>
      <c r="L1440" s="1">
        <v>4078.35</v>
      </c>
      <c r="M1440" s="1" t="str">
        <f t="shared" si="44"/>
        <v>Retail Store</v>
      </c>
      <c r="N1440" s="1">
        <f t="shared" si="45"/>
        <v>16.2</v>
      </c>
    </row>
    <row r="1441" spans="1:14" x14ac:dyDescent="0.3">
      <c r="A1441" s="1" t="s">
        <v>739</v>
      </c>
      <c r="B1441" s="1" t="s">
        <v>735</v>
      </c>
      <c r="C1441" s="1" t="s">
        <v>47</v>
      </c>
      <c r="D1441" s="1" t="s">
        <v>27</v>
      </c>
      <c r="E1441" s="1" t="s">
        <v>16</v>
      </c>
      <c r="F1441" s="1" t="s">
        <v>82</v>
      </c>
      <c r="G1441" s="1" t="s">
        <v>85</v>
      </c>
      <c r="H1441" s="1" t="s">
        <v>78</v>
      </c>
      <c r="I1441" s="1">
        <v>2</v>
      </c>
      <c r="J1441" s="1">
        <v>1620</v>
      </c>
      <c r="K1441" s="1">
        <v>0.1</v>
      </c>
      <c r="L1441" s="1">
        <v>2916</v>
      </c>
      <c r="M1441" s="1" t="str">
        <f t="shared" si="44"/>
        <v>Retail Store</v>
      </c>
      <c r="N1441" s="1">
        <f t="shared" si="45"/>
        <v>421.2</v>
      </c>
    </row>
    <row r="1442" spans="1:14" x14ac:dyDescent="0.3">
      <c r="A1442" s="1" t="s">
        <v>730</v>
      </c>
      <c r="B1442" s="1" t="s">
        <v>731</v>
      </c>
      <c r="C1442" s="1" t="s">
        <v>61</v>
      </c>
      <c r="D1442" s="1" t="s">
        <v>27</v>
      </c>
      <c r="E1442" s="1" t="s">
        <v>16</v>
      </c>
      <c r="F1442" s="1" t="s">
        <v>29</v>
      </c>
      <c r="G1442" s="1" t="s">
        <v>30</v>
      </c>
      <c r="H1442" s="1" t="s">
        <v>73</v>
      </c>
      <c r="I1442" s="1">
        <v>3</v>
      </c>
      <c r="J1442" s="1">
        <v>49.5</v>
      </c>
      <c r="K1442" s="1">
        <v>0</v>
      </c>
      <c r="L1442" s="1">
        <v>148.5</v>
      </c>
      <c r="M1442" s="1" t="str">
        <f t="shared" si="44"/>
        <v>Online</v>
      </c>
      <c r="N1442" s="1">
        <f t="shared" si="45"/>
        <v>62.01</v>
      </c>
    </row>
    <row r="1443" spans="1:14" x14ac:dyDescent="0.3">
      <c r="A1443" s="1" t="s">
        <v>732</v>
      </c>
      <c r="B1443" s="1" t="s">
        <v>731</v>
      </c>
      <c r="C1443" s="1" t="s">
        <v>61</v>
      </c>
      <c r="D1443" s="1" t="s">
        <v>27</v>
      </c>
      <c r="E1443" s="1" t="s">
        <v>16</v>
      </c>
      <c r="F1443" s="1" t="s">
        <v>82</v>
      </c>
      <c r="G1443" s="1" t="s">
        <v>83</v>
      </c>
      <c r="H1443" s="1" t="s">
        <v>73</v>
      </c>
      <c r="I1443" s="1">
        <v>2</v>
      </c>
      <c r="J1443" s="1">
        <v>3855.6</v>
      </c>
      <c r="K1443" s="1">
        <v>0.1</v>
      </c>
      <c r="L1443" s="1">
        <v>6940.08</v>
      </c>
      <c r="M1443" s="1" t="str">
        <f t="shared" si="44"/>
        <v>Online</v>
      </c>
      <c r="N1443" s="1">
        <f t="shared" si="45"/>
        <v>62.01</v>
      </c>
    </row>
    <row r="1444" spans="1:14" x14ac:dyDescent="0.3">
      <c r="A1444" s="1" t="s">
        <v>733</v>
      </c>
      <c r="B1444" s="1" t="s">
        <v>731</v>
      </c>
      <c r="C1444" s="1" t="s">
        <v>54</v>
      </c>
      <c r="D1444" s="1" t="s">
        <v>15</v>
      </c>
      <c r="E1444" s="1" t="s">
        <v>16</v>
      </c>
      <c r="F1444" s="1" t="s">
        <v>29</v>
      </c>
      <c r="G1444" s="1" t="s">
        <v>39</v>
      </c>
      <c r="H1444" s="1" t="s">
        <v>80</v>
      </c>
      <c r="I1444" s="1">
        <v>5</v>
      </c>
      <c r="J1444" s="1">
        <v>76.319999999999993</v>
      </c>
      <c r="K1444" s="1">
        <v>0.05</v>
      </c>
      <c r="L1444" s="1">
        <v>362.52</v>
      </c>
      <c r="M1444" s="1" t="str">
        <f t="shared" si="44"/>
        <v>Marketplace</v>
      </c>
      <c r="N1444" s="1">
        <f t="shared" si="45"/>
        <v>267.12</v>
      </c>
    </row>
    <row r="1445" spans="1:14" x14ac:dyDescent="0.3">
      <c r="A1445" s="1" t="s">
        <v>720</v>
      </c>
      <c r="B1445" s="1" t="s">
        <v>721</v>
      </c>
      <c r="C1445" s="1" t="s">
        <v>47</v>
      </c>
      <c r="D1445" s="1" t="s">
        <v>15</v>
      </c>
      <c r="E1445" s="1" t="s">
        <v>28</v>
      </c>
      <c r="F1445" s="1" t="s">
        <v>17</v>
      </c>
      <c r="G1445" s="1" t="s">
        <v>18</v>
      </c>
      <c r="H1445" s="1" t="s">
        <v>58</v>
      </c>
      <c r="I1445" s="1">
        <v>6</v>
      </c>
      <c r="J1445" s="1">
        <v>82.62</v>
      </c>
      <c r="K1445" s="1">
        <v>0</v>
      </c>
      <c r="L1445" s="1">
        <v>495.72</v>
      </c>
      <c r="M1445" s="1" t="str">
        <f t="shared" si="44"/>
        <v>Corporate Sales</v>
      </c>
      <c r="N1445" s="1">
        <f t="shared" si="45"/>
        <v>421.2</v>
      </c>
    </row>
    <row r="1446" spans="1:14" x14ac:dyDescent="0.3">
      <c r="A1446" s="1" t="s">
        <v>722</v>
      </c>
      <c r="B1446" s="1" t="s">
        <v>721</v>
      </c>
      <c r="C1446" s="1" t="s">
        <v>54</v>
      </c>
      <c r="D1446" s="1" t="s">
        <v>22</v>
      </c>
      <c r="E1446" s="1" t="s">
        <v>16</v>
      </c>
      <c r="F1446" s="1" t="s">
        <v>29</v>
      </c>
      <c r="G1446" s="1" t="s">
        <v>39</v>
      </c>
      <c r="H1446" s="1" t="s">
        <v>71</v>
      </c>
      <c r="I1446" s="1">
        <v>5</v>
      </c>
      <c r="J1446" s="1">
        <v>72</v>
      </c>
      <c r="K1446" s="1">
        <v>0.05</v>
      </c>
      <c r="L1446" s="1">
        <v>342</v>
      </c>
      <c r="M1446" s="1" t="str">
        <f t="shared" si="44"/>
        <v>Online</v>
      </c>
      <c r="N1446" s="1">
        <f t="shared" si="45"/>
        <v>267.12</v>
      </c>
    </row>
    <row r="1447" spans="1:14" x14ac:dyDescent="0.3">
      <c r="A1447" s="1" t="s">
        <v>723</v>
      </c>
      <c r="B1447" s="1" t="s">
        <v>721</v>
      </c>
      <c r="C1447" s="1" t="s">
        <v>47</v>
      </c>
      <c r="D1447" s="1" t="s">
        <v>27</v>
      </c>
      <c r="E1447" s="1" t="s">
        <v>16</v>
      </c>
      <c r="F1447" s="1" t="s">
        <v>82</v>
      </c>
      <c r="G1447" s="1" t="s">
        <v>83</v>
      </c>
      <c r="H1447" s="1" t="s">
        <v>49</v>
      </c>
      <c r="I1447" s="1">
        <v>2</v>
      </c>
      <c r="J1447" s="1">
        <v>3780</v>
      </c>
      <c r="K1447" s="1">
        <v>0.1</v>
      </c>
      <c r="L1447" s="1">
        <v>6804</v>
      </c>
      <c r="M1447" s="1" t="str">
        <f t="shared" si="44"/>
        <v>Retail Store</v>
      </c>
      <c r="N1447" s="1">
        <f t="shared" si="45"/>
        <v>421.2</v>
      </c>
    </row>
    <row r="1448" spans="1:14" x14ac:dyDescent="0.3">
      <c r="A1448" s="1" t="s">
        <v>724</v>
      </c>
      <c r="B1448" s="1" t="s">
        <v>721</v>
      </c>
      <c r="C1448" s="1" t="s">
        <v>54</v>
      </c>
      <c r="D1448" s="1" t="s">
        <v>22</v>
      </c>
      <c r="E1448" s="1" t="s">
        <v>16</v>
      </c>
      <c r="F1448" s="1" t="s">
        <v>36</v>
      </c>
      <c r="G1448" s="1" t="s">
        <v>119</v>
      </c>
      <c r="H1448" s="1" t="s">
        <v>80</v>
      </c>
      <c r="I1448" s="1">
        <v>4</v>
      </c>
      <c r="J1448" s="1">
        <v>642.6</v>
      </c>
      <c r="K1448" s="1">
        <v>0.05</v>
      </c>
      <c r="L1448" s="1">
        <v>2441.88</v>
      </c>
      <c r="M1448" s="1" t="str">
        <f t="shared" si="44"/>
        <v>Marketplace</v>
      </c>
      <c r="N1448" s="1">
        <f t="shared" si="45"/>
        <v>267.12</v>
      </c>
    </row>
    <row r="1449" spans="1:14" x14ac:dyDescent="0.3">
      <c r="A1449" s="1" t="s">
        <v>725</v>
      </c>
      <c r="B1449" s="1" t="s">
        <v>721</v>
      </c>
      <c r="C1449" s="1" t="s">
        <v>54</v>
      </c>
      <c r="D1449" s="1" t="s">
        <v>15</v>
      </c>
      <c r="E1449" s="1" t="s">
        <v>28</v>
      </c>
      <c r="F1449" s="1" t="s">
        <v>42</v>
      </c>
      <c r="G1449" s="1" t="s">
        <v>67</v>
      </c>
      <c r="H1449" s="1" t="s">
        <v>71</v>
      </c>
      <c r="I1449" s="1">
        <v>3</v>
      </c>
      <c r="J1449" s="1">
        <v>252</v>
      </c>
      <c r="K1449" s="1">
        <v>0.08</v>
      </c>
      <c r="L1449" s="1">
        <v>695.52</v>
      </c>
      <c r="M1449" s="1" t="str">
        <f t="shared" si="44"/>
        <v>Online</v>
      </c>
      <c r="N1449" s="1">
        <f t="shared" si="45"/>
        <v>267.12</v>
      </c>
    </row>
    <row r="1450" spans="1:14" x14ac:dyDescent="0.3">
      <c r="A1450" s="1" t="s">
        <v>726</v>
      </c>
      <c r="B1450" s="1" t="s">
        <v>721</v>
      </c>
      <c r="C1450" s="1" t="s">
        <v>21</v>
      </c>
      <c r="D1450" s="1" t="s">
        <v>22</v>
      </c>
      <c r="E1450" s="1" t="s">
        <v>16</v>
      </c>
      <c r="F1450" s="1" t="s">
        <v>29</v>
      </c>
      <c r="G1450" s="1" t="s">
        <v>39</v>
      </c>
      <c r="H1450" s="1" t="s">
        <v>86</v>
      </c>
      <c r="I1450" s="1">
        <v>7</v>
      </c>
      <c r="J1450" s="1">
        <v>68.400000000000006</v>
      </c>
      <c r="K1450" s="1">
        <v>0.1</v>
      </c>
      <c r="L1450" s="1">
        <v>430.92</v>
      </c>
      <c r="M1450" s="1" t="str">
        <f t="shared" si="44"/>
        <v>Online</v>
      </c>
      <c r="N1450" s="1">
        <f t="shared" si="45"/>
        <v>405</v>
      </c>
    </row>
    <row r="1451" spans="1:14" x14ac:dyDescent="0.3">
      <c r="A1451" s="1" t="s">
        <v>727</v>
      </c>
      <c r="B1451" s="1" t="s">
        <v>721</v>
      </c>
      <c r="C1451" s="1" t="s">
        <v>61</v>
      </c>
      <c r="D1451" s="1" t="s">
        <v>35</v>
      </c>
      <c r="E1451" s="1" t="s">
        <v>16</v>
      </c>
      <c r="F1451" s="1" t="s">
        <v>36</v>
      </c>
      <c r="G1451" s="1" t="s">
        <v>77</v>
      </c>
      <c r="H1451" s="1" t="s">
        <v>63</v>
      </c>
      <c r="I1451" s="1">
        <v>3</v>
      </c>
      <c r="J1451" s="1">
        <v>1377</v>
      </c>
      <c r="K1451" s="1">
        <v>0.03</v>
      </c>
      <c r="L1451" s="1">
        <v>4007.07</v>
      </c>
      <c r="M1451" s="1" t="str">
        <f t="shared" si="44"/>
        <v>Retail Store</v>
      </c>
      <c r="N1451" s="1">
        <f t="shared" si="45"/>
        <v>62.01</v>
      </c>
    </row>
    <row r="1452" spans="1:14" x14ac:dyDescent="0.3">
      <c r="A1452" s="1" t="s">
        <v>728</v>
      </c>
      <c r="B1452" s="1" t="s">
        <v>721</v>
      </c>
      <c r="C1452" s="1" t="s">
        <v>61</v>
      </c>
      <c r="D1452" s="1" t="s">
        <v>27</v>
      </c>
      <c r="E1452" s="1" t="s">
        <v>28</v>
      </c>
      <c r="F1452" s="1" t="s">
        <v>82</v>
      </c>
      <c r="G1452" s="1" t="s">
        <v>85</v>
      </c>
      <c r="H1452" s="1" t="s">
        <v>63</v>
      </c>
      <c r="I1452" s="1">
        <v>2</v>
      </c>
      <c r="J1452" s="1">
        <v>1717.2</v>
      </c>
      <c r="K1452" s="1">
        <v>0</v>
      </c>
      <c r="L1452" s="1">
        <v>3434.4</v>
      </c>
      <c r="M1452" s="1" t="str">
        <f t="shared" si="44"/>
        <v>Retail Store</v>
      </c>
      <c r="N1452" s="1">
        <f t="shared" si="45"/>
        <v>62.01</v>
      </c>
    </row>
    <row r="1453" spans="1:14" x14ac:dyDescent="0.3">
      <c r="A1453" s="1" t="s">
        <v>729</v>
      </c>
      <c r="B1453" s="1" t="s">
        <v>721</v>
      </c>
      <c r="C1453" s="1" t="s">
        <v>61</v>
      </c>
      <c r="D1453" s="1" t="s">
        <v>27</v>
      </c>
      <c r="E1453" s="1" t="s">
        <v>16</v>
      </c>
      <c r="F1453" s="1" t="s">
        <v>29</v>
      </c>
      <c r="G1453" s="1" t="s">
        <v>39</v>
      </c>
      <c r="H1453" s="1" t="s">
        <v>73</v>
      </c>
      <c r="I1453" s="1">
        <v>3</v>
      </c>
      <c r="J1453" s="1">
        <v>73.44</v>
      </c>
      <c r="K1453" s="1">
        <v>0.03</v>
      </c>
      <c r="L1453" s="1">
        <v>213.71</v>
      </c>
      <c r="M1453" s="1" t="str">
        <f t="shared" si="44"/>
        <v>Online</v>
      </c>
      <c r="N1453" s="1">
        <f t="shared" si="45"/>
        <v>62.01</v>
      </c>
    </row>
    <row r="1454" spans="1:14" x14ac:dyDescent="0.3">
      <c r="A1454" s="1" t="s">
        <v>710</v>
      </c>
      <c r="B1454" s="1" t="s">
        <v>711</v>
      </c>
      <c r="C1454" s="1" t="s">
        <v>54</v>
      </c>
      <c r="D1454" s="1" t="s">
        <v>22</v>
      </c>
      <c r="E1454" s="1" t="s">
        <v>16</v>
      </c>
      <c r="F1454" s="1" t="s">
        <v>23</v>
      </c>
      <c r="G1454" s="1" t="s">
        <v>178</v>
      </c>
      <c r="H1454" s="1" t="s">
        <v>71</v>
      </c>
      <c r="I1454" s="1">
        <v>3</v>
      </c>
      <c r="J1454" s="1">
        <v>29.93</v>
      </c>
      <c r="K1454" s="1">
        <v>0.05</v>
      </c>
      <c r="L1454" s="1">
        <v>85.29</v>
      </c>
      <c r="M1454" s="1" t="str">
        <f t="shared" si="44"/>
        <v>Online</v>
      </c>
      <c r="N1454" s="1">
        <f t="shared" si="45"/>
        <v>267.12</v>
      </c>
    </row>
    <row r="1455" spans="1:14" x14ac:dyDescent="0.3">
      <c r="A1455" s="1" t="s">
        <v>712</v>
      </c>
      <c r="B1455" s="1" t="s">
        <v>711</v>
      </c>
      <c r="C1455" s="1" t="s">
        <v>21</v>
      </c>
      <c r="D1455" s="1" t="s">
        <v>35</v>
      </c>
      <c r="E1455" s="1" t="s">
        <v>28</v>
      </c>
      <c r="F1455" s="1" t="s">
        <v>36</v>
      </c>
      <c r="G1455" s="1" t="s">
        <v>119</v>
      </c>
      <c r="H1455" s="1" t="s">
        <v>44</v>
      </c>
      <c r="I1455" s="1">
        <v>2</v>
      </c>
      <c r="J1455" s="1">
        <v>611.1</v>
      </c>
      <c r="K1455" s="1">
        <v>0.05</v>
      </c>
      <c r="L1455" s="1">
        <v>1161.0899999999999</v>
      </c>
      <c r="M1455" s="1" t="str">
        <f t="shared" si="44"/>
        <v>Retail Store</v>
      </c>
      <c r="N1455" s="1">
        <f t="shared" si="45"/>
        <v>405</v>
      </c>
    </row>
    <row r="1456" spans="1:14" x14ac:dyDescent="0.3">
      <c r="A1456" s="1" t="s">
        <v>713</v>
      </c>
      <c r="B1456" s="1" t="s">
        <v>711</v>
      </c>
      <c r="C1456" s="1" t="s">
        <v>54</v>
      </c>
      <c r="D1456" s="1" t="s">
        <v>27</v>
      </c>
      <c r="E1456" s="1" t="s">
        <v>16</v>
      </c>
      <c r="F1456" s="1" t="s">
        <v>29</v>
      </c>
      <c r="G1456" s="1" t="s">
        <v>30</v>
      </c>
      <c r="H1456" s="1" t="s">
        <v>71</v>
      </c>
      <c r="I1456" s="1">
        <v>2</v>
      </c>
      <c r="J1456" s="1">
        <v>48.02</v>
      </c>
      <c r="K1456" s="1">
        <v>0.1</v>
      </c>
      <c r="L1456" s="1">
        <v>86.43</v>
      </c>
      <c r="M1456" s="1" t="str">
        <f t="shared" si="44"/>
        <v>Online</v>
      </c>
      <c r="N1456" s="1">
        <f t="shared" si="45"/>
        <v>267.12</v>
      </c>
    </row>
    <row r="1457" spans="1:14" x14ac:dyDescent="0.3">
      <c r="A1457" s="1" t="s">
        <v>714</v>
      </c>
      <c r="B1457" s="1" t="s">
        <v>711</v>
      </c>
      <c r="C1457" s="1" t="s">
        <v>14</v>
      </c>
      <c r="D1457" s="1" t="s">
        <v>15</v>
      </c>
      <c r="E1457" s="1" t="s">
        <v>16</v>
      </c>
      <c r="F1457" s="1" t="s">
        <v>82</v>
      </c>
      <c r="G1457" s="1" t="s">
        <v>85</v>
      </c>
      <c r="H1457" s="1" t="s">
        <v>19</v>
      </c>
      <c r="I1457" s="1">
        <v>2</v>
      </c>
      <c r="J1457" s="1">
        <v>1620</v>
      </c>
      <c r="K1457" s="1">
        <v>0.05</v>
      </c>
      <c r="L1457" s="1">
        <v>3078</v>
      </c>
      <c r="M1457" s="1" t="str">
        <f t="shared" si="44"/>
        <v>Retail Store</v>
      </c>
      <c r="N1457" s="1">
        <f t="shared" si="45"/>
        <v>16.2</v>
      </c>
    </row>
    <row r="1458" spans="1:14" x14ac:dyDescent="0.3">
      <c r="A1458" s="1" t="s">
        <v>715</v>
      </c>
      <c r="B1458" s="1" t="s">
        <v>711</v>
      </c>
      <c r="C1458" s="1" t="s">
        <v>14</v>
      </c>
      <c r="D1458" s="1" t="s">
        <v>15</v>
      </c>
      <c r="E1458" s="1" t="s">
        <v>16</v>
      </c>
      <c r="F1458" s="1" t="s">
        <v>82</v>
      </c>
      <c r="G1458" s="1" t="s">
        <v>114</v>
      </c>
      <c r="H1458" s="1" t="s">
        <v>31</v>
      </c>
      <c r="I1458" s="1">
        <v>3</v>
      </c>
      <c r="J1458" s="1">
        <v>2182.5</v>
      </c>
      <c r="K1458" s="1">
        <v>0.03</v>
      </c>
      <c r="L1458" s="1">
        <v>6351.08</v>
      </c>
      <c r="M1458" s="1" t="str">
        <f t="shared" si="44"/>
        <v>Online</v>
      </c>
      <c r="N1458" s="1">
        <f t="shared" si="45"/>
        <v>16.2</v>
      </c>
    </row>
    <row r="1459" spans="1:14" x14ac:dyDescent="0.3">
      <c r="A1459" s="1" t="s">
        <v>716</v>
      </c>
      <c r="B1459" s="1" t="s">
        <v>711</v>
      </c>
      <c r="C1459" s="1" t="s">
        <v>47</v>
      </c>
      <c r="D1459" s="1" t="s">
        <v>15</v>
      </c>
      <c r="E1459" s="1" t="s">
        <v>16</v>
      </c>
      <c r="F1459" s="1" t="s">
        <v>82</v>
      </c>
      <c r="G1459" s="1" t="s">
        <v>150</v>
      </c>
      <c r="H1459" s="1" t="s">
        <v>78</v>
      </c>
      <c r="I1459" s="1">
        <v>3</v>
      </c>
      <c r="J1459" s="1">
        <v>2880</v>
      </c>
      <c r="K1459" s="1">
        <v>0.03</v>
      </c>
      <c r="L1459" s="1">
        <v>8380.7999999999993</v>
      </c>
      <c r="M1459" s="1" t="str">
        <f t="shared" si="44"/>
        <v>Retail Store</v>
      </c>
      <c r="N1459" s="1">
        <f t="shared" si="45"/>
        <v>421.2</v>
      </c>
    </row>
    <row r="1460" spans="1:14" x14ac:dyDescent="0.3">
      <c r="A1460" s="1" t="s">
        <v>717</v>
      </c>
      <c r="B1460" s="1" t="s">
        <v>711</v>
      </c>
      <c r="C1460" s="1" t="s">
        <v>54</v>
      </c>
      <c r="D1460" s="1" t="s">
        <v>22</v>
      </c>
      <c r="E1460" s="1" t="s">
        <v>16</v>
      </c>
      <c r="F1460" s="1" t="s">
        <v>29</v>
      </c>
      <c r="G1460" s="1" t="s">
        <v>33</v>
      </c>
      <c r="H1460" s="1" t="s">
        <v>80</v>
      </c>
      <c r="I1460" s="1">
        <v>5</v>
      </c>
      <c r="J1460" s="1">
        <v>14.31</v>
      </c>
      <c r="K1460" s="1">
        <v>0.03</v>
      </c>
      <c r="L1460" s="1">
        <v>69.400000000000006</v>
      </c>
      <c r="M1460" s="1" t="str">
        <f t="shared" si="44"/>
        <v>Marketplace</v>
      </c>
      <c r="N1460" s="1">
        <f t="shared" si="45"/>
        <v>267.12</v>
      </c>
    </row>
    <row r="1461" spans="1:14" x14ac:dyDescent="0.3">
      <c r="A1461" s="1" t="s">
        <v>718</v>
      </c>
      <c r="B1461" s="1" t="s">
        <v>711</v>
      </c>
      <c r="C1461" s="1" t="s">
        <v>61</v>
      </c>
      <c r="D1461" s="1" t="s">
        <v>15</v>
      </c>
      <c r="E1461" s="1" t="s">
        <v>16</v>
      </c>
      <c r="F1461" s="1" t="s">
        <v>23</v>
      </c>
      <c r="G1461" s="1" t="s">
        <v>178</v>
      </c>
      <c r="H1461" s="1" t="s">
        <v>112</v>
      </c>
      <c r="I1461" s="1">
        <v>6</v>
      </c>
      <c r="J1461" s="1">
        <v>30.56</v>
      </c>
      <c r="K1461" s="1">
        <v>0.05</v>
      </c>
      <c r="L1461" s="1">
        <v>174.16</v>
      </c>
      <c r="M1461" s="1" t="str">
        <f t="shared" si="44"/>
        <v>Online</v>
      </c>
      <c r="N1461" s="1">
        <f t="shared" si="45"/>
        <v>62.01</v>
      </c>
    </row>
    <row r="1462" spans="1:14" x14ac:dyDescent="0.3">
      <c r="A1462" s="1" t="s">
        <v>719</v>
      </c>
      <c r="B1462" s="1" t="s">
        <v>711</v>
      </c>
      <c r="C1462" s="1" t="s">
        <v>54</v>
      </c>
      <c r="D1462" s="1" t="s">
        <v>22</v>
      </c>
      <c r="E1462" s="1" t="s">
        <v>16</v>
      </c>
      <c r="F1462" s="1" t="s">
        <v>29</v>
      </c>
      <c r="G1462" s="1" t="s">
        <v>33</v>
      </c>
      <c r="H1462" s="1" t="s">
        <v>80</v>
      </c>
      <c r="I1462" s="1">
        <v>2</v>
      </c>
      <c r="J1462" s="1">
        <v>14.31</v>
      </c>
      <c r="K1462" s="1">
        <v>0.2</v>
      </c>
      <c r="L1462" s="1">
        <v>22.9</v>
      </c>
      <c r="M1462" s="1" t="str">
        <f t="shared" si="44"/>
        <v>Marketplace</v>
      </c>
      <c r="N1462" s="1">
        <f t="shared" si="45"/>
        <v>267.12</v>
      </c>
    </row>
    <row r="1463" spans="1:14" x14ac:dyDescent="0.3">
      <c r="A1463" s="1" t="s">
        <v>703</v>
      </c>
      <c r="B1463" s="1" t="s">
        <v>704</v>
      </c>
      <c r="C1463" s="1" t="s">
        <v>21</v>
      </c>
      <c r="D1463" s="1" t="s">
        <v>35</v>
      </c>
      <c r="E1463" s="1" t="s">
        <v>16</v>
      </c>
      <c r="F1463" s="1" t="s">
        <v>36</v>
      </c>
      <c r="G1463" s="1" t="s">
        <v>70</v>
      </c>
      <c r="H1463" s="1" t="s">
        <v>25</v>
      </c>
      <c r="I1463" s="1">
        <v>2</v>
      </c>
      <c r="J1463" s="1">
        <v>522</v>
      </c>
      <c r="K1463" s="1">
        <v>0.15</v>
      </c>
      <c r="L1463" s="1">
        <v>887.4</v>
      </c>
      <c r="M1463" s="1" t="str">
        <f t="shared" si="44"/>
        <v>Marketplace</v>
      </c>
      <c r="N1463" s="1">
        <f t="shared" si="45"/>
        <v>405</v>
      </c>
    </row>
    <row r="1464" spans="1:14" x14ac:dyDescent="0.3">
      <c r="A1464" s="1" t="s">
        <v>705</v>
      </c>
      <c r="B1464" s="1" t="s">
        <v>704</v>
      </c>
      <c r="C1464" s="1" t="s">
        <v>47</v>
      </c>
      <c r="D1464" s="1" t="s">
        <v>35</v>
      </c>
      <c r="E1464" s="1" t="s">
        <v>28</v>
      </c>
      <c r="F1464" s="1" t="s">
        <v>29</v>
      </c>
      <c r="G1464" s="1" t="s">
        <v>39</v>
      </c>
      <c r="H1464" s="1" t="s">
        <v>78</v>
      </c>
      <c r="I1464" s="1">
        <v>10</v>
      </c>
      <c r="J1464" s="1">
        <v>68.400000000000006</v>
      </c>
      <c r="K1464" s="1">
        <v>0</v>
      </c>
      <c r="L1464" s="1">
        <v>684</v>
      </c>
      <c r="M1464" s="1" t="str">
        <f t="shared" si="44"/>
        <v>Retail Store</v>
      </c>
      <c r="N1464" s="1">
        <f t="shared" si="45"/>
        <v>421.2</v>
      </c>
    </row>
    <row r="1465" spans="1:14" x14ac:dyDescent="0.3">
      <c r="A1465" s="1" t="s">
        <v>706</v>
      </c>
      <c r="B1465" s="1" t="s">
        <v>704</v>
      </c>
      <c r="C1465" s="1" t="s">
        <v>14</v>
      </c>
      <c r="D1465" s="1" t="s">
        <v>15</v>
      </c>
      <c r="E1465" s="1" t="s">
        <v>28</v>
      </c>
      <c r="F1465" s="1" t="s">
        <v>29</v>
      </c>
      <c r="G1465" s="1" t="s">
        <v>55</v>
      </c>
      <c r="H1465" s="1" t="s">
        <v>40</v>
      </c>
      <c r="I1465" s="1">
        <v>3</v>
      </c>
      <c r="J1465" s="1">
        <v>34.200000000000003</v>
      </c>
      <c r="K1465" s="1">
        <v>0.05</v>
      </c>
      <c r="L1465" s="1">
        <v>97.47</v>
      </c>
      <c r="M1465" s="1" t="str">
        <f t="shared" si="44"/>
        <v>Online</v>
      </c>
      <c r="N1465" s="1">
        <f t="shared" si="45"/>
        <v>16.2</v>
      </c>
    </row>
    <row r="1466" spans="1:14" x14ac:dyDescent="0.3">
      <c r="A1466" s="1" t="s">
        <v>707</v>
      </c>
      <c r="B1466" s="1" t="s">
        <v>704</v>
      </c>
      <c r="C1466" s="1" t="s">
        <v>21</v>
      </c>
      <c r="D1466" s="1" t="s">
        <v>15</v>
      </c>
      <c r="E1466" s="1" t="s">
        <v>16</v>
      </c>
      <c r="F1466" s="1" t="s">
        <v>36</v>
      </c>
      <c r="G1466" s="1" t="s">
        <v>77</v>
      </c>
      <c r="H1466" s="1" t="s">
        <v>44</v>
      </c>
      <c r="I1466" s="1">
        <v>3</v>
      </c>
      <c r="J1466" s="1">
        <v>1377</v>
      </c>
      <c r="K1466" s="1">
        <v>0</v>
      </c>
      <c r="L1466" s="1">
        <v>4131</v>
      </c>
      <c r="M1466" s="1" t="str">
        <f t="shared" si="44"/>
        <v>Retail Store</v>
      </c>
      <c r="N1466" s="1">
        <f t="shared" si="45"/>
        <v>405</v>
      </c>
    </row>
    <row r="1467" spans="1:14" x14ac:dyDescent="0.3">
      <c r="A1467" s="1" t="s">
        <v>708</v>
      </c>
      <c r="B1467" s="1" t="s">
        <v>704</v>
      </c>
      <c r="C1467" s="1" t="s">
        <v>54</v>
      </c>
      <c r="D1467" s="1" t="s">
        <v>22</v>
      </c>
      <c r="E1467" s="1" t="s">
        <v>16</v>
      </c>
      <c r="F1467" s="1" t="s">
        <v>42</v>
      </c>
      <c r="G1467" s="1" t="s">
        <v>43</v>
      </c>
      <c r="H1467" s="1" t="s">
        <v>80</v>
      </c>
      <c r="I1467" s="1">
        <v>2</v>
      </c>
      <c r="J1467" s="1">
        <v>162</v>
      </c>
      <c r="K1467" s="1">
        <v>0.2</v>
      </c>
      <c r="L1467" s="1">
        <v>259.2</v>
      </c>
      <c r="M1467" s="1" t="str">
        <f t="shared" si="44"/>
        <v>Marketplace</v>
      </c>
      <c r="N1467" s="1">
        <f t="shared" si="45"/>
        <v>267.12</v>
      </c>
    </row>
    <row r="1468" spans="1:14" x14ac:dyDescent="0.3">
      <c r="A1468" s="1" t="s">
        <v>709</v>
      </c>
      <c r="B1468" s="1" t="s">
        <v>704</v>
      </c>
      <c r="C1468" s="1" t="s">
        <v>21</v>
      </c>
      <c r="D1468" s="1" t="s">
        <v>15</v>
      </c>
      <c r="E1468" s="1" t="s">
        <v>28</v>
      </c>
      <c r="F1468" s="1" t="s">
        <v>82</v>
      </c>
      <c r="G1468" s="1" t="s">
        <v>150</v>
      </c>
      <c r="H1468" s="1" t="s">
        <v>86</v>
      </c>
      <c r="I1468" s="1">
        <v>2</v>
      </c>
      <c r="J1468" s="1">
        <v>3052.8</v>
      </c>
      <c r="K1468" s="1">
        <v>0</v>
      </c>
      <c r="L1468" s="1">
        <v>6105.6</v>
      </c>
      <c r="M1468" s="1" t="str">
        <f t="shared" si="44"/>
        <v>Online</v>
      </c>
      <c r="N1468" s="1">
        <f t="shared" si="45"/>
        <v>405</v>
      </c>
    </row>
    <row r="1469" spans="1:14" x14ac:dyDescent="0.3">
      <c r="A1469" s="1" t="s">
        <v>697</v>
      </c>
      <c r="B1469" s="1" t="s">
        <v>698</v>
      </c>
      <c r="C1469" s="1" t="s">
        <v>61</v>
      </c>
      <c r="D1469" s="1" t="s">
        <v>35</v>
      </c>
      <c r="E1469" s="1" t="s">
        <v>16</v>
      </c>
      <c r="F1469" s="1" t="s">
        <v>23</v>
      </c>
      <c r="G1469" s="1" t="s">
        <v>116</v>
      </c>
      <c r="H1469" s="1" t="s">
        <v>112</v>
      </c>
      <c r="I1469" s="1">
        <v>6</v>
      </c>
      <c r="J1469" s="1">
        <v>7.2</v>
      </c>
      <c r="K1469" s="1">
        <v>0.05</v>
      </c>
      <c r="L1469" s="1">
        <v>41.04</v>
      </c>
      <c r="M1469" s="1" t="str">
        <f t="shared" si="44"/>
        <v>Online</v>
      </c>
      <c r="N1469" s="1">
        <f t="shared" si="45"/>
        <v>62.01</v>
      </c>
    </row>
    <row r="1470" spans="1:14" x14ac:dyDescent="0.3">
      <c r="A1470" s="1" t="s">
        <v>699</v>
      </c>
      <c r="B1470" s="1" t="s">
        <v>698</v>
      </c>
      <c r="C1470" s="1" t="s">
        <v>21</v>
      </c>
      <c r="D1470" s="1" t="s">
        <v>15</v>
      </c>
      <c r="E1470" s="1" t="s">
        <v>16</v>
      </c>
      <c r="F1470" s="1" t="s">
        <v>23</v>
      </c>
      <c r="G1470" s="1" t="s">
        <v>116</v>
      </c>
      <c r="H1470" s="1" t="s">
        <v>44</v>
      </c>
      <c r="I1470" s="1">
        <v>2</v>
      </c>
      <c r="J1470" s="1">
        <v>7.34</v>
      </c>
      <c r="K1470" s="1">
        <v>0.05</v>
      </c>
      <c r="L1470" s="1">
        <v>13.95</v>
      </c>
      <c r="M1470" s="1" t="str">
        <f t="shared" si="44"/>
        <v>Retail Store</v>
      </c>
      <c r="N1470" s="1">
        <f t="shared" si="45"/>
        <v>405</v>
      </c>
    </row>
    <row r="1471" spans="1:14" x14ac:dyDescent="0.3">
      <c r="A1471" s="1" t="s">
        <v>700</v>
      </c>
      <c r="B1471" s="1" t="s">
        <v>698</v>
      </c>
      <c r="C1471" s="1" t="s">
        <v>61</v>
      </c>
      <c r="D1471" s="1" t="s">
        <v>15</v>
      </c>
      <c r="E1471" s="1" t="s">
        <v>16</v>
      </c>
      <c r="F1471" s="1" t="s">
        <v>17</v>
      </c>
      <c r="G1471" s="1" t="s">
        <v>18</v>
      </c>
      <c r="H1471" s="1" t="s">
        <v>112</v>
      </c>
      <c r="I1471" s="1">
        <v>2</v>
      </c>
      <c r="J1471" s="1">
        <v>81</v>
      </c>
      <c r="K1471" s="1">
        <v>0.03</v>
      </c>
      <c r="L1471" s="1">
        <v>157.13999999999999</v>
      </c>
      <c r="M1471" s="1" t="str">
        <f t="shared" si="44"/>
        <v>Online</v>
      </c>
      <c r="N1471" s="1">
        <f t="shared" si="45"/>
        <v>62.01</v>
      </c>
    </row>
    <row r="1472" spans="1:14" x14ac:dyDescent="0.3">
      <c r="A1472" s="1" t="s">
        <v>701</v>
      </c>
      <c r="B1472" s="1" t="s">
        <v>698</v>
      </c>
      <c r="C1472" s="1" t="s">
        <v>54</v>
      </c>
      <c r="D1472" s="1" t="s">
        <v>27</v>
      </c>
      <c r="E1472" s="1" t="s">
        <v>16</v>
      </c>
      <c r="F1472" s="1" t="s">
        <v>82</v>
      </c>
      <c r="G1472" s="1" t="s">
        <v>114</v>
      </c>
      <c r="H1472" s="1" t="s">
        <v>56</v>
      </c>
      <c r="I1472" s="1">
        <v>2</v>
      </c>
      <c r="J1472" s="1">
        <v>2250</v>
      </c>
      <c r="K1472" s="1">
        <v>0.15</v>
      </c>
      <c r="L1472" s="1">
        <v>3825</v>
      </c>
      <c r="M1472" s="1" t="str">
        <f t="shared" si="44"/>
        <v>Online</v>
      </c>
      <c r="N1472" s="1">
        <f t="shared" si="45"/>
        <v>267.12</v>
      </c>
    </row>
    <row r="1473" spans="1:14" x14ac:dyDescent="0.3">
      <c r="A1473" s="1" t="s">
        <v>702</v>
      </c>
      <c r="B1473" s="1" t="s">
        <v>698</v>
      </c>
      <c r="C1473" s="1" t="s">
        <v>14</v>
      </c>
      <c r="D1473" s="1" t="s">
        <v>15</v>
      </c>
      <c r="E1473" s="1" t="s">
        <v>28</v>
      </c>
      <c r="F1473" s="1" t="s">
        <v>29</v>
      </c>
      <c r="G1473" s="1" t="s">
        <v>33</v>
      </c>
      <c r="H1473" s="1" t="s">
        <v>31</v>
      </c>
      <c r="I1473" s="1">
        <v>3</v>
      </c>
      <c r="J1473" s="1">
        <v>14.04</v>
      </c>
      <c r="K1473" s="1">
        <v>0.08</v>
      </c>
      <c r="L1473" s="1">
        <v>38.75</v>
      </c>
      <c r="M1473" s="1" t="str">
        <f t="shared" si="44"/>
        <v>Online</v>
      </c>
      <c r="N1473" s="1">
        <f t="shared" si="45"/>
        <v>16.2</v>
      </c>
    </row>
    <row r="1474" spans="1:14" x14ac:dyDescent="0.3">
      <c r="A1474" s="1" t="s">
        <v>691</v>
      </c>
      <c r="B1474" s="1" t="s">
        <v>692</v>
      </c>
      <c r="C1474" s="1" t="s">
        <v>21</v>
      </c>
      <c r="D1474" s="1" t="s">
        <v>35</v>
      </c>
      <c r="E1474" s="1" t="s">
        <v>16</v>
      </c>
      <c r="F1474" s="1" t="s">
        <v>82</v>
      </c>
      <c r="G1474" s="1" t="s">
        <v>96</v>
      </c>
      <c r="H1474" s="1" t="s">
        <v>86</v>
      </c>
      <c r="I1474" s="1">
        <v>2</v>
      </c>
      <c r="J1474" s="1">
        <v>2619</v>
      </c>
      <c r="K1474" s="1">
        <v>0.15</v>
      </c>
      <c r="L1474" s="1">
        <v>4452.3</v>
      </c>
      <c r="M1474" s="1" t="str">
        <f t="shared" ref="M1474:M1537" si="46">INDEX(D:D,MATCH(H1474,H:H,0))</f>
        <v>Online</v>
      </c>
      <c r="N1474" s="1">
        <f t="shared" ref="N1474:N1537" si="47">VLOOKUP(C:C,C:J,8,FALSE)</f>
        <v>405</v>
      </c>
    </row>
    <row r="1475" spans="1:14" x14ac:dyDescent="0.3">
      <c r="A1475" s="1" t="s">
        <v>693</v>
      </c>
      <c r="B1475" s="1" t="s">
        <v>692</v>
      </c>
      <c r="C1475" s="1" t="s">
        <v>21</v>
      </c>
      <c r="D1475" s="1" t="s">
        <v>27</v>
      </c>
      <c r="E1475" s="1" t="s">
        <v>28</v>
      </c>
      <c r="F1475" s="1" t="s">
        <v>23</v>
      </c>
      <c r="G1475" s="1" t="s">
        <v>178</v>
      </c>
      <c r="H1475" s="1" t="s">
        <v>86</v>
      </c>
      <c r="I1475" s="1">
        <v>2</v>
      </c>
      <c r="J1475" s="1">
        <v>29.93</v>
      </c>
      <c r="K1475" s="1">
        <v>0.05</v>
      </c>
      <c r="L1475" s="1">
        <v>56.86</v>
      </c>
      <c r="M1475" s="1" t="str">
        <f t="shared" si="46"/>
        <v>Online</v>
      </c>
      <c r="N1475" s="1">
        <f t="shared" si="47"/>
        <v>405</v>
      </c>
    </row>
    <row r="1476" spans="1:14" x14ac:dyDescent="0.3">
      <c r="A1476" s="1" t="s">
        <v>694</v>
      </c>
      <c r="B1476" s="1" t="s">
        <v>692</v>
      </c>
      <c r="C1476" s="1" t="s">
        <v>21</v>
      </c>
      <c r="D1476" s="1" t="s">
        <v>15</v>
      </c>
      <c r="E1476" s="1" t="s">
        <v>16</v>
      </c>
      <c r="F1476" s="1" t="s">
        <v>17</v>
      </c>
      <c r="G1476" s="1" t="s">
        <v>62</v>
      </c>
      <c r="H1476" s="1" t="s">
        <v>25</v>
      </c>
      <c r="I1476" s="1">
        <v>2</v>
      </c>
      <c r="J1476" s="1">
        <v>51.3</v>
      </c>
      <c r="K1476" s="1">
        <v>0.1</v>
      </c>
      <c r="L1476" s="1">
        <v>92.34</v>
      </c>
      <c r="M1476" s="1" t="str">
        <f t="shared" si="46"/>
        <v>Marketplace</v>
      </c>
      <c r="N1476" s="1">
        <f t="shared" si="47"/>
        <v>405</v>
      </c>
    </row>
    <row r="1477" spans="1:14" x14ac:dyDescent="0.3">
      <c r="A1477" s="1" t="s">
        <v>695</v>
      </c>
      <c r="B1477" s="1" t="s">
        <v>692</v>
      </c>
      <c r="C1477" s="1" t="s">
        <v>61</v>
      </c>
      <c r="D1477" s="1" t="s">
        <v>35</v>
      </c>
      <c r="E1477" s="1" t="s">
        <v>16</v>
      </c>
      <c r="F1477" s="1" t="s">
        <v>23</v>
      </c>
      <c r="G1477" s="1" t="s">
        <v>24</v>
      </c>
      <c r="H1477" s="1" t="s">
        <v>112</v>
      </c>
      <c r="I1477" s="1">
        <v>7</v>
      </c>
      <c r="J1477" s="1">
        <v>23.4</v>
      </c>
      <c r="K1477" s="1">
        <v>0.08</v>
      </c>
      <c r="L1477" s="1">
        <v>150.69999999999999</v>
      </c>
      <c r="M1477" s="1" t="str">
        <f t="shared" si="46"/>
        <v>Online</v>
      </c>
      <c r="N1477" s="1">
        <f t="shared" si="47"/>
        <v>62.01</v>
      </c>
    </row>
    <row r="1478" spans="1:14" x14ac:dyDescent="0.3">
      <c r="A1478" s="1" t="s">
        <v>696</v>
      </c>
      <c r="B1478" s="1" t="s">
        <v>692</v>
      </c>
      <c r="C1478" s="1" t="s">
        <v>14</v>
      </c>
      <c r="D1478" s="1" t="s">
        <v>22</v>
      </c>
      <c r="E1478" s="1" t="s">
        <v>16</v>
      </c>
      <c r="F1478" s="1" t="s">
        <v>17</v>
      </c>
      <c r="G1478" s="1" t="s">
        <v>98</v>
      </c>
      <c r="H1478" s="1" t="s">
        <v>19</v>
      </c>
      <c r="I1478" s="1">
        <v>2</v>
      </c>
      <c r="J1478" s="1">
        <v>413.1</v>
      </c>
      <c r="K1478" s="1">
        <v>0</v>
      </c>
      <c r="L1478" s="1">
        <v>826.2</v>
      </c>
      <c r="M1478" s="1" t="str">
        <f t="shared" si="46"/>
        <v>Retail Store</v>
      </c>
      <c r="N1478" s="1">
        <f t="shared" si="47"/>
        <v>16.2</v>
      </c>
    </row>
    <row r="1479" spans="1:14" x14ac:dyDescent="0.3">
      <c r="A1479" s="1" t="s">
        <v>683</v>
      </c>
      <c r="B1479" s="1" t="s">
        <v>684</v>
      </c>
      <c r="C1479" s="1" t="s">
        <v>14</v>
      </c>
      <c r="D1479" s="1" t="s">
        <v>35</v>
      </c>
      <c r="E1479" s="1" t="s">
        <v>16</v>
      </c>
      <c r="F1479" s="1" t="s">
        <v>36</v>
      </c>
      <c r="G1479" s="1" t="s">
        <v>77</v>
      </c>
      <c r="H1479" s="1" t="s">
        <v>19</v>
      </c>
      <c r="I1479" s="1">
        <v>2</v>
      </c>
      <c r="J1479" s="1">
        <v>1431</v>
      </c>
      <c r="K1479" s="1">
        <v>0.05</v>
      </c>
      <c r="L1479" s="1">
        <v>2718.9</v>
      </c>
      <c r="M1479" s="1" t="str">
        <f t="shared" si="46"/>
        <v>Retail Store</v>
      </c>
      <c r="N1479" s="1">
        <f t="shared" si="47"/>
        <v>16.2</v>
      </c>
    </row>
    <row r="1480" spans="1:14" x14ac:dyDescent="0.3">
      <c r="A1480" s="1" t="s">
        <v>685</v>
      </c>
      <c r="B1480" s="1" t="s">
        <v>684</v>
      </c>
      <c r="C1480" s="1" t="s">
        <v>21</v>
      </c>
      <c r="D1480" s="1" t="s">
        <v>15</v>
      </c>
      <c r="E1480" s="1" t="s">
        <v>16</v>
      </c>
      <c r="F1480" s="1" t="s">
        <v>29</v>
      </c>
      <c r="G1480" s="1" t="s">
        <v>55</v>
      </c>
      <c r="H1480" s="1" t="s">
        <v>86</v>
      </c>
      <c r="I1480" s="1">
        <v>3</v>
      </c>
      <c r="J1480" s="1">
        <v>34.200000000000003</v>
      </c>
      <c r="K1480" s="1">
        <v>0</v>
      </c>
      <c r="L1480" s="1">
        <v>102.6</v>
      </c>
      <c r="M1480" s="1" t="str">
        <f t="shared" si="46"/>
        <v>Online</v>
      </c>
      <c r="N1480" s="1">
        <f t="shared" si="47"/>
        <v>405</v>
      </c>
    </row>
    <row r="1481" spans="1:14" x14ac:dyDescent="0.3">
      <c r="A1481" s="1" t="s">
        <v>686</v>
      </c>
      <c r="B1481" s="1" t="s">
        <v>684</v>
      </c>
      <c r="C1481" s="1" t="s">
        <v>54</v>
      </c>
      <c r="D1481" s="1" t="s">
        <v>15</v>
      </c>
      <c r="E1481" s="1" t="s">
        <v>16</v>
      </c>
      <c r="F1481" s="1" t="s">
        <v>23</v>
      </c>
      <c r="G1481" s="1" t="s">
        <v>24</v>
      </c>
      <c r="H1481" s="1" t="s">
        <v>71</v>
      </c>
      <c r="I1481" s="1">
        <v>5</v>
      </c>
      <c r="J1481" s="1">
        <v>21.83</v>
      </c>
      <c r="K1481" s="1">
        <v>0.15</v>
      </c>
      <c r="L1481" s="1">
        <v>92.76</v>
      </c>
      <c r="M1481" s="1" t="str">
        <f t="shared" si="46"/>
        <v>Online</v>
      </c>
      <c r="N1481" s="1">
        <f t="shared" si="47"/>
        <v>267.12</v>
      </c>
    </row>
    <row r="1482" spans="1:14" x14ac:dyDescent="0.3">
      <c r="A1482" s="1" t="s">
        <v>687</v>
      </c>
      <c r="B1482" s="1" t="s">
        <v>684</v>
      </c>
      <c r="C1482" s="1" t="s">
        <v>47</v>
      </c>
      <c r="D1482" s="1" t="s">
        <v>15</v>
      </c>
      <c r="E1482" s="1" t="s">
        <v>28</v>
      </c>
      <c r="F1482" s="1" t="s">
        <v>17</v>
      </c>
      <c r="G1482" s="1" t="s">
        <v>62</v>
      </c>
      <c r="H1482" s="1" t="s">
        <v>78</v>
      </c>
      <c r="I1482" s="1">
        <v>3</v>
      </c>
      <c r="J1482" s="1">
        <v>56.16</v>
      </c>
      <c r="K1482" s="1">
        <v>0.05</v>
      </c>
      <c r="L1482" s="1">
        <v>160.06</v>
      </c>
      <c r="M1482" s="1" t="str">
        <f t="shared" si="46"/>
        <v>Retail Store</v>
      </c>
      <c r="N1482" s="1">
        <f t="shared" si="47"/>
        <v>421.2</v>
      </c>
    </row>
    <row r="1483" spans="1:14" x14ac:dyDescent="0.3">
      <c r="A1483" s="1" t="s">
        <v>688</v>
      </c>
      <c r="B1483" s="1" t="s">
        <v>684</v>
      </c>
      <c r="C1483" s="1" t="s">
        <v>54</v>
      </c>
      <c r="D1483" s="1" t="s">
        <v>27</v>
      </c>
      <c r="E1483" s="1" t="s">
        <v>28</v>
      </c>
      <c r="F1483" s="1" t="s">
        <v>82</v>
      </c>
      <c r="G1483" s="1" t="s">
        <v>85</v>
      </c>
      <c r="H1483" s="1" t="s">
        <v>80</v>
      </c>
      <c r="I1483" s="1">
        <v>3</v>
      </c>
      <c r="J1483" s="1">
        <v>1652.4</v>
      </c>
      <c r="K1483" s="1">
        <v>0.03</v>
      </c>
      <c r="L1483" s="1">
        <v>4808.4799999999996</v>
      </c>
      <c r="M1483" s="1" t="str">
        <f t="shared" si="46"/>
        <v>Marketplace</v>
      </c>
      <c r="N1483" s="1">
        <f t="shared" si="47"/>
        <v>267.12</v>
      </c>
    </row>
    <row r="1484" spans="1:14" x14ac:dyDescent="0.3">
      <c r="A1484" s="1" t="s">
        <v>689</v>
      </c>
      <c r="B1484" s="1" t="s">
        <v>684</v>
      </c>
      <c r="C1484" s="1" t="s">
        <v>14</v>
      </c>
      <c r="D1484" s="1" t="s">
        <v>22</v>
      </c>
      <c r="E1484" s="1" t="s">
        <v>16</v>
      </c>
      <c r="F1484" s="1" t="s">
        <v>17</v>
      </c>
      <c r="G1484" s="1" t="s">
        <v>189</v>
      </c>
      <c r="H1484" s="1" t="s">
        <v>40</v>
      </c>
      <c r="I1484" s="1">
        <v>3</v>
      </c>
      <c r="J1484" s="1">
        <v>288</v>
      </c>
      <c r="K1484" s="1">
        <v>0.1</v>
      </c>
      <c r="L1484" s="1">
        <v>777.6</v>
      </c>
      <c r="M1484" s="1" t="str">
        <f t="shared" si="46"/>
        <v>Online</v>
      </c>
      <c r="N1484" s="1">
        <f t="shared" si="47"/>
        <v>16.2</v>
      </c>
    </row>
    <row r="1485" spans="1:14" x14ac:dyDescent="0.3">
      <c r="A1485" s="1" t="s">
        <v>690</v>
      </c>
      <c r="B1485" s="1" t="s">
        <v>684</v>
      </c>
      <c r="C1485" s="1" t="s">
        <v>61</v>
      </c>
      <c r="D1485" s="1" t="s">
        <v>22</v>
      </c>
      <c r="E1485" s="1" t="s">
        <v>16</v>
      </c>
      <c r="F1485" s="1" t="s">
        <v>23</v>
      </c>
      <c r="G1485" s="1" t="s">
        <v>142</v>
      </c>
      <c r="H1485" s="1" t="s">
        <v>73</v>
      </c>
      <c r="I1485" s="1">
        <v>3</v>
      </c>
      <c r="J1485" s="1">
        <v>15.39</v>
      </c>
      <c r="K1485" s="1">
        <v>0</v>
      </c>
      <c r="L1485" s="1">
        <v>46.17</v>
      </c>
      <c r="M1485" s="1" t="str">
        <f t="shared" si="46"/>
        <v>Online</v>
      </c>
      <c r="N1485" s="1">
        <f t="shared" si="47"/>
        <v>62.01</v>
      </c>
    </row>
    <row r="1486" spans="1:14" x14ac:dyDescent="0.3">
      <c r="A1486" s="1" t="s">
        <v>671</v>
      </c>
      <c r="B1486" s="1" t="s">
        <v>672</v>
      </c>
      <c r="C1486" s="1" t="s">
        <v>47</v>
      </c>
      <c r="D1486" s="1" t="s">
        <v>22</v>
      </c>
      <c r="E1486" s="1" t="s">
        <v>16</v>
      </c>
      <c r="F1486" s="1" t="s">
        <v>29</v>
      </c>
      <c r="G1486" s="1" t="s">
        <v>55</v>
      </c>
      <c r="H1486" s="1" t="s">
        <v>78</v>
      </c>
      <c r="I1486" s="1">
        <v>4</v>
      </c>
      <c r="J1486" s="1">
        <v>36.25</v>
      </c>
      <c r="K1486" s="1">
        <v>0</v>
      </c>
      <c r="L1486" s="1">
        <v>145.01</v>
      </c>
      <c r="M1486" s="1" t="str">
        <f t="shared" si="46"/>
        <v>Retail Store</v>
      </c>
      <c r="N1486" s="1">
        <f t="shared" si="47"/>
        <v>421.2</v>
      </c>
    </row>
    <row r="1487" spans="1:14" x14ac:dyDescent="0.3">
      <c r="A1487" s="1" t="s">
        <v>673</v>
      </c>
      <c r="B1487" s="1" t="s">
        <v>672</v>
      </c>
      <c r="C1487" s="1" t="s">
        <v>14</v>
      </c>
      <c r="D1487" s="1" t="s">
        <v>22</v>
      </c>
      <c r="E1487" s="1" t="s">
        <v>16</v>
      </c>
      <c r="F1487" s="1" t="s">
        <v>17</v>
      </c>
      <c r="G1487" s="1" t="s">
        <v>98</v>
      </c>
      <c r="H1487" s="1" t="s">
        <v>31</v>
      </c>
      <c r="I1487" s="1">
        <v>2</v>
      </c>
      <c r="J1487" s="1">
        <v>405</v>
      </c>
      <c r="K1487" s="1">
        <v>0.05</v>
      </c>
      <c r="L1487" s="1">
        <v>769.5</v>
      </c>
      <c r="M1487" s="1" t="str">
        <f t="shared" si="46"/>
        <v>Online</v>
      </c>
      <c r="N1487" s="1">
        <f t="shared" si="47"/>
        <v>16.2</v>
      </c>
    </row>
    <row r="1488" spans="1:14" x14ac:dyDescent="0.3">
      <c r="A1488" s="1" t="s">
        <v>674</v>
      </c>
      <c r="B1488" s="1" t="s">
        <v>672</v>
      </c>
      <c r="C1488" s="1" t="s">
        <v>54</v>
      </c>
      <c r="D1488" s="1" t="s">
        <v>22</v>
      </c>
      <c r="E1488" s="1" t="s">
        <v>16</v>
      </c>
      <c r="F1488" s="1" t="s">
        <v>29</v>
      </c>
      <c r="G1488" s="1" t="s">
        <v>33</v>
      </c>
      <c r="H1488" s="1" t="s">
        <v>80</v>
      </c>
      <c r="I1488" s="1">
        <v>4</v>
      </c>
      <c r="J1488" s="1">
        <v>13.1</v>
      </c>
      <c r="K1488" s="1">
        <v>0.1</v>
      </c>
      <c r="L1488" s="1">
        <v>47.14</v>
      </c>
      <c r="M1488" s="1" t="str">
        <f t="shared" si="46"/>
        <v>Marketplace</v>
      </c>
      <c r="N1488" s="1">
        <f t="shared" si="47"/>
        <v>267.12</v>
      </c>
    </row>
    <row r="1489" spans="1:14" x14ac:dyDescent="0.3">
      <c r="A1489" s="1" t="s">
        <v>675</v>
      </c>
      <c r="B1489" s="1" t="s">
        <v>672</v>
      </c>
      <c r="C1489" s="1" t="s">
        <v>21</v>
      </c>
      <c r="D1489" s="1" t="s">
        <v>27</v>
      </c>
      <c r="E1489" s="1" t="s">
        <v>16</v>
      </c>
      <c r="F1489" s="1" t="s">
        <v>23</v>
      </c>
      <c r="G1489" s="1" t="s">
        <v>24</v>
      </c>
      <c r="H1489" s="1" t="s">
        <v>86</v>
      </c>
      <c r="I1489" s="1">
        <v>2</v>
      </c>
      <c r="J1489" s="1">
        <v>21.83</v>
      </c>
      <c r="K1489" s="1">
        <v>0.08</v>
      </c>
      <c r="L1489" s="1">
        <v>40.159999999999997</v>
      </c>
      <c r="M1489" s="1" t="str">
        <f t="shared" si="46"/>
        <v>Online</v>
      </c>
      <c r="N1489" s="1">
        <f t="shared" si="47"/>
        <v>405</v>
      </c>
    </row>
    <row r="1490" spans="1:14" x14ac:dyDescent="0.3">
      <c r="A1490" s="1" t="s">
        <v>676</v>
      </c>
      <c r="B1490" s="1" t="s">
        <v>672</v>
      </c>
      <c r="C1490" s="1" t="s">
        <v>54</v>
      </c>
      <c r="D1490" s="1" t="s">
        <v>35</v>
      </c>
      <c r="E1490" s="1" t="s">
        <v>28</v>
      </c>
      <c r="F1490" s="1" t="s">
        <v>82</v>
      </c>
      <c r="G1490" s="1" t="s">
        <v>150</v>
      </c>
      <c r="H1490" s="1" t="s">
        <v>80</v>
      </c>
      <c r="I1490" s="1">
        <v>2</v>
      </c>
      <c r="J1490" s="1">
        <v>2880</v>
      </c>
      <c r="K1490" s="1">
        <v>0.05</v>
      </c>
      <c r="L1490" s="1">
        <v>5472</v>
      </c>
      <c r="M1490" s="1" t="str">
        <f t="shared" si="46"/>
        <v>Marketplace</v>
      </c>
      <c r="N1490" s="1">
        <f t="shared" si="47"/>
        <v>267.12</v>
      </c>
    </row>
    <row r="1491" spans="1:14" x14ac:dyDescent="0.3">
      <c r="A1491" s="1" t="s">
        <v>677</v>
      </c>
      <c r="B1491" s="1" t="s">
        <v>672</v>
      </c>
      <c r="C1491" s="1" t="s">
        <v>14</v>
      </c>
      <c r="D1491" s="1" t="s">
        <v>15</v>
      </c>
      <c r="E1491" s="1" t="s">
        <v>16</v>
      </c>
      <c r="F1491" s="1" t="s">
        <v>29</v>
      </c>
      <c r="G1491" s="1" t="s">
        <v>30</v>
      </c>
      <c r="H1491" s="1" t="s">
        <v>40</v>
      </c>
      <c r="I1491" s="1">
        <v>5</v>
      </c>
      <c r="J1491" s="1">
        <v>49.5</v>
      </c>
      <c r="K1491" s="1">
        <v>0.08</v>
      </c>
      <c r="L1491" s="1">
        <v>227.7</v>
      </c>
      <c r="M1491" s="1" t="str">
        <f t="shared" si="46"/>
        <v>Online</v>
      </c>
      <c r="N1491" s="1">
        <f t="shared" si="47"/>
        <v>16.2</v>
      </c>
    </row>
    <row r="1492" spans="1:14" x14ac:dyDescent="0.3">
      <c r="A1492" s="1" t="s">
        <v>678</v>
      </c>
      <c r="B1492" s="1" t="s">
        <v>672</v>
      </c>
      <c r="C1492" s="1" t="s">
        <v>14</v>
      </c>
      <c r="D1492" s="1" t="s">
        <v>15</v>
      </c>
      <c r="E1492" s="1" t="s">
        <v>28</v>
      </c>
      <c r="F1492" s="1" t="s">
        <v>17</v>
      </c>
      <c r="G1492" s="1" t="s">
        <v>98</v>
      </c>
      <c r="H1492" s="1" t="s">
        <v>31</v>
      </c>
      <c r="I1492" s="1">
        <v>4</v>
      </c>
      <c r="J1492" s="1">
        <v>392.85</v>
      </c>
      <c r="K1492" s="1">
        <v>0.03</v>
      </c>
      <c r="L1492" s="1">
        <v>1524.26</v>
      </c>
      <c r="M1492" s="1" t="str">
        <f t="shared" si="46"/>
        <v>Online</v>
      </c>
      <c r="N1492" s="1">
        <f t="shared" si="47"/>
        <v>16.2</v>
      </c>
    </row>
    <row r="1493" spans="1:14" x14ac:dyDescent="0.3">
      <c r="A1493" s="1" t="s">
        <v>679</v>
      </c>
      <c r="B1493" s="1" t="s">
        <v>672</v>
      </c>
      <c r="C1493" s="1" t="s">
        <v>61</v>
      </c>
      <c r="D1493" s="1" t="s">
        <v>27</v>
      </c>
      <c r="E1493" s="1" t="s">
        <v>16</v>
      </c>
      <c r="F1493" s="1" t="s">
        <v>29</v>
      </c>
      <c r="G1493" s="1" t="s">
        <v>33</v>
      </c>
      <c r="H1493" s="1" t="s">
        <v>112</v>
      </c>
      <c r="I1493" s="1">
        <v>2</v>
      </c>
      <c r="J1493" s="1">
        <v>13.5</v>
      </c>
      <c r="K1493" s="1">
        <v>0</v>
      </c>
      <c r="L1493" s="1">
        <v>27</v>
      </c>
      <c r="M1493" s="1" t="str">
        <f t="shared" si="46"/>
        <v>Online</v>
      </c>
      <c r="N1493" s="1">
        <f t="shared" si="47"/>
        <v>62.01</v>
      </c>
    </row>
    <row r="1494" spans="1:14" x14ac:dyDescent="0.3">
      <c r="A1494" s="1" t="s">
        <v>680</v>
      </c>
      <c r="B1494" s="1" t="s">
        <v>672</v>
      </c>
      <c r="C1494" s="1" t="s">
        <v>14</v>
      </c>
      <c r="D1494" s="1" t="s">
        <v>27</v>
      </c>
      <c r="E1494" s="1" t="s">
        <v>16</v>
      </c>
      <c r="F1494" s="1" t="s">
        <v>82</v>
      </c>
      <c r="G1494" s="1" t="s">
        <v>85</v>
      </c>
      <c r="H1494" s="1" t="s">
        <v>19</v>
      </c>
      <c r="I1494" s="1">
        <v>2</v>
      </c>
      <c r="J1494" s="1">
        <v>1539</v>
      </c>
      <c r="K1494" s="1">
        <v>0.08</v>
      </c>
      <c r="L1494" s="1">
        <v>2831.76</v>
      </c>
      <c r="M1494" s="1" t="str">
        <f t="shared" si="46"/>
        <v>Retail Store</v>
      </c>
      <c r="N1494" s="1">
        <f t="shared" si="47"/>
        <v>16.2</v>
      </c>
    </row>
    <row r="1495" spans="1:14" x14ac:dyDescent="0.3">
      <c r="A1495" s="1" t="s">
        <v>681</v>
      </c>
      <c r="B1495" s="1" t="s">
        <v>672</v>
      </c>
      <c r="C1495" s="1" t="s">
        <v>54</v>
      </c>
      <c r="D1495" s="1" t="s">
        <v>27</v>
      </c>
      <c r="E1495" s="1" t="s">
        <v>16</v>
      </c>
      <c r="F1495" s="1" t="s">
        <v>29</v>
      </c>
      <c r="G1495" s="1" t="s">
        <v>39</v>
      </c>
      <c r="H1495" s="1" t="s">
        <v>71</v>
      </c>
      <c r="I1495" s="1">
        <v>3</v>
      </c>
      <c r="J1495" s="1">
        <v>72</v>
      </c>
      <c r="K1495" s="1">
        <v>0.05</v>
      </c>
      <c r="L1495" s="1">
        <v>205.2</v>
      </c>
      <c r="M1495" s="1" t="str">
        <f t="shared" si="46"/>
        <v>Online</v>
      </c>
      <c r="N1495" s="1">
        <f t="shared" si="47"/>
        <v>267.12</v>
      </c>
    </row>
    <row r="1496" spans="1:14" x14ac:dyDescent="0.3">
      <c r="A1496" s="1" t="s">
        <v>682</v>
      </c>
      <c r="B1496" s="1" t="s">
        <v>672</v>
      </c>
      <c r="C1496" s="1" t="s">
        <v>47</v>
      </c>
      <c r="D1496" s="1" t="s">
        <v>27</v>
      </c>
      <c r="E1496" s="1" t="s">
        <v>28</v>
      </c>
      <c r="F1496" s="1" t="s">
        <v>42</v>
      </c>
      <c r="G1496" s="1" t="s">
        <v>43</v>
      </c>
      <c r="H1496" s="1" t="s">
        <v>78</v>
      </c>
      <c r="I1496" s="1">
        <v>6</v>
      </c>
      <c r="J1496" s="1">
        <v>157.13999999999999</v>
      </c>
      <c r="K1496" s="1">
        <v>0.05</v>
      </c>
      <c r="L1496" s="1">
        <v>895.7</v>
      </c>
      <c r="M1496" s="1" t="str">
        <f t="shared" si="46"/>
        <v>Retail Store</v>
      </c>
      <c r="N1496" s="1">
        <f t="shared" si="47"/>
        <v>421.2</v>
      </c>
    </row>
    <row r="1497" spans="1:14" x14ac:dyDescent="0.3">
      <c r="A1497" s="1" t="s">
        <v>666</v>
      </c>
      <c r="B1497" s="1" t="s">
        <v>667</v>
      </c>
      <c r="C1497" s="1" t="s">
        <v>54</v>
      </c>
      <c r="D1497" s="1" t="s">
        <v>22</v>
      </c>
      <c r="E1497" s="1" t="s">
        <v>28</v>
      </c>
      <c r="F1497" s="1" t="s">
        <v>42</v>
      </c>
      <c r="G1497" s="1" t="s">
        <v>65</v>
      </c>
      <c r="H1497" s="1" t="s">
        <v>80</v>
      </c>
      <c r="I1497" s="1">
        <v>7</v>
      </c>
      <c r="J1497" s="1">
        <v>688.5</v>
      </c>
      <c r="K1497" s="1">
        <v>0.05</v>
      </c>
      <c r="L1497" s="1">
        <v>4578.53</v>
      </c>
      <c r="M1497" s="1" t="str">
        <f t="shared" si="46"/>
        <v>Marketplace</v>
      </c>
      <c r="N1497" s="1">
        <f t="shared" si="47"/>
        <v>267.12</v>
      </c>
    </row>
    <row r="1498" spans="1:14" x14ac:dyDescent="0.3">
      <c r="A1498" s="1" t="s">
        <v>668</v>
      </c>
      <c r="B1498" s="1" t="s">
        <v>667</v>
      </c>
      <c r="C1498" s="1" t="s">
        <v>61</v>
      </c>
      <c r="D1498" s="1" t="s">
        <v>27</v>
      </c>
      <c r="E1498" s="1" t="s">
        <v>28</v>
      </c>
      <c r="F1498" s="1" t="s">
        <v>17</v>
      </c>
      <c r="G1498" s="1" t="s">
        <v>18</v>
      </c>
      <c r="H1498" s="1" t="s">
        <v>112</v>
      </c>
      <c r="I1498" s="1">
        <v>4</v>
      </c>
      <c r="J1498" s="1">
        <v>81</v>
      </c>
      <c r="K1498" s="1">
        <v>0.05</v>
      </c>
      <c r="L1498" s="1">
        <v>307.8</v>
      </c>
      <c r="M1498" s="1" t="str">
        <f t="shared" si="46"/>
        <v>Online</v>
      </c>
      <c r="N1498" s="1">
        <f t="shared" si="47"/>
        <v>62.01</v>
      </c>
    </row>
    <row r="1499" spans="1:14" x14ac:dyDescent="0.3">
      <c r="A1499" s="1" t="s">
        <v>669</v>
      </c>
      <c r="B1499" s="1" t="s">
        <v>667</v>
      </c>
      <c r="C1499" s="1" t="s">
        <v>14</v>
      </c>
      <c r="D1499" s="1" t="s">
        <v>22</v>
      </c>
      <c r="E1499" s="1" t="s">
        <v>28</v>
      </c>
      <c r="F1499" s="1" t="s">
        <v>29</v>
      </c>
      <c r="G1499" s="1" t="s">
        <v>39</v>
      </c>
      <c r="H1499" s="1" t="s">
        <v>19</v>
      </c>
      <c r="I1499" s="1">
        <v>5</v>
      </c>
      <c r="J1499" s="1">
        <v>73.44</v>
      </c>
      <c r="K1499" s="1">
        <v>0.1</v>
      </c>
      <c r="L1499" s="1">
        <v>330.48</v>
      </c>
      <c r="M1499" s="1" t="str">
        <f t="shared" si="46"/>
        <v>Retail Store</v>
      </c>
      <c r="N1499" s="1">
        <f t="shared" si="47"/>
        <v>16.2</v>
      </c>
    </row>
    <row r="1500" spans="1:14" x14ac:dyDescent="0.3">
      <c r="A1500" s="1" t="s">
        <v>670</v>
      </c>
      <c r="B1500" s="1" t="s">
        <v>667</v>
      </c>
      <c r="C1500" s="1" t="s">
        <v>54</v>
      </c>
      <c r="D1500" s="1" t="s">
        <v>27</v>
      </c>
      <c r="E1500" s="1" t="s">
        <v>28</v>
      </c>
      <c r="F1500" s="1" t="s">
        <v>29</v>
      </c>
      <c r="G1500" s="1" t="s">
        <v>51</v>
      </c>
      <c r="H1500" s="1" t="s">
        <v>56</v>
      </c>
      <c r="I1500" s="1">
        <v>4</v>
      </c>
      <c r="J1500" s="1">
        <v>38.479999999999997</v>
      </c>
      <c r="K1500" s="1">
        <v>0.08</v>
      </c>
      <c r="L1500" s="1">
        <v>141.59</v>
      </c>
      <c r="M1500" s="1" t="str">
        <f t="shared" si="46"/>
        <v>Online</v>
      </c>
      <c r="N1500" s="1">
        <f t="shared" si="47"/>
        <v>267.12</v>
      </c>
    </row>
    <row r="1501" spans="1:14" x14ac:dyDescent="0.3">
      <c r="A1501" s="1" t="s">
        <v>662</v>
      </c>
      <c r="B1501" s="1" t="s">
        <v>663</v>
      </c>
      <c r="C1501" s="1" t="s">
        <v>54</v>
      </c>
      <c r="D1501" s="1" t="s">
        <v>27</v>
      </c>
      <c r="E1501" s="1" t="s">
        <v>16</v>
      </c>
      <c r="F1501" s="1" t="s">
        <v>17</v>
      </c>
      <c r="G1501" s="1" t="s">
        <v>189</v>
      </c>
      <c r="H1501" s="1" t="s">
        <v>71</v>
      </c>
      <c r="I1501" s="1">
        <v>3</v>
      </c>
      <c r="J1501" s="1">
        <v>288</v>
      </c>
      <c r="K1501" s="1">
        <v>0.1</v>
      </c>
      <c r="L1501" s="1">
        <v>777.6</v>
      </c>
      <c r="M1501" s="1" t="str">
        <f t="shared" si="46"/>
        <v>Online</v>
      </c>
      <c r="N1501" s="1">
        <f t="shared" si="47"/>
        <v>267.12</v>
      </c>
    </row>
    <row r="1502" spans="1:14" x14ac:dyDescent="0.3">
      <c r="A1502" s="1" t="s">
        <v>664</v>
      </c>
      <c r="B1502" s="1" t="s">
        <v>663</v>
      </c>
      <c r="C1502" s="1" t="s">
        <v>47</v>
      </c>
      <c r="D1502" s="1" t="s">
        <v>35</v>
      </c>
      <c r="E1502" s="1" t="s">
        <v>28</v>
      </c>
      <c r="F1502" s="1" t="s">
        <v>36</v>
      </c>
      <c r="G1502" s="1" t="s">
        <v>70</v>
      </c>
      <c r="H1502" s="1" t="s">
        <v>58</v>
      </c>
      <c r="I1502" s="1">
        <v>2</v>
      </c>
      <c r="J1502" s="1">
        <v>532.44000000000005</v>
      </c>
      <c r="K1502" s="1">
        <v>0.08</v>
      </c>
      <c r="L1502" s="1">
        <v>979.69</v>
      </c>
      <c r="M1502" s="1" t="str">
        <f t="shared" si="46"/>
        <v>Corporate Sales</v>
      </c>
      <c r="N1502" s="1">
        <f t="shared" si="47"/>
        <v>421.2</v>
      </c>
    </row>
    <row r="1503" spans="1:14" x14ac:dyDescent="0.3">
      <c r="A1503" s="1" t="s">
        <v>665</v>
      </c>
      <c r="B1503" s="1" t="s">
        <v>663</v>
      </c>
      <c r="C1503" s="1" t="s">
        <v>54</v>
      </c>
      <c r="D1503" s="1" t="s">
        <v>22</v>
      </c>
      <c r="E1503" s="1" t="s">
        <v>28</v>
      </c>
      <c r="F1503" s="1" t="s">
        <v>17</v>
      </c>
      <c r="G1503" s="1" t="s">
        <v>189</v>
      </c>
      <c r="H1503" s="1" t="s">
        <v>80</v>
      </c>
      <c r="I1503" s="1">
        <v>7</v>
      </c>
      <c r="J1503" s="1">
        <v>273.60000000000002</v>
      </c>
      <c r="K1503" s="1">
        <v>0.03</v>
      </c>
      <c r="L1503" s="1">
        <v>1857.74</v>
      </c>
      <c r="M1503" s="1" t="str">
        <f t="shared" si="46"/>
        <v>Marketplace</v>
      </c>
      <c r="N1503" s="1">
        <f t="shared" si="47"/>
        <v>267.12</v>
      </c>
    </row>
    <row r="1504" spans="1:14" x14ac:dyDescent="0.3">
      <c r="A1504" s="1" t="s">
        <v>656</v>
      </c>
      <c r="B1504" s="1" t="s">
        <v>657</v>
      </c>
      <c r="C1504" s="1" t="s">
        <v>14</v>
      </c>
      <c r="D1504" s="1" t="s">
        <v>15</v>
      </c>
      <c r="E1504" s="1" t="s">
        <v>16</v>
      </c>
      <c r="F1504" s="1" t="s">
        <v>42</v>
      </c>
      <c r="G1504" s="1" t="s">
        <v>48</v>
      </c>
      <c r="H1504" s="1" t="s">
        <v>31</v>
      </c>
      <c r="I1504" s="1">
        <v>2</v>
      </c>
      <c r="J1504" s="1">
        <v>18</v>
      </c>
      <c r="K1504" s="1">
        <v>0</v>
      </c>
      <c r="L1504" s="1">
        <v>36</v>
      </c>
      <c r="M1504" s="1" t="str">
        <f t="shared" si="46"/>
        <v>Online</v>
      </c>
      <c r="N1504" s="1">
        <f t="shared" si="47"/>
        <v>16.2</v>
      </c>
    </row>
    <row r="1505" spans="1:14" x14ac:dyDescent="0.3">
      <c r="A1505" s="1" t="s">
        <v>658</v>
      </c>
      <c r="B1505" s="1" t="s">
        <v>657</v>
      </c>
      <c r="C1505" s="1" t="s">
        <v>14</v>
      </c>
      <c r="D1505" s="1" t="s">
        <v>22</v>
      </c>
      <c r="E1505" s="1" t="s">
        <v>28</v>
      </c>
      <c r="F1505" s="1" t="s">
        <v>17</v>
      </c>
      <c r="G1505" s="1" t="s">
        <v>18</v>
      </c>
      <c r="H1505" s="1" t="s">
        <v>40</v>
      </c>
      <c r="I1505" s="1">
        <v>6</v>
      </c>
      <c r="J1505" s="1">
        <v>81</v>
      </c>
      <c r="K1505" s="1">
        <v>0.08</v>
      </c>
      <c r="L1505" s="1">
        <v>447.12</v>
      </c>
      <c r="M1505" s="1" t="str">
        <f t="shared" si="46"/>
        <v>Online</v>
      </c>
      <c r="N1505" s="1">
        <f t="shared" si="47"/>
        <v>16.2</v>
      </c>
    </row>
    <row r="1506" spans="1:14" x14ac:dyDescent="0.3">
      <c r="A1506" s="1" t="s">
        <v>659</v>
      </c>
      <c r="B1506" s="1" t="s">
        <v>657</v>
      </c>
      <c r="C1506" s="1" t="s">
        <v>47</v>
      </c>
      <c r="D1506" s="1" t="s">
        <v>27</v>
      </c>
      <c r="E1506" s="1" t="s">
        <v>28</v>
      </c>
      <c r="F1506" s="1" t="s">
        <v>29</v>
      </c>
      <c r="G1506" s="1" t="s">
        <v>88</v>
      </c>
      <c r="H1506" s="1" t="s">
        <v>58</v>
      </c>
      <c r="I1506" s="1">
        <v>3</v>
      </c>
      <c r="J1506" s="1">
        <v>58.5</v>
      </c>
      <c r="K1506" s="1">
        <v>0.05</v>
      </c>
      <c r="L1506" s="1">
        <v>166.73</v>
      </c>
      <c r="M1506" s="1" t="str">
        <f t="shared" si="46"/>
        <v>Corporate Sales</v>
      </c>
      <c r="N1506" s="1">
        <f t="shared" si="47"/>
        <v>421.2</v>
      </c>
    </row>
    <row r="1507" spans="1:14" x14ac:dyDescent="0.3">
      <c r="A1507" s="1" t="s">
        <v>660</v>
      </c>
      <c r="B1507" s="1" t="s">
        <v>657</v>
      </c>
      <c r="C1507" s="1" t="s">
        <v>21</v>
      </c>
      <c r="D1507" s="1" t="s">
        <v>27</v>
      </c>
      <c r="E1507" s="1" t="s">
        <v>16</v>
      </c>
      <c r="F1507" s="1" t="s">
        <v>23</v>
      </c>
      <c r="G1507" s="1" t="s">
        <v>24</v>
      </c>
      <c r="H1507" s="1" t="s">
        <v>25</v>
      </c>
      <c r="I1507" s="1">
        <v>4</v>
      </c>
      <c r="J1507" s="1">
        <v>23.85</v>
      </c>
      <c r="K1507" s="1">
        <v>0.2</v>
      </c>
      <c r="L1507" s="1">
        <v>76.319999999999993</v>
      </c>
      <c r="M1507" s="1" t="str">
        <f t="shared" si="46"/>
        <v>Marketplace</v>
      </c>
      <c r="N1507" s="1">
        <f t="shared" si="47"/>
        <v>405</v>
      </c>
    </row>
    <row r="1508" spans="1:14" x14ac:dyDescent="0.3">
      <c r="A1508" s="1" t="s">
        <v>661</v>
      </c>
      <c r="B1508" s="1" t="s">
        <v>657</v>
      </c>
      <c r="C1508" s="1" t="s">
        <v>21</v>
      </c>
      <c r="D1508" s="1" t="s">
        <v>22</v>
      </c>
      <c r="E1508" s="1" t="s">
        <v>16</v>
      </c>
      <c r="F1508" s="1" t="s">
        <v>17</v>
      </c>
      <c r="G1508" s="1" t="s">
        <v>62</v>
      </c>
      <c r="H1508" s="1" t="s">
        <v>25</v>
      </c>
      <c r="I1508" s="1">
        <v>3</v>
      </c>
      <c r="J1508" s="1">
        <v>55.08</v>
      </c>
      <c r="K1508" s="1">
        <v>0.03</v>
      </c>
      <c r="L1508" s="1">
        <v>160.28</v>
      </c>
      <c r="M1508" s="1" t="str">
        <f t="shared" si="46"/>
        <v>Marketplace</v>
      </c>
      <c r="N1508" s="1">
        <f t="shared" si="47"/>
        <v>405</v>
      </c>
    </row>
    <row r="1509" spans="1:14" x14ac:dyDescent="0.3">
      <c r="A1509" s="1" t="s">
        <v>646</v>
      </c>
      <c r="B1509" s="1" t="s">
        <v>647</v>
      </c>
      <c r="C1509" s="1" t="s">
        <v>14</v>
      </c>
      <c r="D1509" s="1" t="s">
        <v>15</v>
      </c>
      <c r="E1509" s="1" t="s">
        <v>16</v>
      </c>
      <c r="F1509" s="1" t="s">
        <v>42</v>
      </c>
      <c r="G1509" s="1" t="s">
        <v>48</v>
      </c>
      <c r="H1509" s="1" t="s">
        <v>31</v>
      </c>
      <c r="I1509" s="1">
        <v>2</v>
      </c>
      <c r="J1509" s="1">
        <v>18.36</v>
      </c>
      <c r="K1509" s="1">
        <v>0.03</v>
      </c>
      <c r="L1509" s="1">
        <v>35.619999999999997</v>
      </c>
      <c r="M1509" s="1" t="str">
        <f t="shared" si="46"/>
        <v>Online</v>
      </c>
      <c r="N1509" s="1">
        <f t="shared" si="47"/>
        <v>16.2</v>
      </c>
    </row>
    <row r="1510" spans="1:14" x14ac:dyDescent="0.3">
      <c r="A1510" s="1" t="s">
        <v>648</v>
      </c>
      <c r="B1510" s="1" t="s">
        <v>647</v>
      </c>
      <c r="C1510" s="1" t="s">
        <v>21</v>
      </c>
      <c r="D1510" s="1" t="s">
        <v>35</v>
      </c>
      <c r="E1510" s="1" t="s">
        <v>16</v>
      </c>
      <c r="F1510" s="1" t="s">
        <v>82</v>
      </c>
      <c r="G1510" s="1" t="s">
        <v>96</v>
      </c>
      <c r="H1510" s="1" t="s">
        <v>44</v>
      </c>
      <c r="I1510" s="1">
        <v>3</v>
      </c>
      <c r="J1510" s="1">
        <v>2754</v>
      </c>
      <c r="K1510" s="1">
        <v>0.2</v>
      </c>
      <c r="L1510" s="1">
        <v>6609.6</v>
      </c>
      <c r="M1510" s="1" t="str">
        <f t="shared" si="46"/>
        <v>Retail Store</v>
      </c>
      <c r="N1510" s="1">
        <f t="shared" si="47"/>
        <v>405</v>
      </c>
    </row>
    <row r="1511" spans="1:14" x14ac:dyDescent="0.3">
      <c r="A1511" s="1" t="s">
        <v>649</v>
      </c>
      <c r="B1511" s="1" t="s">
        <v>647</v>
      </c>
      <c r="C1511" s="1" t="s">
        <v>47</v>
      </c>
      <c r="D1511" s="1" t="s">
        <v>27</v>
      </c>
      <c r="E1511" s="1" t="s">
        <v>28</v>
      </c>
      <c r="F1511" s="1" t="s">
        <v>23</v>
      </c>
      <c r="G1511" s="1" t="s">
        <v>116</v>
      </c>
      <c r="H1511" s="1" t="s">
        <v>49</v>
      </c>
      <c r="I1511" s="1">
        <v>4</v>
      </c>
      <c r="J1511" s="1">
        <v>7.49</v>
      </c>
      <c r="K1511" s="1">
        <v>0.05</v>
      </c>
      <c r="L1511" s="1">
        <v>28.45</v>
      </c>
      <c r="M1511" s="1" t="str">
        <f t="shared" si="46"/>
        <v>Retail Store</v>
      </c>
      <c r="N1511" s="1">
        <f t="shared" si="47"/>
        <v>421.2</v>
      </c>
    </row>
    <row r="1512" spans="1:14" x14ac:dyDescent="0.3">
      <c r="A1512" s="1" t="s">
        <v>650</v>
      </c>
      <c r="B1512" s="1" t="s">
        <v>647</v>
      </c>
      <c r="C1512" s="1" t="s">
        <v>54</v>
      </c>
      <c r="D1512" s="1" t="s">
        <v>15</v>
      </c>
      <c r="E1512" s="1" t="s">
        <v>28</v>
      </c>
      <c r="F1512" s="1" t="s">
        <v>29</v>
      </c>
      <c r="G1512" s="1" t="s">
        <v>39</v>
      </c>
      <c r="H1512" s="1" t="s">
        <v>56</v>
      </c>
      <c r="I1512" s="1">
        <v>4</v>
      </c>
      <c r="J1512" s="1">
        <v>72</v>
      </c>
      <c r="K1512" s="1">
        <v>0.03</v>
      </c>
      <c r="L1512" s="1">
        <v>279.36</v>
      </c>
      <c r="M1512" s="1" t="str">
        <f t="shared" si="46"/>
        <v>Online</v>
      </c>
      <c r="N1512" s="1">
        <f t="shared" si="47"/>
        <v>267.12</v>
      </c>
    </row>
    <row r="1513" spans="1:14" x14ac:dyDescent="0.3">
      <c r="A1513" s="1" t="s">
        <v>651</v>
      </c>
      <c r="B1513" s="1" t="s">
        <v>647</v>
      </c>
      <c r="C1513" s="1" t="s">
        <v>54</v>
      </c>
      <c r="D1513" s="1" t="s">
        <v>35</v>
      </c>
      <c r="E1513" s="1" t="s">
        <v>16</v>
      </c>
      <c r="F1513" s="1" t="s">
        <v>42</v>
      </c>
      <c r="G1513" s="1" t="s">
        <v>48</v>
      </c>
      <c r="H1513" s="1" t="s">
        <v>80</v>
      </c>
      <c r="I1513" s="1">
        <v>9</v>
      </c>
      <c r="J1513" s="1">
        <v>18.72</v>
      </c>
      <c r="K1513" s="1">
        <v>0.08</v>
      </c>
      <c r="L1513" s="1">
        <v>155</v>
      </c>
      <c r="M1513" s="1" t="str">
        <f t="shared" si="46"/>
        <v>Marketplace</v>
      </c>
      <c r="N1513" s="1">
        <f t="shared" si="47"/>
        <v>267.12</v>
      </c>
    </row>
    <row r="1514" spans="1:14" x14ac:dyDescent="0.3">
      <c r="A1514" s="1" t="s">
        <v>652</v>
      </c>
      <c r="B1514" s="1" t="s">
        <v>647</v>
      </c>
      <c r="C1514" s="1" t="s">
        <v>14</v>
      </c>
      <c r="D1514" s="1" t="s">
        <v>22</v>
      </c>
      <c r="E1514" s="1" t="s">
        <v>16</v>
      </c>
      <c r="F1514" s="1" t="s">
        <v>29</v>
      </c>
      <c r="G1514" s="1" t="s">
        <v>39</v>
      </c>
      <c r="H1514" s="1" t="s">
        <v>31</v>
      </c>
      <c r="I1514" s="1">
        <v>5</v>
      </c>
      <c r="J1514" s="1">
        <v>69.84</v>
      </c>
      <c r="K1514" s="1">
        <v>0.05</v>
      </c>
      <c r="L1514" s="1">
        <v>331.74</v>
      </c>
      <c r="M1514" s="1" t="str">
        <f t="shared" si="46"/>
        <v>Online</v>
      </c>
      <c r="N1514" s="1">
        <f t="shared" si="47"/>
        <v>16.2</v>
      </c>
    </row>
    <row r="1515" spans="1:14" x14ac:dyDescent="0.3">
      <c r="A1515" s="1" t="s">
        <v>653</v>
      </c>
      <c r="B1515" s="1" t="s">
        <v>647</v>
      </c>
      <c r="C1515" s="1" t="s">
        <v>47</v>
      </c>
      <c r="D1515" s="1" t="s">
        <v>15</v>
      </c>
      <c r="E1515" s="1" t="s">
        <v>16</v>
      </c>
      <c r="F1515" s="1" t="s">
        <v>23</v>
      </c>
      <c r="G1515" s="1" t="s">
        <v>116</v>
      </c>
      <c r="H1515" s="1" t="s">
        <v>58</v>
      </c>
      <c r="I1515" s="1">
        <v>2</v>
      </c>
      <c r="J1515" s="1">
        <v>7.63</v>
      </c>
      <c r="K1515" s="1">
        <v>0.03</v>
      </c>
      <c r="L1515" s="1">
        <v>14.81</v>
      </c>
      <c r="M1515" s="1" t="str">
        <f t="shared" si="46"/>
        <v>Corporate Sales</v>
      </c>
      <c r="N1515" s="1">
        <f t="shared" si="47"/>
        <v>421.2</v>
      </c>
    </row>
    <row r="1516" spans="1:14" x14ac:dyDescent="0.3">
      <c r="A1516" s="1" t="s">
        <v>654</v>
      </c>
      <c r="B1516" s="1" t="s">
        <v>647</v>
      </c>
      <c r="C1516" s="1" t="s">
        <v>54</v>
      </c>
      <c r="D1516" s="1" t="s">
        <v>35</v>
      </c>
      <c r="E1516" s="1" t="s">
        <v>16</v>
      </c>
      <c r="F1516" s="1" t="s">
        <v>42</v>
      </c>
      <c r="G1516" s="1" t="s">
        <v>48</v>
      </c>
      <c r="H1516" s="1" t="s">
        <v>80</v>
      </c>
      <c r="I1516" s="1">
        <v>7</v>
      </c>
      <c r="J1516" s="1">
        <v>18.72</v>
      </c>
      <c r="K1516" s="1">
        <v>0.08</v>
      </c>
      <c r="L1516" s="1">
        <v>120.56</v>
      </c>
      <c r="M1516" s="1" t="str">
        <f t="shared" si="46"/>
        <v>Marketplace</v>
      </c>
      <c r="N1516" s="1">
        <f t="shared" si="47"/>
        <v>267.12</v>
      </c>
    </row>
    <row r="1517" spans="1:14" x14ac:dyDescent="0.3">
      <c r="A1517" s="1" t="s">
        <v>655</v>
      </c>
      <c r="B1517" s="1" t="s">
        <v>647</v>
      </c>
      <c r="C1517" s="1" t="s">
        <v>61</v>
      </c>
      <c r="D1517" s="1" t="s">
        <v>27</v>
      </c>
      <c r="E1517" s="1" t="s">
        <v>28</v>
      </c>
      <c r="F1517" s="1" t="s">
        <v>29</v>
      </c>
      <c r="G1517" s="1" t="s">
        <v>33</v>
      </c>
      <c r="H1517" s="1" t="s">
        <v>63</v>
      </c>
      <c r="I1517" s="1">
        <v>3</v>
      </c>
      <c r="J1517" s="1">
        <v>14.31</v>
      </c>
      <c r="K1517" s="1">
        <v>0.03</v>
      </c>
      <c r="L1517" s="1">
        <v>41.64</v>
      </c>
      <c r="M1517" s="1" t="str">
        <f t="shared" si="46"/>
        <v>Retail Store</v>
      </c>
      <c r="N1517" s="1">
        <f t="shared" si="47"/>
        <v>62.01</v>
      </c>
    </row>
    <row r="1518" spans="1:14" x14ac:dyDescent="0.3">
      <c r="A1518" s="1" t="s">
        <v>642</v>
      </c>
      <c r="B1518" s="1" t="s">
        <v>643</v>
      </c>
      <c r="C1518" s="1" t="s">
        <v>47</v>
      </c>
      <c r="D1518" s="1" t="s">
        <v>22</v>
      </c>
      <c r="E1518" s="1" t="s">
        <v>16</v>
      </c>
      <c r="F1518" s="1" t="s">
        <v>17</v>
      </c>
      <c r="G1518" s="1" t="s">
        <v>189</v>
      </c>
      <c r="H1518" s="1" t="s">
        <v>49</v>
      </c>
      <c r="I1518" s="1">
        <v>8</v>
      </c>
      <c r="J1518" s="1">
        <v>305.27999999999997</v>
      </c>
      <c r="K1518" s="1">
        <v>0.03</v>
      </c>
      <c r="L1518" s="1">
        <v>2368.9699999999998</v>
      </c>
      <c r="M1518" s="1" t="str">
        <f t="shared" si="46"/>
        <v>Retail Store</v>
      </c>
      <c r="N1518" s="1">
        <f t="shared" si="47"/>
        <v>421.2</v>
      </c>
    </row>
    <row r="1519" spans="1:14" x14ac:dyDescent="0.3">
      <c r="A1519" s="1" t="s">
        <v>644</v>
      </c>
      <c r="B1519" s="1" t="s">
        <v>643</v>
      </c>
      <c r="C1519" s="1" t="s">
        <v>14</v>
      </c>
      <c r="D1519" s="1" t="s">
        <v>22</v>
      </c>
      <c r="E1519" s="1" t="s">
        <v>16</v>
      </c>
      <c r="F1519" s="1" t="s">
        <v>23</v>
      </c>
      <c r="G1519" s="1" t="s">
        <v>178</v>
      </c>
      <c r="H1519" s="1" t="s">
        <v>31</v>
      </c>
      <c r="I1519" s="1">
        <v>4</v>
      </c>
      <c r="J1519" s="1">
        <v>30.56</v>
      </c>
      <c r="K1519" s="1">
        <v>0.03</v>
      </c>
      <c r="L1519" s="1">
        <v>118.55</v>
      </c>
      <c r="M1519" s="1" t="str">
        <f t="shared" si="46"/>
        <v>Online</v>
      </c>
      <c r="N1519" s="1">
        <f t="shared" si="47"/>
        <v>16.2</v>
      </c>
    </row>
    <row r="1520" spans="1:14" x14ac:dyDescent="0.3">
      <c r="A1520" s="1" t="s">
        <v>645</v>
      </c>
      <c r="B1520" s="1" t="s">
        <v>643</v>
      </c>
      <c r="C1520" s="1" t="s">
        <v>61</v>
      </c>
      <c r="D1520" s="1" t="s">
        <v>22</v>
      </c>
      <c r="E1520" s="1" t="s">
        <v>28</v>
      </c>
      <c r="F1520" s="1" t="s">
        <v>29</v>
      </c>
      <c r="G1520" s="1" t="s">
        <v>88</v>
      </c>
      <c r="H1520" s="1" t="s">
        <v>63</v>
      </c>
      <c r="I1520" s="1">
        <v>3</v>
      </c>
      <c r="J1520" s="1">
        <v>58.5</v>
      </c>
      <c r="K1520" s="1">
        <v>0.15</v>
      </c>
      <c r="L1520" s="1">
        <v>149.18</v>
      </c>
      <c r="M1520" s="1" t="str">
        <f t="shared" si="46"/>
        <v>Retail Store</v>
      </c>
      <c r="N1520" s="1">
        <f t="shared" si="47"/>
        <v>62.01</v>
      </c>
    </row>
    <row r="1521" spans="1:14" x14ac:dyDescent="0.3">
      <c r="A1521" s="1" t="s">
        <v>638</v>
      </c>
      <c r="B1521" s="1" t="s">
        <v>639</v>
      </c>
      <c r="C1521" s="1" t="s">
        <v>14</v>
      </c>
      <c r="D1521" s="1" t="s">
        <v>35</v>
      </c>
      <c r="E1521" s="1" t="s">
        <v>28</v>
      </c>
      <c r="F1521" s="1" t="s">
        <v>82</v>
      </c>
      <c r="G1521" s="1" t="s">
        <v>83</v>
      </c>
      <c r="H1521" s="1" t="s">
        <v>40</v>
      </c>
      <c r="I1521" s="1">
        <v>3</v>
      </c>
      <c r="J1521" s="1">
        <v>3591</v>
      </c>
      <c r="K1521" s="1">
        <v>0.03</v>
      </c>
      <c r="L1521" s="1">
        <v>10449.81</v>
      </c>
      <c r="M1521" s="1" t="str">
        <f t="shared" si="46"/>
        <v>Online</v>
      </c>
      <c r="N1521" s="1">
        <f t="shared" si="47"/>
        <v>16.2</v>
      </c>
    </row>
    <row r="1522" spans="1:14" x14ac:dyDescent="0.3">
      <c r="A1522" s="1" t="s">
        <v>640</v>
      </c>
      <c r="B1522" s="1" t="s">
        <v>639</v>
      </c>
      <c r="C1522" s="1" t="s">
        <v>14</v>
      </c>
      <c r="D1522" s="1" t="s">
        <v>35</v>
      </c>
      <c r="E1522" s="1" t="s">
        <v>16</v>
      </c>
      <c r="F1522" s="1" t="s">
        <v>23</v>
      </c>
      <c r="G1522" s="1" t="s">
        <v>103</v>
      </c>
      <c r="H1522" s="1" t="s">
        <v>31</v>
      </c>
      <c r="I1522" s="1">
        <v>6</v>
      </c>
      <c r="J1522" s="1">
        <v>10.8</v>
      </c>
      <c r="K1522" s="1">
        <v>0.05</v>
      </c>
      <c r="L1522" s="1">
        <v>61.56</v>
      </c>
      <c r="M1522" s="1" t="str">
        <f t="shared" si="46"/>
        <v>Online</v>
      </c>
      <c r="N1522" s="1">
        <f t="shared" si="47"/>
        <v>16.2</v>
      </c>
    </row>
    <row r="1523" spans="1:14" x14ac:dyDescent="0.3">
      <c r="A1523" s="1" t="s">
        <v>641</v>
      </c>
      <c r="B1523" s="1" t="s">
        <v>639</v>
      </c>
      <c r="C1523" s="1" t="s">
        <v>61</v>
      </c>
      <c r="D1523" s="1" t="s">
        <v>35</v>
      </c>
      <c r="E1523" s="1" t="s">
        <v>16</v>
      </c>
      <c r="F1523" s="1" t="s">
        <v>23</v>
      </c>
      <c r="G1523" s="1" t="s">
        <v>178</v>
      </c>
      <c r="H1523" s="1" t="s">
        <v>73</v>
      </c>
      <c r="I1523" s="1">
        <v>14</v>
      </c>
      <c r="J1523" s="1">
        <v>31.5</v>
      </c>
      <c r="K1523" s="1">
        <v>0.08</v>
      </c>
      <c r="L1523" s="1">
        <v>405.72</v>
      </c>
      <c r="M1523" s="1" t="str">
        <f t="shared" si="46"/>
        <v>Online</v>
      </c>
      <c r="N1523" s="1">
        <f t="shared" si="47"/>
        <v>62.01</v>
      </c>
    </row>
    <row r="1524" spans="1:14" x14ac:dyDescent="0.3">
      <c r="A1524" s="1" t="s">
        <v>630</v>
      </c>
      <c r="B1524" s="1" t="s">
        <v>631</v>
      </c>
      <c r="C1524" s="1" t="s">
        <v>47</v>
      </c>
      <c r="D1524" s="1" t="s">
        <v>15</v>
      </c>
      <c r="E1524" s="1" t="s">
        <v>16</v>
      </c>
      <c r="F1524" s="1" t="s">
        <v>42</v>
      </c>
      <c r="G1524" s="1" t="s">
        <v>67</v>
      </c>
      <c r="H1524" s="1" t="s">
        <v>78</v>
      </c>
      <c r="I1524" s="1">
        <v>3</v>
      </c>
      <c r="J1524" s="1">
        <v>244.44</v>
      </c>
      <c r="K1524" s="1">
        <v>0.03</v>
      </c>
      <c r="L1524" s="1">
        <v>711.32</v>
      </c>
      <c r="M1524" s="1" t="str">
        <f t="shared" si="46"/>
        <v>Retail Store</v>
      </c>
      <c r="N1524" s="1">
        <f t="shared" si="47"/>
        <v>421.2</v>
      </c>
    </row>
    <row r="1525" spans="1:14" x14ac:dyDescent="0.3">
      <c r="A1525" s="1" t="s">
        <v>632</v>
      </c>
      <c r="B1525" s="1" t="s">
        <v>631</v>
      </c>
      <c r="C1525" s="1" t="s">
        <v>61</v>
      </c>
      <c r="D1525" s="1" t="s">
        <v>22</v>
      </c>
      <c r="E1525" s="1" t="s">
        <v>16</v>
      </c>
      <c r="F1525" s="1" t="s">
        <v>29</v>
      </c>
      <c r="G1525" s="1" t="s">
        <v>55</v>
      </c>
      <c r="H1525" s="1" t="s">
        <v>63</v>
      </c>
      <c r="I1525" s="1">
        <v>4</v>
      </c>
      <c r="J1525" s="1">
        <v>33.17</v>
      </c>
      <c r="K1525" s="1">
        <v>0.1</v>
      </c>
      <c r="L1525" s="1">
        <v>119.43</v>
      </c>
      <c r="M1525" s="1" t="str">
        <f t="shared" si="46"/>
        <v>Retail Store</v>
      </c>
      <c r="N1525" s="1">
        <f t="shared" si="47"/>
        <v>62.01</v>
      </c>
    </row>
    <row r="1526" spans="1:14" x14ac:dyDescent="0.3">
      <c r="A1526" s="1" t="s">
        <v>633</v>
      </c>
      <c r="B1526" s="1" t="s">
        <v>631</v>
      </c>
      <c r="C1526" s="1" t="s">
        <v>61</v>
      </c>
      <c r="D1526" s="1" t="s">
        <v>15</v>
      </c>
      <c r="E1526" s="1" t="s">
        <v>28</v>
      </c>
      <c r="F1526" s="1" t="s">
        <v>29</v>
      </c>
      <c r="G1526" s="1" t="s">
        <v>33</v>
      </c>
      <c r="H1526" s="1" t="s">
        <v>63</v>
      </c>
      <c r="I1526" s="1">
        <v>4</v>
      </c>
      <c r="J1526" s="1">
        <v>13.5</v>
      </c>
      <c r="K1526" s="1">
        <v>0.05</v>
      </c>
      <c r="L1526" s="1">
        <v>51.3</v>
      </c>
      <c r="M1526" s="1" t="str">
        <f t="shared" si="46"/>
        <v>Retail Store</v>
      </c>
      <c r="N1526" s="1">
        <f t="shared" si="47"/>
        <v>62.01</v>
      </c>
    </row>
    <row r="1527" spans="1:14" x14ac:dyDescent="0.3">
      <c r="A1527" s="1" t="s">
        <v>634</v>
      </c>
      <c r="B1527" s="1" t="s">
        <v>631</v>
      </c>
      <c r="C1527" s="1" t="s">
        <v>21</v>
      </c>
      <c r="D1527" s="1" t="s">
        <v>27</v>
      </c>
      <c r="E1527" s="1" t="s">
        <v>28</v>
      </c>
      <c r="F1527" s="1" t="s">
        <v>29</v>
      </c>
      <c r="G1527" s="1" t="s">
        <v>33</v>
      </c>
      <c r="H1527" s="1" t="s">
        <v>25</v>
      </c>
      <c r="I1527" s="1">
        <v>3</v>
      </c>
      <c r="J1527" s="1">
        <v>13.1</v>
      </c>
      <c r="K1527" s="1">
        <v>0.15</v>
      </c>
      <c r="L1527" s="1">
        <v>33.39</v>
      </c>
      <c r="M1527" s="1" t="str">
        <f t="shared" si="46"/>
        <v>Marketplace</v>
      </c>
      <c r="N1527" s="1">
        <f t="shared" si="47"/>
        <v>405</v>
      </c>
    </row>
    <row r="1528" spans="1:14" x14ac:dyDescent="0.3">
      <c r="A1528" s="1" t="s">
        <v>635</v>
      </c>
      <c r="B1528" s="1" t="s">
        <v>631</v>
      </c>
      <c r="C1528" s="1" t="s">
        <v>54</v>
      </c>
      <c r="D1528" s="1" t="s">
        <v>27</v>
      </c>
      <c r="E1528" s="1" t="s">
        <v>16</v>
      </c>
      <c r="F1528" s="1" t="s">
        <v>29</v>
      </c>
      <c r="G1528" s="1" t="s">
        <v>88</v>
      </c>
      <c r="H1528" s="1" t="s">
        <v>71</v>
      </c>
      <c r="I1528" s="1">
        <v>9</v>
      </c>
      <c r="J1528" s="1">
        <v>58.5</v>
      </c>
      <c r="K1528" s="1">
        <v>0.08</v>
      </c>
      <c r="L1528" s="1">
        <v>484.38</v>
      </c>
      <c r="M1528" s="1" t="str">
        <f t="shared" si="46"/>
        <v>Online</v>
      </c>
      <c r="N1528" s="1">
        <f t="shared" si="47"/>
        <v>267.12</v>
      </c>
    </row>
    <row r="1529" spans="1:14" x14ac:dyDescent="0.3">
      <c r="A1529" s="1" t="s">
        <v>636</v>
      </c>
      <c r="B1529" s="1" t="s">
        <v>631</v>
      </c>
      <c r="C1529" s="1" t="s">
        <v>47</v>
      </c>
      <c r="D1529" s="1" t="s">
        <v>15</v>
      </c>
      <c r="E1529" s="1" t="s">
        <v>16</v>
      </c>
      <c r="F1529" s="1" t="s">
        <v>23</v>
      </c>
      <c r="G1529" s="1" t="s">
        <v>103</v>
      </c>
      <c r="H1529" s="1" t="s">
        <v>58</v>
      </c>
      <c r="I1529" s="1">
        <v>2</v>
      </c>
      <c r="J1529" s="1">
        <v>11.23</v>
      </c>
      <c r="K1529" s="1">
        <v>0.1</v>
      </c>
      <c r="L1529" s="1">
        <v>20.22</v>
      </c>
      <c r="M1529" s="1" t="str">
        <f t="shared" si="46"/>
        <v>Corporate Sales</v>
      </c>
      <c r="N1529" s="1">
        <f t="shared" si="47"/>
        <v>421.2</v>
      </c>
    </row>
    <row r="1530" spans="1:14" x14ac:dyDescent="0.3">
      <c r="A1530" s="1" t="s">
        <v>637</v>
      </c>
      <c r="B1530" s="1" t="s">
        <v>631</v>
      </c>
      <c r="C1530" s="1" t="s">
        <v>21</v>
      </c>
      <c r="D1530" s="1" t="s">
        <v>35</v>
      </c>
      <c r="E1530" s="1" t="s">
        <v>16</v>
      </c>
      <c r="F1530" s="1" t="s">
        <v>23</v>
      </c>
      <c r="G1530" s="1" t="s">
        <v>116</v>
      </c>
      <c r="H1530" s="1" t="s">
        <v>25</v>
      </c>
      <c r="I1530" s="1">
        <v>9</v>
      </c>
      <c r="J1530" s="1">
        <v>6.84</v>
      </c>
      <c r="K1530" s="1">
        <v>0.1</v>
      </c>
      <c r="L1530" s="1">
        <v>55.4</v>
      </c>
      <c r="M1530" s="1" t="str">
        <f t="shared" si="46"/>
        <v>Marketplace</v>
      </c>
      <c r="N1530" s="1">
        <f t="shared" si="47"/>
        <v>405</v>
      </c>
    </row>
    <row r="1531" spans="1:14" x14ac:dyDescent="0.3">
      <c r="A1531" s="1" t="s">
        <v>624</v>
      </c>
      <c r="B1531" s="1" t="s">
        <v>625</v>
      </c>
      <c r="C1531" s="1" t="s">
        <v>47</v>
      </c>
      <c r="D1531" s="1" t="s">
        <v>22</v>
      </c>
      <c r="E1531" s="1" t="s">
        <v>16</v>
      </c>
      <c r="F1531" s="1" t="s">
        <v>42</v>
      </c>
      <c r="G1531" s="1" t="s">
        <v>65</v>
      </c>
      <c r="H1531" s="1" t="s">
        <v>78</v>
      </c>
      <c r="I1531" s="1">
        <v>2</v>
      </c>
      <c r="J1531" s="1">
        <v>675</v>
      </c>
      <c r="K1531" s="1">
        <v>0.03</v>
      </c>
      <c r="L1531" s="1">
        <v>1309.5</v>
      </c>
      <c r="M1531" s="1" t="str">
        <f t="shared" si="46"/>
        <v>Retail Store</v>
      </c>
      <c r="N1531" s="1">
        <f t="shared" si="47"/>
        <v>421.2</v>
      </c>
    </row>
    <row r="1532" spans="1:14" x14ac:dyDescent="0.3">
      <c r="A1532" s="1" t="s">
        <v>626</v>
      </c>
      <c r="B1532" s="1" t="s">
        <v>625</v>
      </c>
      <c r="C1532" s="1" t="s">
        <v>54</v>
      </c>
      <c r="D1532" s="1" t="s">
        <v>35</v>
      </c>
      <c r="E1532" s="1" t="s">
        <v>28</v>
      </c>
      <c r="F1532" s="1" t="s">
        <v>23</v>
      </c>
      <c r="G1532" s="1" t="s">
        <v>142</v>
      </c>
      <c r="H1532" s="1" t="s">
        <v>71</v>
      </c>
      <c r="I1532" s="1">
        <v>5</v>
      </c>
      <c r="J1532" s="1">
        <v>16.850000000000001</v>
      </c>
      <c r="K1532" s="1">
        <v>0.03</v>
      </c>
      <c r="L1532" s="1">
        <v>81.709999999999994</v>
      </c>
      <c r="M1532" s="1" t="str">
        <f t="shared" si="46"/>
        <v>Online</v>
      </c>
      <c r="N1532" s="1">
        <f t="shared" si="47"/>
        <v>267.12</v>
      </c>
    </row>
    <row r="1533" spans="1:14" x14ac:dyDescent="0.3">
      <c r="A1533" s="1" t="s">
        <v>627</v>
      </c>
      <c r="B1533" s="1" t="s">
        <v>625</v>
      </c>
      <c r="C1533" s="1" t="s">
        <v>54</v>
      </c>
      <c r="D1533" s="1" t="s">
        <v>27</v>
      </c>
      <c r="E1533" s="1" t="s">
        <v>28</v>
      </c>
      <c r="F1533" s="1" t="s">
        <v>17</v>
      </c>
      <c r="G1533" s="1" t="s">
        <v>189</v>
      </c>
      <c r="H1533" s="1" t="s">
        <v>80</v>
      </c>
      <c r="I1533" s="1">
        <v>6</v>
      </c>
      <c r="J1533" s="1">
        <v>288</v>
      </c>
      <c r="K1533" s="1">
        <v>0</v>
      </c>
      <c r="L1533" s="1">
        <v>1728</v>
      </c>
      <c r="M1533" s="1" t="str">
        <f t="shared" si="46"/>
        <v>Marketplace</v>
      </c>
      <c r="N1533" s="1">
        <f t="shared" si="47"/>
        <v>267.12</v>
      </c>
    </row>
    <row r="1534" spans="1:14" x14ac:dyDescent="0.3">
      <c r="A1534" s="1" t="s">
        <v>628</v>
      </c>
      <c r="B1534" s="1" t="s">
        <v>625</v>
      </c>
      <c r="C1534" s="1" t="s">
        <v>61</v>
      </c>
      <c r="D1534" s="1" t="s">
        <v>35</v>
      </c>
      <c r="E1534" s="1" t="s">
        <v>28</v>
      </c>
      <c r="F1534" s="1" t="s">
        <v>82</v>
      </c>
      <c r="G1534" s="1" t="s">
        <v>85</v>
      </c>
      <c r="H1534" s="1" t="s">
        <v>112</v>
      </c>
      <c r="I1534" s="1">
        <v>2</v>
      </c>
      <c r="J1534" s="1">
        <v>1684.8</v>
      </c>
      <c r="K1534" s="1">
        <v>0</v>
      </c>
      <c r="L1534" s="1">
        <v>3369.6</v>
      </c>
      <c r="M1534" s="1" t="str">
        <f t="shared" si="46"/>
        <v>Online</v>
      </c>
      <c r="N1534" s="1">
        <f t="shared" si="47"/>
        <v>62.01</v>
      </c>
    </row>
    <row r="1535" spans="1:14" x14ac:dyDescent="0.3">
      <c r="A1535" s="1" t="s">
        <v>629</v>
      </c>
      <c r="B1535" s="1" t="s">
        <v>625</v>
      </c>
      <c r="C1535" s="1" t="s">
        <v>14</v>
      </c>
      <c r="D1535" s="1" t="s">
        <v>27</v>
      </c>
      <c r="E1535" s="1" t="s">
        <v>16</v>
      </c>
      <c r="F1535" s="1" t="s">
        <v>42</v>
      </c>
      <c r="G1535" s="1" t="s">
        <v>48</v>
      </c>
      <c r="H1535" s="1" t="s">
        <v>31</v>
      </c>
      <c r="I1535" s="1">
        <v>2</v>
      </c>
      <c r="J1535" s="1">
        <v>19.079999999999998</v>
      </c>
      <c r="K1535" s="1">
        <v>0.08</v>
      </c>
      <c r="L1535" s="1">
        <v>35.11</v>
      </c>
      <c r="M1535" s="1" t="str">
        <f t="shared" si="46"/>
        <v>Online</v>
      </c>
      <c r="N1535" s="1">
        <f t="shared" si="47"/>
        <v>16.2</v>
      </c>
    </row>
    <row r="1536" spans="1:14" x14ac:dyDescent="0.3">
      <c r="A1536" s="1" t="s">
        <v>616</v>
      </c>
      <c r="B1536" s="1" t="s">
        <v>617</v>
      </c>
      <c r="C1536" s="1" t="s">
        <v>21</v>
      </c>
      <c r="D1536" s="1" t="s">
        <v>22</v>
      </c>
      <c r="E1536" s="1" t="s">
        <v>28</v>
      </c>
      <c r="F1536" s="1" t="s">
        <v>17</v>
      </c>
      <c r="G1536" s="1" t="s">
        <v>98</v>
      </c>
      <c r="H1536" s="1" t="s">
        <v>25</v>
      </c>
      <c r="I1536" s="1">
        <v>3</v>
      </c>
      <c r="J1536" s="1">
        <v>405</v>
      </c>
      <c r="K1536" s="1">
        <v>0</v>
      </c>
      <c r="L1536" s="1">
        <v>1215</v>
      </c>
      <c r="M1536" s="1" t="str">
        <f t="shared" si="46"/>
        <v>Marketplace</v>
      </c>
      <c r="N1536" s="1">
        <f t="shared" si="47"/>
        <v>405</v>
      </c>
    </row>
    <row r="1537" spans="1:14" x14ac:dyDescent="0.3">
      <c r="A1537" s="1" t="s">
        <v>618</v>
      </c>
      <c r="B1537" s="1" t="s">
        <v>617</v>
      </c>
      <c r="C1537" s="1" t="s">
        <v>54</v>
      </c>
      <c r="D1537" s="1" t="s">
        <v>35</v>
      </c>
      <c r="E1537" s="1" t="s">
        <v>28</v>
      </c>
      <c r="F1537" s="1" t="s">
        <v>36</v>
      </c>
      <c r="G1537" s="1" t="s">
        <v>77</v>
      </c>
      <c r="H1537" s="1" t="s">
        <v>71</v>
      </c>
      <c r="I1537" s="1">
        <v>2</v>
      </c>
      <c r="J1537" s="1">
        <v>1282.5</v>
      </c>
      <c r="K1537" s="1">
        <v>0.05</v>
      </c>
      <c r="L1537" s="1">
        <v>2436.75</v>
      </c>
      <c r="M1537" s="1" t="str">
        <f t="shared" si="46"/>
        <v>Online</v>
      </c>
      <c r="N1537" s="1">
        <f t="shared" si="47"/>
        <v>267.12</v>
      </c>
    </row>
    <row r="1538" spans="1:14" x14ac:dyDescent="0.3">
      <c r="A1538" s="1" t="s">
        <v>619</v>
      </c>
      <c r="B1538" s="1" t="s">
        <v>617</v>
      </c>
      <c r="C1538" s="1" t="s">
        <v>61</v>
      </c>
      <c r="D1538" s="1" t="s">
        <v>15</v>
      </c>
      <c r="E1538" s="1" t="s">
        <v>28</v>
      </c>
      <c r="F1538" s="1" t="s">
        <v>17</v>
      </c>
      <c r="G1538" s="1" t="s">
        <v>189</v>
      </c>
      <c r="H1538" s="1" t="s">
        <v>63</v>
      </c>
      <c r="I1538" s="1">
        <v>4</v>
      </c>
      <c r="J1538" s="1">
        <v>279.36</v>
      </c>
      <c r="K1538" s="1">
        <v>0.05</v>
      </c>
      <c r="L1538" s="1">
        <v>1061.57</v>
      </c>
      <c r="M1538" s="1" t="str">
        <f t="shared" ref="M1538:M1601" si="48">INDEX(D:D,MATCH(H1538,H:H,0))</f>
        <v>Retail Store</v>
      </c>
      <c r="N1538" s="1">
        <f t="shared" ref="N1538:N1601" si="49">VLOOKUP(C:C,C:J,8,FALSE)</f>
        <v>62.01</v>
      </c>
    </row>
    <row r="1539" spans="1:14" x14ac:dyDescent="0.3">
      <c r="A1539" s="1" t="s">
        <v>620</v>
      </c>
      <c r="B1539" s="1" t="s">
        <v>617</v>
      </c>
      <c r="C1539" s="1" t="s">
        <v>61</v>
      </c>
      <c r="D1539" s="1" t="s">
        <v>15</v>
      </c>
      <c r="E1539" s="1" t="s">
        <v>28</v>
      </c>
      <c r="F1539" s="1" t="s">
        <v>42</v>
      </c>
      <c r="G1539" s="1" t="s">
        <v>65</v>
      </c>
      <c r="H1539" s="1" t="s">
        <v>73</v>
      </c>
      <c r="I1539" s="1">
        <v>2</v>
      </c>
      <c r="J1539" s="1">
        <v>675</v>
      </c>
      <c r="K1539" s="1">
        <v>0.05</v>
      </c>
      <c r="L1539" s="1">
        <v>1282.5</v>
      </c>
      <c r="M1539" s="1" t="str">
        <f t="shared" si="48"/>
        <v>Online</v>
      </c>
      <c r="N1539" s="1">
        <f t="shared" si="49"/>
        <v>62.01</v>
      </c>
    </row>
    <row r="1540" spans="1:14" x14ac:dyDescent="0.3">
      <c r="A1540" s="1" t="s">
        <v>621</v>
      </c>
      <c r="B1540" s="1" t="s">
        <v>617</v>
      </c>
      <c r="C1540" s="1" t="s">
        <v>14</v>
      </c>
      <c r="D1540" s="1" t="s">
        <v>15</v>
      </c>
      <c r="E1540" s="1" t="s">
        <v>28</v>
      </c>
      <c r="F1540" s="1" t="s">
        <v>82</v>
      </c>
      <c r="G1540" s="1" t="s">
        <v>114</v>
      </c>
      <c r="H1540" s="1" t="s">
        <v>40</v>
      </c>
      <c r="I1540" s="1">
        <v>2</v>
      </c>
      <c r="J1540" s="1">
        <v>2340</v>
      </c>
      <c r="K1540" s="1">
        <v>0</v>
      </c>
      <c r="L1540" s="1">
        <v>4680</v>
      </c>
      <c r="M1540" s="1" t="str">
        <f t="shared" si="48"/>
        <v>Online</v>
      </c>
      <c r="N1540" s="1">
        <f t="shared" si="49"/>
        <v>16.2</v>
      </c>
    </row>
    <row r="1541" spans="1:14" x14ac:dyDescent="0.3">
      <c r="A1541" s="1" t="s">
        <v>622</v>
      </c>
      <c r="B1541" s="1" t="s">
        <v>617</v>
      </c>
      <c r="C1541" s="1" t="s">
        <v>47</v>
      </c>
      <c r="D1541" s="1" t="s">
        <v>27</v>
      </c>
      <c r="E1541" s="1" t="s">
        <v>16</v>
      </c>
      <c r="F1541" s="1" t="s">
        <v>29</v>
      </c>
      <c r="G1541" s="1" t="s">
        <v>39</v>
      </c>
      <c r="H1541" s="1" t="s">
        <v>49</v>
      </c>
      <c r="I1541" s="1">
        <v>4</v>
      </c>
      <c r="J1541" s="1">
        <v>73.44</v>
      </c>
      <c r="K1541" s="1">
        <v>0.08</v>
      </c>
      <c r="L1541" s="1">
        <v>270.26</v>
      </c>
      <c r="M1541" s="1" t="str">
        <f t="shared" si="48"/>
        <v>Retail Store</v>
      </c>
      <c r="N1541" s="1">
        <f t="shared" si="49"/>
        <v>421.2</v>
      </c>
    </row>
    <row r="1542" spans="1:14" x14ac:dyDescent="0.3">
      <c r="A1542" s="1" t="s">
        <v>623</v>
      </c>
      <c r="B1542" s="1" t="s">
        <v>617</v>
      </c>
      <c r="C1542" s="1" t="s">
        <v>61</v>
      </c>
      <c r="D1542" s="1" t="s">
        <v>35</v>
      </c>
      <c r="E1542" s="1" t="s">
        <v>16</v>
      </c>
      <c r="F1542" s="1" t="s">
        <v>17</v>
      </c>
      <c r="G1542" s="1" t="s">
        <v>18</v>
      </c>
      <c r="H1542" s="1" t="s">
        <v>112</v>
      </c>
      <c r="I1542" s="1">
        <v>3</v>
      </c>
      <c r="J1542" s="1">
        <v>81</v>
      </c>
      <c r="K1542" s="1">
        <v>0.05</v>
      </c>
      <c r="L1542" s="1">
        <v>230.85</v>
      </c>
      <c r="M1542" s="1" t="str">
        <f t="shared" si="48"/>
        <v>Online</v>
      </c>
      <c r="N1542" s="1">
        <f t="shared" si="49"/>
        <v>62.01</v>
      </c>
    </row>
    <row r="1543" spans="1:14" x14ac:dyDescent="0.3">
      <c r="A1543" s="1" t="s">
        <v>610</v>
      </c>
      <c r="B1543" s="1" t="s">
        <v>611</v>
      </c>
      <c r="C1543" s="1" t="s">
        <v>21</v>
      </c>
      <c r="D1543" s="1" t="s">
        <v>15</v>
      </c>
      <c r="E1543" s="1" t="s">
        <v>16</v>
      </c>
      <c r="F1543" s="1" t="s">
        <v>29</v>
      </c>
      <c r="G1543" s="1" t="s">
        <v>88</v>
      </c>
      <c r="H1543" s="1" t="s">
        <v>86</v>
      </c>
      <c r="I1543" s="1">
        <v>6</v>
      </c>
      <c r="J1543" s="1">
        <v>58.5</v>
      </c>
      <c r="K1543" s="1">
        <v>0.03</v>
      </c>
      <c r="L1543" s="1">
        <v>340.47</v>
      </c>
      <c r="M1543" s="1" t="str">
        <f t="shared" si="48"/>
        <v>Online</v>
      </c>
      <c r="N1543" s="1">
        <f t="shared" si="49"/>
        <v>405</v>
      </c>
    </row>
    <row r="1544" spans="1:14" x14ac:dyDescent="0.3">
      <c r="A1544" s="1" t="s">
        <v>612</v>
      </c>
      <c r="B1544" s="1" t="s">
        <v>611</v>
      </c>
      <c r="C1544" s="1" t="s">
        <v>21</v>
      </c>
      <c r="D1544" s="1" t="s">
        <v>15</v>
      </c>
      <c r="E1544" s="1" t="s">
        <v>16</v>
      </c>
      <c r="F1544" s="1" t="s">
        <v>36</v>
      </c>
      <c r="G1544" s="1" t="s">
        <v>119</v>
      </c>
      <c r="H1544" s="1" t="s">
        <v>44</v>
      </c>
      <c r="I1544" s="1">
        <v>3</v>
      </c>
      <c r="J1544" s="1">
        <v>655.20000000000005</v>
      </c>
      <c r="K1544" s="1">
        <v>0.03</v>
      </c>
      <c r="L1544" s="1">
        <v>1906.63</v>
      </c>
      <c r="M1544" s="1" t="str">
        <f t="shared" si="48"/>
        <v>Retail Store</v>
      </c>
      <c r="N1544" s="1">
        <f t="shared" si="49"/>
        <v>405</v>
      </c>
    </row>
    <row r="1545" spans="1:14" x14ac:dyDescent="0.3">
      <c r="A1545" s="1" t="s">
        <v>613</v>
      </c>
      <c r="B1545" s="1" t="s">
        <v>611</v>
      </c>
      <c r="C1545" s="1" t="s">
        <v>54</v>
      </c>
      <c r="D1545" s="1" t="s">
        <v>35</v>
      </c>
      <c r="E1545" s="1" t="s">
        <v>16</v>
      </c>
      <c r="F1545" s="1" t="s">
        <v>82</v>
      </c>
      <c r="G1545" s="1" t="s">
        <v>150</v>
      </c>
      <c r="H1545" s="1" t="s">
        <v>71</v>
      </c>
      <c r="I1545" s="1">
        <v>2</v>
      </c>
      <c r="J1545" s="1">
        <v>2880</v>
      </c>
      <c r="K1545" s="1">
        <v>0.15</v>
      </c>
      <c r="L1545" s="1">
        <v>4896</v>
      </c>
      <c r="M1545" s="1" t="str">
        <f t="shared" si="48"/>
        <v>Online</v>
      </c>
      <c r="N1545" s="1">
        <f t="shared" si="49"/>
        <v>267.12</v>
      </c>
    </row>
    <row r="1546" spans="1:14" x14ac:dyDescent="0.3">
      <c r="A1546" s="1" t="s">
        <v>614</v>
      </c>
      <c r="B1546" s="1" t="s">
        <v>611</v>
      </c>
      <c r="C1546" s="1" t="s">
        <v>47</v>
      </c>
      <c r="D1546" s="1" t="s">
        <v>27</v>
      </c>
      <c r="E1546" s="1" t="s">
        <v>16</v>
      </c>
      <c r="F1546" s="1" t="s">
        <v>82</v>
      </c>
      <c r="G1546" s="1" t="s">
        <v>85</v>
      </c>
      <c r="H1546" s="1" t="s">
        <v>49</v>
      </c>
      <c r="I1546" s="1">
        <v>2</v>
      </c>
      <c r="J1546" s="1">
        <v>1652.4</v>
      </c>
      <c r="K1546" s="1">
        <v>0.05</v>
      </c>
      <c r="L1546" s="1">
        <v>3139.56</v>
      </c>
      <c r="M1546" s="1" t="str">
        <f t="shared" si="48"/>
        <v>Retail Store</v>
      </c>
      <c r="N1546" s="1">
        <f t="shared" si="49"/>
        <v>421.2</v>
      </c>
    </row>
    <row r="1547" spans="1:14" x14ac:dyDescent="0.3">
      <c r="A1547" s="1" t="s">
        <v>615</v>
      </c>
      <c r="B1547" s="1" t="s">
        <v>611</v>
      </c>
      <c r="C1547" s="1" t="s">
        <v>21</v>
      </c>
      <c r="D1547" s="1" t="s">
        <v>27</v>
      </c>
      <c r="E1547" s="1" t="s">
        <v>28</v>
      </c>
      <c r="F1547" s="1" t="s">
        <v>42</v>
      </c>
      <c r="G1547" s="1" t="s">
        <v>67</v>
      </c>
      <c r="H1547" s="1" t="s">
        <v>86</v>
      </c>
      <c r="I1547" s="1">
        <v>2</v>
      </c>
      <c r="J1547" s="1">
        <v>239.4</v>
      </c>
      <c r="K1547" s="1">
        <v>0</v>
      </c>
      <c r="L1547" s="1">
        <v>478.8</v>
      </c>
      <c r="M1547" s="1" t="str">
        <f t="shared" si="48"/>
        <v>Online</v>
      </c>
      <c r="N1547" s="1">
        <f t="shared" si="49"/>
        <v>405</v>
      </c>
    </row>
    <row r="1548" spans="1:14" x14ac:dyDescent="0.3">
      <c r="A1548" s="1" t="s">
        <v>599</v>
      </c>
      <c r="B1548" s="1" t="s">
        <v>600</v>
      </c>
      <c r="C1548" s="1" t="s">
        <v>14</v>
      </c>
      <c r="D1548" s="1" t="s">
        <v>27</v>
      </c>
      <c r="E1548" s="1" t="s">
        <v>16</v>
      </c>
      <c r="F1548" s="1" t="s">
        <v>82</v>
      </c>
      <c r="G1548" s="1" t="s">
        <v>83</v>
      </c>
      <c r="H1548" s="1" t="s">
        <v>31</v>
      </c>
      <c r="I1548" s="1">
        <v>2</v>
      </c>
      <c r="J1548" s="1">
        <v>3666.6</v>
      </c>
      <c r="K1548" s="1">
        <v>0.05</v>
      </c>
      <c r="L1548" s="1">
        <v>6966.54</v>
      </c>
      <c r="M1548" s="1" t="str">
        <f t="shared" si="48"/>
        <v>Online</v>
      </c>
      <c r="N1548" s="1">
        <f t="shared" si="49"/>
        <v>16.2</v>
      </c>
    </row>
    <row r="1549" spans="1:14" x14ac:dyDescent="0.3">
      <c r="A1549" s="1" t="s">
        <v>601</v>
      </c>
      <c r="B1549" s="1" t="s">
        <v>600</v>
      </c>
      <c r="C1549" s="1" t="s">
        <v>21</v>
      </c>
      <c r="D1549" s="1" t="s">
        <v>15</v>
      </c>
      <c r="E1549" s="1" t="s">
        <v>28</v>
      </c>
      <c r="F1549" s="1" t="s">
        <v>29</v>
      </c>
      <c r="G1549" s="1" t="s">
        <v>33</v>
      </c>
      <c r="H1549" s="1" t="s">
        <v>44</v>
      </c>
      <c r="I1549" s="1">
        <v>6</v>
      </c>
      <c r="J1549" s="1">
        <v>13.1</v>
      </c>
      <c r="K1549" s="1">
        <v>0</v>
      </c>
      <c r="L1549" s="1">
        <v>78.569999999999993</v>
      </c>
      <c r="M1549" s="1" t="str">
        <f t="shared" si="48"/>
        <v>Retail Store</v>
      </c>
      <c r="N1549" s="1">
        <f t="shared" si="49"/>
        <v>405</v>
      </c>
    </row>
    <row r="1550" spans="1:14" x14ac:dyDescent="0.3">
      <c r="A1550" s="1" t="s">
        <v>602</v>
      </c>
      <c r="B1550" s="1" t="s">
        <v>600</v>
      </c>
      <c r="C1550" s="1" t="s">
        <v>14</v>
      </c>
      <c r="D1550" s="1" t="s">
        <v>35</v>
      </c>
      <c r="E1550" s="1" t="s">
        <v>16</v>
      </c>
      <c r="F1550" s="1" t="s">
        <v>82</v>
      </c>
      <c r="G1550" s="1" t="s">
        <v>114</v>
      </c>
      <c r="H1550" s="1" t="s">
        <v>19</v>
      </c>
      <c r="I1550" s="1">
        <v>2</v>
      </c>
      <c r="J1550" s="1">
        <v>2250</v>
      </c>
      <c r="K1550" s="1">
        <v>0</v>
      </c>
      <c r="L1550" s="1">
        <v>4500</v>
      </c>
      <c r="M1550" s="1" t="str">
        <f t="shared" si="48"/>
        <v>Retail Store</v>
      </c>
      <c r="N1550" s="1">
        <f t="shared" si="49"/>
        <v>16.2</v>
      </c>
    </row>
    <row r="1551" spans="1:14" x14ac:dyDescent="0.3">
      <c r="A1551" s="1" t="s">
        <v>603</v>
      </c>
      <c r="B1551" s="1" t="s">
        <v>600</v>
      </c>
      <c r="C1551" s="1" t="s">
        <v>21</v>
      </c>
      <c r="D1551" s="1" t="s">
        <v>27</v>
      </c>
      <c r="E1551" s="1" t="s">
        <v>16</v>
      </c>
      <c r="F1551" s="1" t="s">
        <v>29</v>
      </c>
      <c r="G1551" s="1" t="s">
        <v>55</v>
      </c>
      <c r="H1551" s="1" t="s">
        <v>25</v>
      </c>
      <c r="I1551" s="1">
        <v>3</v>
      </c>
      <c r="J1551" s="1">
        <v>36.25</v>
      </c>
      <c r="K1551" s="1">
        <v>0.03</v>
      </c>
      <c r="L1551" s="1">
        <v>105.49</v>
      </c>
      <c r="M1551" s="1" t="str">
        <f t="shared" si="48"/>
        <v>Marketplace</v>
      </c>
      <c r="N1551" s="1">
        <f t="shared" si="49"/>
        <v>405</v>
      </c>
    </row>
    <row r="1552" spans="1:14" x14ac:dyDescent="0.3">
      <c r="A1552" s="1" t="s">
        <v>604</v>
      </c>
      <c r="B1552" s="1" t="s">
        <v>600</v>
      </c>
      <c r="C1552" s="1" t="s">
        <v>61</v>
      </c>
      <c r="D1552" s="1" t="s">
        <v>22</v>
      </c>
      <c r="E1552" s="1" t="s">
        <v>16</v>
      </c>
      <c r="F1552" s="1" t="s">
        <v>42</v>
      </c>
      <c r="G1552" s="1" t="s">
        <v>43</v>
      </c>
      <c r="H1552" s="1" t="s">
        <v>73</v>
      </c>
      <c r="I1552" s="1">
        <v>4</v>
      </c>
      <c r="J1552" s="1">
        <v>168.48</v>
      </c>
      <c r="K1552" s="1">
        <v>0.2</v>
      </c>
      <c r="L1552" s="1">
        <v>539.14</v>
      </c>
      <c r="M1552" s="1" t="str">
        <f t="shared" si="48"/>
        <v>Online</v>
      </c>
      <c r="N1552" s="1">
        <f t="shared" si="49"/>
        <v>62.01</v>
      </c>
    </row>
    <row r="1553" spans="1:14" x14ac:dyDescent="0.3">
      <c r="A1553" s="1" t="s">
        <v>605</v>
      </c>
      <c r="B1553" s="1" t="s">
        <v>600</v>
      </c>
      <c r="C1553" s="1" t="s">
        <v>14</v>
      </c>
      <c r="D1553" s="1" t="s">
        <v>15</v>
      </c>
      <c r="E1553" s="1" t="s">
        <v>16</v>
      </c>
      <c r="F1553" s="1" t="s">
        <v>36</v>
      </c>
      <c r="G1553" s="1" t="s">
        <v>119</v>
      </c>
      <c r="H1553" s="1" t="s">
        <v>19</v>
      </c>
      <c r="I1553" s="1">
        <v>3</v>
      </c>
      <c r="J1553" s="1">
        <v>667.8</v>
      </c>
      <c r="K1553" s="1">
        <v>0.15</v>
      </c>
      <c r="L1553" s="1">
        <v>1702.89</v>
      </c>
      <c r="M1553" s="1" t="str">
        <f t="shared" si="48"/>
        <v>Retail Store</v>
      </c>
      <c r="N1553" s="1">
        <f t="shared" si="49"/>
        <v>16.2</v>
      </c>
    </row>
    <row r="1554" spans="1:14" x14ac:dyDescent="0.3">
      <c r="A1554" s="1" t="s">
        <v>606</v>
      </c>
      <c r="B1554" s="1" t="s">
        <v>600</v>
      </c>
      <c r="C1554" s="1" t="s">
        <v>61</v>
      </c>
      <c r="D1554" s="1" t="s">
        <v>15</v>
      </c>
      <c r="E1554" s="1" t="s">
        <v>28</v>
      </c>
      <c r="F1554" s="1" t="s">
        <v>17</v>
      </c>
      <c r="G1554" s="1" t="s">
        <v>98</v>
      </c>
      <c r="H1554" s="1" t="s">
        <v>112</v>
      </c>
      <c r="I1554" s="1">
        <v>6</v>
      </c>
      <c r="J1554" s="1">
        <v>429.3</v>
      </c>
      <c r="K1554" s="1">
        <v>0.03</v>
      </c>
      <c r="L1554" s="1">
        <v>2498.5300000000002</v>
      </c>
      <c r="M1554" s="1" t="str">
        <f t="shared" si="48"/>
        <v>Online</v>
      </c>
      <c r="N1554" s="1">
        <f t="shared" si="49"/>
        <v>62.01</v>
      </c>
    </row>
    <row r="1555" spans="1:14" x14ac:dyDescent="0.3">
      <c r="A1555" s="1" t="s">
        <v>607</v>
      </c>
      <c r="B1555" s="1" t="s">
        <v>600</v>
      </c>
      <c r="C1555" s="1" t="s">
        <v>54</v>
      </c>
      <c r="D1555" s="1" t="s">
        <v>15</v>
      </c>
      <c r="E1555" s="1" t="s">
        <v>28</v>
      </c>
      <c r="F1555" s="1" t="s">
        <v>23</v>
      </c>
      <c r="G1555" s="1" t="s">
        <v>116</v>
      </c>
      <c r="H1555" s="1" t="s">
        <v>71</v>
      </c>
      <c r="I1555" s="1">
        <v>2</v>
      </c>
      <c r="J1555" s="1">
        <v>6.84</v>
      </c>
      <c r="K1555" s="1">
        <v>0.05</v>
      </c>
      <c r="L1555" s="1">
        <v>13</v>
      </c>
      <c r="M1555" s="1" t="str">
        <f t="shared" si="48"/>
        <v>Online</v>
      </c>
      <c r="N1555" s="1">
        <f t="shared" si="49"/>
        <v>267.12</v>
      </c>
    </row>
    <row r="1556" spans="1:14" x14ac:dyDescent="0.3">
      <c r="A1556" s="1" t="s">
        <v>608</v>
      </c>
      <c r="B1556" s="1" t="s">
        <v>600</v>
      </c>
      <c r="C1556" s="1" t="s">
        <v>47</v>
      </c>
      <c r="D1556" s="1" t="s">
        <v>15</v>
      </c>
      <c r="E1556" s="1" t="s">
        <v>16</v>
      </c>
      <c r="F1556" s="1" t="s">
        <v>23</v>
      </c>
      <c r="G1556" s="1" t="s">
        <v>116</v>
      </c>
      <c r="H1556" s="1" t="s">
        <v>49</v>
      </c>
      <c r="I1556" s="1">
        <v>2</v>
      </c>
      <c r="J1556" s="1">
        <v>6.84</v>
      </c>
      <c r="K1556" s="1">
        <v>0.15</v>
      </c>
      <c r="L1556" s="1">
        <v>11.63</v>
      </c>
      <c r="M1556" s="1" t="str">
        <f t="shared" si="48"/>
        <v>Retail Store</v>
      </c>
      <c r="N1556" s="1">
        <f t="shared" si="49"/>
        <v>421.2</v>
      </c>
    </row>
    <row r="1557" spans="1:14" x14ac:dyDescent="0.3">
      <c r="A1557" s="1" t="s">
        <v>609</v>
      </c>
      <c r="B1557" s="1" t="s">
        <v>600</v>
      </c>
      <c r="C1557" s="1" t="s">
        <v>61</v>
      </c>
      <c r="D1557" s="1" t="s">
        <v>15</v>
      </c>
      <c r="E1557" s="1" t="s">
        <v>16</v>
      </c>
      <c r="F1557" s="1" t="s">
        <v>42</v>
      </c>
      <c r="G1557" s="1" t="s">
        <v>65</v>
      </c>
      <c r="H1557" s="1" t="s">
        <v>73</v>
      </c>
      <c r="I1557" s="1">
        <v>4</v>
      </c>
      <c r="J1557" s="1">
        <v>654.75</v>
      </c>
      <c r="K1557" s="1">
        <v>0.05</v>
      </c>
      <c r="L1557" s="1">
        <v>2488.0500000000002</v>
      </c>
      <c r="M1557" s="1" t="str">
        <f t="shared" si="48"/>
        <v>Online</v>
      </c>
      <c r="N1557" s="1">
        <f t="shared" si="49"/>
        <v>62.01</v>
      </c>
    </row>
    <row r="1558" spans="1:14" x14ac:dyDescent="0.3">
      <c r="A1558" s="1" t="s">
        <v>594</v>
      </c>
      <c r="B1558" s="1" t="s">
        <v>595</v>
      </c>
      <c r="C1558" s="1" t="s">
        <v>54</v>
      </c>
      <c r="D1558" s="1" t="s">
        <v>15</v>
      </c>
      <c r="E1558" s="1" t="s">
        <v>16</v>
      </c>
      <c r="F1558" s="1" t="s">
        <v>36</v>
      </c>
      <c r="G1558" s="1" t="s">
        <v>70</v>
      </c>
      <c r="H1558" s="1" t="s">
        <v>80</v>
      </c>
      <c r="I1558" s="1">
        <v>2</v>
      </c>
      <c r="J1558" s="1">
        <v>532.44000000000005</v>
      </c>
      <c r="K1558" s="1">
        <v>0.2</v>
      </c>
      <c r="L1558" s="1">
        <v>851.9</v>
      </c>
      <c r="M1558" s="1" t="str">
        <f t="shared" si="48"/>
        <v>Marketplace</v>
      </c>
      <c r="N1558" s="1">
        <f t="shared" si="49"/>
        <v>267.12</v>
      </c>
    </row>
    <row r="1559" spans="1:14" x14ac:dyDescent="0.3">
      <c r="A1559" s="1" t="s">
        <v>596</v>
      </c>
      <c r="B1559" s="1" t="s">
        <v>595</v>
      </c>
      <c r="C1559" s="1" t="s">
        <v>54</v>
      </c>
      <c r="D1559" s="1" t="s">
        <v>15</v>
      </c>
      <c r="E1559" s="1" t="s">
        <v>16</v>
      </c>
      <c r="F1559" s="1" t="s">
        <v>82</v>
      </c>
      <c r="G1559" s="1" t="s">
        <v>85</v>
      </c>
      <c r="H1559" s="1" t="s">
        <v>80</v>
      </c>
      <c r="I1559" s="1">
        <v>2</v>
      </c>
      <c r="J1559" s="1">
        <v>1620</v>
      </c>
      <c r="K1559" s="1">
        <v>0.15</v>
      </c>
      <c r="L1559" s="1">
        <v>2754</v>
      </c>
      <c r="M1559" s="1" t="str">
        <f t="shared" si="48"/>
        <v>Marketplace</v>
      </c>
      <c r="N1559" s="1">
        <f t="shared" si="49"/>
        <v>267.12</v>
      </c>
    </row>
    <row r="1560" spans="1:14" x14ac:dyDescent="0.3">
      <c r="A1560" s="1" t="s">
        <v>597</v>
      </c>
      <c r="B1560" s="1" t="s">
        <v>595</v>
      </c>
      <c r="C1560" s="1" t="s">
        <v>54</v>
      </c>
      <c r="D1560" s="1" t="s">
        <v>27</v>
      </c>
      <c r="E1560" s="1" t="s">
        <v>16</v>
      </c>
      <c r="F1560" s="1" t="s">
        <v>36</v>
      </c>
      <c r="G1560" s="1" t="s">
        <v>37</v>
      </c>
      <c r="H1560" s="1" t="s">
        <v>71</v>
      </c>
      <c r="I1560" s="1">
        <v>2</v>
      </c>
      <c r="J1560" s="1">
        <v>726.75</v>
      </c>
      <c r="K1560" s="1">
        <v>0</v>
      </c>
      <c r="L1560" s="1">
        <v>1453.5</v>
      </c>
      <c r="M1560" s="1" t="str">
        <f t="shared" si="48"/>
        <v>Online</v>
      </c>
      <c r="N1560" s="1">
        <f t="shared" si="49"/>
        <v>267.12</v>
      </c>
    </row>
    <row r="1561" spans="1:14" x14ac:dyDescent="0.3">
      <c r="A1561" s="1" t="s">
        <v>598</v>
      </c>
      <c r="B1561" s="1" t="s">
        <v>595</v>
      </c>
      <c r="C1561" s="1" t="s">
        <v>47</v>
      </c>
      <c r="D1561" s="1" t="s">
        <v>27</v>
      </c>
      <c r="E1561" s="1" t="s">
        <v>28</v>
      </c>
      <c r="F1561" s="1" t="s">
        <v>36</v>
      </c>
      <c r="G1561" s="1" t="s">
        <v>37</v>
      </c>
      <c r="H1561" s="1" t="s">
        <v>78</v>
      </c>
      <c r="I1561" s="1">
        <v>3</v>
      </c>
      <c r="J1561" s="1">
        <v>742.05</v>
      </c>
      <c r="K1561" s="1">
        <v>0.08</v>
      </c>
      <c r="L1561" s="1">
        <v>2048.06</v>
      </c>
      <c r="M1561" s="1" t="str">
        <f t="shared" si="48"/>
        <v>Retail Store</v>
      </c>
      <c r="N1561" s="1">
        <f t="shared" si="49"/>
        <v>421.2</v>
      </c>
    </row>
    <row r="1562" spans="1:14" x14ac:dyDescent="0.3">
      <c r="A1562" s="1" t="s">
        <v>586</v>
      </c>
      <c r="B1562" s="1" t="s">
        <v>587</v>
      </c>
      <c r="C1562" s="1" t="s">
        <v>61</v>
      </c>
      <c r="D1562" s="1" t="s">
        <v>35</v>
      </c>
      <c r="E1562" s="1" t="s">
        <v>16</v>
      </c>
      <c r="F1562" s="1" t="s">
        <v>36</v>
      </c>
      <c r="G1562" s="1" t="s">
        <v>37</v>
      </c>
      <c r="H1562" s="1" t="s">
        <v>112</v>
      </c>
      <c r="I1562" s="1">
        <v>2</v>
      </c>
      <c r="J1562" s="1">
        <v>765</v>
      </c>
      <c r="K1562" s="1">
        <v>0.05</v>
      </c>
      <c r="L1562" s="1">
        <v>1453.5</v>
      </c>
      <c r="M1562" s="1" t="str">
        <f t="shared" si="48"/>
        <v>Online</v>
      </c>
      <c r="N1562" s="1">
        <f t="shared" si="49"/>
        <v>62.01</v>
      </c>
    </row>
    <row r="1563" spans="1:14" x14ac:dyDescent="0.3">
      <c r="A1563" s="1" t="s">
        <v>588</v>
      </c>
      <c r="B1563" s="1" t="s">
        <v>587</v>
      </c>
      <c r="C1563" s="1" t="s">
        <v>47</v>
      </c>
      <c r="D1563" s="1" t="s">
        <v>35</v>
      </c>
      <c r="E1563" s="1" t="s">
        <v>16</v>
      </c>
      <c r="F1563" s="1" t="s">
        <v>42</v>
      </c>
      <c r="G1563" s="1" t="s">
        <v>43</v>
      </c>
      <c r="H1563" s="1" t="s">
        <v>49</v>
      </c>
      <c r="I1563" s="1">
        <v>9</v>
      </c>
      <c r="J1563" s="1">
        <v>171.72</v>
      </c>
      <c r="K1563" s="1">
        <v>0.05</v>
      </c>
      <c r="L1563" s="1">
        <v>1468.21</v>
      </c>
      <c r="M1563" s="1" t="str">
        <f t="shared" si="48"/>
        <v>Retail Store</v>
      </c>
      <c r="N1563" s="1">
        <f t="shared" si="49"/>
        <v>421.2</v>
      </c>
    </row>
    <row r="1564" spans="1:14" x14ac:dyDescent="0.3">
      <c r="A1564" s="1" t="s">
        <v>589</v>
      </c>
      <c r="B1564" s="1" t="s">
        <v>587</v>
      </c>
      <c r="C1564" s="1" t="s">
        <v>61</v>
      </c>
      <c r="D1564" s="1" t="s">
        <v>22</v>
      </c>
      <c r="E1564" s="1" t="s">
        <v>16</v>
      </c>
      <c r="F1564" s="1" t="s">
        <v>29</v>
      </c>
      <c r="G1564" s="1" t="s">
        <v>51</v>
      </c>
      <c r="H1564" s="1" t="s">
        <v>112</v>
      </c>
      <c r="I1564" s="1">
        <v>3</v>
      </c>
      <c r="J1564" s="1">
        <v>40.5</v>
      </c>
      <c r="K1564" s="1">
        <v>0</v>
      </c>
      <c r="L1564" s="1">
        <v>121.5</v>
      </c>
      <c r="M1564" s="1" t="str">
        <f t="shared" si="48"/>
        <v>Online</v>
      </c>
      <c r="N1564" s="1">
        <f t="shared" si="49"/>
        <v>62.01</v>
      </c>
    </row>
    <row r="1565" spans="1:14" x14ac:dyDescent="0.3">
      <c r="A1565" s="1" t="s">
        <v>590</v>
      </c>
      <c r="B1565" s="1" t="s">
        <v>587</v>
      </c>
      <c r="C1565" s="1" t="s">
        <v>14</v>
      </c>
      <c r="D1565" s="1" t="s">
        <v>15</v>
      </c>
      <c r="E1565" s="1" t="s">
        <v>16</v>
      </c>
      <c r="F1565" s="1" t="s">
        <v>17</v>
      </c>
      <c r="G1565" s="1" t="s">
        <v>62</v>
      </c>
      <c r="H1565" s="1" t="s">
        <v>31</v>
      </c>
      <c r="I1565" s="1">
        <v>4</v>
      </c>
      <c r="J1565" s="1">
        <v>54</v>
      </c>
      <c r="K1565" s="1">
        <v>0.1</v>
      </c>
      <c r="L1565" s="1">
        <v>194.4</v>
      </c>
      <c r="M1565" s="1" t="str">
        <f t="shared" si="48"/>
        <v>Online</v>
      </c>
      <c r="N1565" s="1">
        <f t="shared" si="49"/>
        <v>16.2</v>
      </c>
    </row>
    <row r="1566" spans="1:14" x14ac:dyDescent="0.3">
      <c r="A1566" s="1" t="s">
        <v>591</v>
      </c>
      <c r="B1566" s="1" t="s">
        <v>587</v>
      </c>
      <c r="C1566" s="1" t="s">
        <v>47</v>
      </c>
      <c r="D1566" s="1" t="s">
        <v>22</v>
      </c>
      <c r="E1566" s="1" t="s">
        <v>16</v>
      </c>
      <c r="F1566" s="1" t="s">
        <v>36</v>
      </c>
      <c r="G1566" s="1" t="s">
        <v>37</v>
      </c>
      <c r="H1566" s="1" t="s">
        <v>78</v>
      </c>
      <c r="I1566" s="1">
        <v>3</v>
      </c>
      <c r="J1566" s="1">
        <v>742.05</v>
      </c>
      <c r="K1566" s="1">
        <v>0.05</v>
      </c>
      <c r="L1566" s="1">
        <v>2114.84</v>
      </c>
      <c r="M1566" s="1" t="str">
        <f t="shared" si="48"/>
        <v>Retail Store</v>
      </c>
      <c r="N1566" s="1">
        <f t="shared" si="49"/>
        <v>421.2</v>
      </c>
    </row>
    <row r="1567" spans="1:14" x14ac:dyDescent="0.3">
      <c r="A1567" s="1" t="s">
        <v>592</v>
      </c>
      <c r="B1567" s="1" t="s">
        <v>587</v>
      </c>
      <c r="C1567" s="1" t="s">
        <v>14</v>
      </c>
      <c r="D1567" s="1" t="s">
        <v>27</v>
      </c>
      <c r="E1567" s="1" t="s">
        <v>16</v>
      </c>
      <c r="F1567" s="1" t="s">
        <v>29</v>
      </c>
      <c r="G1567" s="1" t="s">
        <v>33</v>
      </c>
      <c r="H1567" s="1" t="s">
        <v>19</v>
      </c>
      <c r="I1567" s="1">
        <v>7</v>
      </c>
      <c r="J1567" s="1">
        <v>13.5</v>
      </c>
      <c r="K1567" s="1">
        <v>0</v>
      </c>
      <c r="L1567" s="1">
        <v>94.5</v>
      </c>
      <c r="M1567" s="1" t="str">
        <f t="shared" si="48"/>
        <v>Retail Store</v>
      </c>
      <c r="N1567" s="1">
        <f t="shared" si="49"/>
        <v>16.2</v>
      </c>
    </row>
    <row r="1568" spans="1:14" x14ac:dyDescent="0.3">
      <c r="A1568" s="1" t="s">
        <v>593</v>
      </c>
      <c r="B1568" s="1" t="s">
        <v>587</v>
      </c>
      <c r="C1568" s="1" t="s">
        <v>47</v>
      </c>
      <c r="D1568" s="1" t="s">
        <v>27</v>
      </c>
      <c r="E1568" s="1" t="s">
        <v>28</v>
      </c>
      <c r="F1568" s="1" t="s">
        <v>23</v>
      </c>
      <c r="G1568" s="1" t="s">
        <v>142</v>
      </c>
      <c r="H1568" s="1" t="s">
        <v>78</v>
      </c>
      <c r="I1568" s="1">
        <v>3</v>
      </c>
      <c r="J1568" s="1">
        <v>16.2</v>
      </c>
      <c r="K1568" s="1">
        <v>0.03</v>
      </c>
      <c r="L1568" s="1">
        <v>47.14</v>
      </c>
      <c r="M1568" s="1" t="str">
        <f t="shared" si="48"/>
        <v>Retail Store</v>
      </c>
      <c r="N1568" s="1">
        <f t="shared" si="49"/>
        <v>421.2</v>
      </c>
    </row>
    <row r="1569" spans="1:14" x14ac:dyDescent="0.3">
      <c r="A1569" s="1" t="s">
        <v>579</v>
      </c>
      <c r="B1569" s="1" t="s">
        <v>580</v>
      </c>
      <c r="C1569" s="1" t="s">
        <v>54</v>
      </c>
      <c r="D1569" s="1" t="s">
        <v>15</v>
      </c>
      <c r="E1569" s="1" t="s">
        <v>16</v>
      </c>
      <c r="F1569" s="1" t="s">
        <v>82</v>
      </c>
      <c r="G1569" s="1" t="s">
        <v>150</v>
      </c>
      <c r="H1569" s="1" t="s">
        <v>56</v>
      </c>
      <c r="I1569" s="1">
        <v>2</v>
      </c>
      <c r="J1569" s="1">
        <v>2880</v>
      </c>
      <c r="K1569" s="1">
        <v>0.1</v>
      </c>
      <c r="L1569" s="1">
        <v>5184</v>
      </c>
      <c r="M1569" s="1" t="str">
        <f t="shared" si="48"/>
        <v>Online</v>
      </c>
      <c r="N1569" s="1">
        <f t="shared" si="49"/>
        <v>267.12</v>
      </c>
    </row>
    <row r="1570" spans="1:14" x14ac:dyDescent="0.3">
      <c r="A1570" s="1" t="s">
        <v>581</v>
      </c>
      <c r="B1570" s="1" t="s">
        <v>580</v>
      </c>
      <c r="C1570" s="1" t="s">
        <v>21</v>
      </c>
      <c r="D1570" s="1" t="s">
        <v>15</v>
      </c>
      <c r="E1570" s="1" t="s">
        <v>16</v>
      </c>
      <c r="F1570" s="1" t="s">
        <v>36</v>
      </c>
      <c r="G1570" s="1" t="s">
        <v>37</v>
      </c>
      <c r="H1570" s="1" t="s">
        <v>86</v>
      </c>
      <c r="I1570" s="1">
        <v>2</v>
      </c>
      <c r="J1570" s="1">
        <v>795.6</v>
      </c>
      <c r="K1570" s="1">
        <v>0.08</v>
      </c>
      <c r="L1570" s="1">
        <v>1463.9</v>
      </c>
      <c r="M1570" s="1" t="str">
        <f t="shared" si="48"/>
        <v>Online</v>
      </c>
      <c r="N1570" s="1">
        <f t="shared" si="49"/>
        <v>405</v>
      </c>
    </row>
    <row r="1571" spans="1:14" x14ac:dyDescent="0.3">
      <c r="A1571" s="1" t="s">
        <v>582</v>
      </c>
      <c r="B1571" s="1" t="s">
        <v>580</v>
      </c>
      <c r="C1571" s="1" t="s">
        <v>61</v>
      </c>
      <c r="D1571" s="1" t="s">
        <v>27</v>
      </c>
      <c r="E1571" s="1" t="s">
        <v>16</v>
      </c>
      <c r="F1571" s="1" t="s">
        <v>17</v>
      </c>
      <c r="G1571" s="1" t="s">
        <v>189</v>
      </c>
      <c r="H1571" s="1" t="s">
        <v>112</v>
      </c>
      <c r="I1571" s="1">
        <v>2</v>
      </c>
      <c r="J1571" s="1">
        <v>288</v>
      </c>
      <c r="K1571" s="1">
        <v>0</v>
      </c>
      <c r="L1571" s="1">
        <v>576</v>
      </c>
      <c r="M1571" s="1" t="str">
        <f t="shared" si="48"/>
        <v>Online</v>
      </c>
      <c r="N1571" s="1">
        <f t="shared" si="49"/>
        <v>62.01</v>
      </c>
    </row>
    <row r="1572" spans="1:14" x14ac:dyDescent="0.3">
      <c r="A1572" s="1" t="s">
        <v>583</v>
      </c>
      <c r="B1572" s="1" t="s">
        <v>580</v>
      </c>
      <c r="C1572" s="1" t="s">
        <v>21</v>
      </c>
      <c r="D1572" s="1" t="s">
        <v>22</v>
      </c>
      <c r="E1572" s="1" t="s">
        <v>16</v>
      </c>
      <c r="F1572" s="1" t="s">
        <v>17</v>
      </c>
      <c r="G1572" s="1" t="s">
        <v>18</v>
      </c>
      <c r="H1572" s="1" t="s">
        <v>44</v>
      </c>
      <c r="I1572" s="1">
        <v>4</v>
      </c>
      <c r="J1572" s="1">
        <v>85.86</v>
      </c>
      <c r="K1572" s="1">
        <v>0.2</v>
      </c>
      <c r="L1572" s="1">
        <v>274.75</v>
      </c>
      <c r="M1572" s="1" t="str">
        <f t="shared" si="48"/>
        <v>Retail Store</v>
      </c>
      <c r="N1572" s="1">
        <f t="shared" si="49"/>
        <v>405</v>
      </c>
    </row>
    <row r="1573" spans="1:14" x14ac:dyDescent="0.3">
      <c r="A1573" s="1" t="s">
        <v>584</v>
      </c>
      <c r="B1573" s="1" t="s">
        <v>580</v>
      </c>
      <c r="C1573" s="1" t="s">
        <v>21</v>
      </c>
      <c r="D1573" s="1" t="s">
        <v>15</v>
      </c>
      <c r="E1573" s="1" t="s">
        <v>16</v>
      </c>
      <c r="F1573" s="1" t="s">
        <v>17</v>
      </c>
      <c r="G1573" s="1" t="s">
        <v>189</v>
      </c>
      <c r="H1573" s="1" t="s">
        <v>44</v>
      </c>
      <c r="I1573" s="1">
        <v>4</v>
      </c>
      <c r="J1573" s="1">
        <v>305.27999999999997</v>
      </c>
      <c r="K1573" s="1">
        <v>0.03</v>
      </c>
      <c r="L1573" s="1">
        <v>1184.49</v>
      </c>
      <c r="M1573" s="1" t="str">
        <f t="shared" si="48"/>
        <v>Retail Store</v>
      </c>
      <c r="N1573" s="1">
        <f t="shared" si="49"/>
        <v>405</v>
      </c>
    </row>
    <row r="1574" spans="1:14" x14ac:dyDescent="0.3">
      <c r="A1574" s="1" t="s">
        <v>585</v>
      </c>
      <c r="B1574" s="1" t="s">
        <v>580</v>
      </c>
      <c r="C1574" s="1" t="s">
        <v>14</v>
      </c>
      <c r="D1574" s="1" t="s">
        <v>27</v>
      </c>
      <c r="E1574" s="1" t="s">
        <v>16</v>
      </c>
      <c r="F1574" s="1" t="s">
        <v>82</v>
      </c>
      <c r="G1574" s="1" t="s">
        <v>85</v>
      </c>
      <c r="H1574" s="1" t="s">
        <v>40</v>
      </c>
      <c r="I1574" s="1">
        <v>2</v>
      </c>
      <c r="J1574" s="1">
        <v>1717.2</v>
      </c>
      <c r="K1574" s="1">
        <v>0.05</v>
      </c>
      <c r="L1574" s="1">
        <v>3262.68</v>
      </c>
      <c r="M1574" s="1" t="str">
        <f t="shared" si="48"/>
        <v>Online</v>
      </c>
      <c r="N1574" s="1">
        <f t="shared" si="49"/>
        <v>16.2</v>
      </c>
    </row>
    <row r="1575" spans="1:14" x14ac:dyDescent="0.3">
      <c r="A1575" s="1" t="s">
        <v>572</v>
      </c>
      <c r="B1575" s="1" t="s">
        <v>573</v>
      </c>
      <c r="C1575" s="1" t="s">
        <v>54</v>
      </c>
      <c r="D1575" s="1" t="s">
        <v>35</v>
      </c>
      <c r="E1575" s="1" t="s">
        <v>16</v>
      </c>
      <c r="F1575" s="1" t="s">
        <v>36</v>
      </c>
      <c r="G1575" s="1" t="s">
        <v>77</v>
      </c>
      <c r="H1575" s="1" t="s">
        <v>80</v>
      </c>
      <c r="I1575" s="1">
        <v>3</v>
      </c>
      <c r="J1575" s="1">
        <v>1377</v>
      </c>
      <c r="K1575" s="1">
        <v>0.08</v>
      </c>
      <c r="L1575" s="1">
        <v>3800.52</v>
      </c>
      <c r="M1575" s="1" t="str">
        <f t="shared" si="48"/>
        <v>Marketplace</v>
      </c>
      <c r="N1575" s="1">
        <f t="shared" si="49"/>
        <v>267.12</v>
      </c>
    </row>
    <row r="1576" spans="1:14" x14ac:dyDescent="0.3">
      <c r="A1576" s="1" t="s">
        <v>574</v>
      </c>
      <c r="B1576" s="1" t="s">
        <v>573</v>
      </c>
      <c r="C1576" s="1" t="s">
        <v>21</v>
      </c>
      <c r="D1576" s="1" t="s">
        <v>22</v>
      </c>
      <c r="E1576" s="1" t="s">
        <v>28</v>
      </c>
      <c r="F1576" s="1" t="s">
        <v>17</v>
      </c>
      <c r="G1576" s="1" t="s">
        <v>98</v>
      </c>
      <c r="H1576" s="1" t="s">
        <v>44</v>
      </c>
      <c r="I1576" s="1">
        <v>2</v>
      </c>
      <c r="J1576" s="1">
        <v>405</v>
      </c>
      <c r="K1576" s="1">
        <v>0.05</v>
      </c>
      <c r="L1576" s="1">
        <v>769.5</v>
      </c>
      <c r="M1576" s="1" t="str">
        <f t="shared" si="48"/>
        <v>Retail Store</v>
      </c>
      <c r="N1576" s="1">
        <f t="shared" si="49"/>
        <v>405</v>
      </c>
    </row>
    <row r="1577" spans="1:14" x14ac:dyDescent="0.3">
      <c r="A1577" s="1" t="s">
        <v>575</v>
      </c>
      <c r="B1577" s="1" t="s">
        <v>573</v>
      </c>
      <c r="C1577" s="1" t="s">
        <v>14</v>
      </c>
      <c r="D1577" s="1" t="s">
        <v>27</v>
      </c>
      <c r="E1577" s="1" t="s">
        <v>16</v>
      </c>
      <c r="F1577" s="1" t="s">
        <v>42</v>
      </c>
      <c r="G1577" s="1" t="s">
        <v>48</v>
      </c>
      <c r="H1577" s="1" t="s">
        <v>19</v>
      </c>
      <c r="I1577" s="1">
        <v>2</v>
      </c>
      <c r="J1577" s="1">
        <v>18</v>
      </c>
      <c r="K1577" s="1">
        <v>0.03</v>
      </c>
      <c r="L1577" s="1">
        <v>34.92</v>
      </c>
      <c r="M1577" s="1" t="str">
        <f t="shared" si="48"/>
        <v>Retail Store</v>
      </c>
      <c r="N1577" s="1">
        <f t="shared" si="49"/>
        <v>16.2</v>
      </c>
    </row>
    <row r="1578" spans="1:14" x14ac:dyDescent="0.3">
      <c r="A1578" s="1" t="s">
        <v>576</v>
      </c>
      <c r="B1578" s="1" t="s">
        <v>573</v>
      </c>
      <c r="C1578" s="1" t="s">
        <v>47</v>
      </c>
      <c r="D1578" s="1" t="s">
        <v>35</v>
      </c>
      <c r="E1578" s="1" t="s">
        <v>16</v>
      </c>
      <c r="F1578" s="1" t="s">
        <v>82</v>
      </c>
      <c r="G1578" s="1" t="s">
        <v>114</v>
      </c>
      <c r="H1578" s="1" t="s">
        <v>58</v>
      </c>
      <c r="I1578" s="1">
        <v>2</v>
      </c>
      <c r="J1578" s="1">
        <v>2250</v>
      </c>
      <c r="K1578" s="1">
        <v>0.03</v>
      </c>
      <c r="L1578" s="1">
        <v>4365</v>
      </c>
      <c r="M1578" s="1" t="str">
        <f t="shared" si="48"/>
        <v>Corporate Sales</v>
      </c>
      <c r="N1578" s="1">
        <f t="shared" si="49"/>
        <v>421.2</v>
      </c>
    </row>
    <row r="1579" spans="1:14" x14ac:dyDescent="0.3">
      <c r="A1579" s="1" t="s">
        <v>577</v>
      </c>
      <c r="B1579" s="1" t="s">
        <v>573</v>
      </c>
      <c r="C1579" s="1" t="s">
        <v>61</v>
      </c>
      <c r="D1579" s="1" t="s">
        <v>15</v>
      </c>
      <c r="E1579" s="1" t="s">
        <v>28</v>
      </c>
      <c r="F1579" s="1" t="s">
        <v>82</v>
      </c>
      <c r="G1579" s="1" t="s">
        <v>96</v>
      </c>
      <c r="H1579" s="1" t="s">
        <v>112</v>
      </c>
      <c r="I1579" s="1">
        <v>2</v>
      </c>
      <c r="J1579" s="1">
        <v>2565</v>
      </c>
      <c r="K1579" s="1">
        <v>0.1</v>
      </c>
      <c r="L1579" s="1">
        <v>4617</v>
      </c>
      <c r="M1579" s="1" t="str">
        <f t="shared" si="48"/>
        <v>Online</v>
      </c>
      <c r="N1579" s="1">
        <f t="shared" si="49"/>
        <v>62.01</v>
      </c>
    </row>
    <row r="1580" spans="1:14" x14ac:dyDescent="0.3">
      <c r="A1580" s="1" t="s">
        <v>578</v>
      </c>
      <c r="B1580" s="1" t="s">
        <v>573</v>
      </c>
      <c r="C1580" s="1" t="s">
        <v>14</v>
      </c>
      <c r="D1580" s="1" t="s">
        <v>22</v>
      </c>
      <c r="E1580" s="1" t="s">
        <v>28</v>
      </c>
      <c r="F1580" s="1" t="s">
        <v>29</v>
      </c>
      <c r="G1580" s="1" t="s">
        <v>39</v>
      </c>
      <c r="H1580" s="1" t="s">
        <v>40</v>
      </c>
      <c r="I1580" s="1">
        <v>6</v>
      </c>
      <c r="J1580" s="1">
        <v>76.319999999999993</v>
      </c>
      <c r="K1580" s="1">
        <v>0.05</v>
      </c>
      <c r="L1580" s="1">
        <v>435.02</v>
      </c>
      <c r="M1580" s="1" t="str">
        <f t="shared" si="48"/>
        <v>Online</v>
      </c>
      <c r="N1580" s="1">
        <f t="shared" si="49"/>
        <v>16.2</v>
      </c>
    </row>
    <row r="1581" spans="1:14" x14ac:dyDescent="0.3">
      <c r="A1581" s="1" t="s">
        <v>565</v>
      </c>
      <c r="B1581" s="1" t="s">
        <v>566</v>
      </c>
      <c r="C1581" s="1" t="s">
        <v>54</v>
      </c>
      <c r="D1581" s="1" t="s">
        <v>27</v>
      </c>
      <c r="E1581" s="1" t="s">
        <v>16</v>
      </c>
      <c r="F1581" s="1" t="s">
        <v>36</v>
      </c>
      <c r="G1581" s="1" t="s">
        <v>119</v>
      </c>
      <c r="H1581" s="1" t="s">
        <v>56</v>
      </c>
      <c r="I1581" s="1">
        <v>2</v>
      </c>
      <c r="J1581" s="1">
        <v>667.8</v>
      </c>
      <c r="K1581" s="1">
        <v>0.2</v>
      </c>
      <c r="L1581" s="1">
        <v>1068.48</v>
      </c>
      <c r="M1581" s="1" t="str">
        <f t="shared" si="48"/>
        <v>Online</v>
      </c>
      <c r="N1581" s="1">
        <f t="shared" si="49"/>
        <v>267.12</v>
      </c>
    </row>
    <row r="1582" spans="1:14" x14ac:dyDescent="0.3">
      <c r="A1582" s="1" t="s">
        <v>567</v>
      </c>
      <c r="B1582" s="1" t="s">
        <v>566</v>
      </c>
      <c r="C1582" s="1" t="s">
        <v>47</v>
      </c>
      <c r="D1582" s="1" t="s">
        <v>27</v>
      </c>
      <c r="E1582" s="1" t="s">
        <v>16</v>
      </c>
      <c r="F1582" s="1" t="s">
        <v>42</v>
      </c>
      <c r="G1582" s="1" t="s">
        <v>43</v>
      </c>
      <c r="H1582" s="1" t="s">
        <v>49</v>
      </c>
      <c r="I1582" s="1">
        <v>4</v>
      </c>
      <c r="J1582" s="1">
        <v>165.24</v>
      </c>
      <c r="K1582" s="1">
        <v>0.05</v>
      </c>
      <c r="L1582" s="1">
        <v>627.91</v>
      </c>
      <c r="M1582" s="1" t="str">
        <f t="shared" si="48"/>
        <v>Retail Store</v>
      </c>
      <c r="N1582" s="1">
        <f t="shared" si="49"/>
        <v>421.2</v>
      </c>
    </row>
    <row r="1583" spans="1:14" x14ac:dyDescent="0.3">
      <c r="A1583" s="1" t="s">
        <v>568</v>
      </c>
      <c r="B1583" s="1" t="s">
        <v>566</v>
      </c>
      <c r="C1583" s="1" t="s">
        <v>54</v>
      </c>
      <c r="D1583" s="1" t="s">
        <v>15</v>
      </c>
      <c r="E1583" s="1" t="s">
        <v>16</v>
      </c>
      <c r="F1583" s="1" t="s">
        <v>42</v>
      </c>
      <c r="G1583" s="1" t="s">
        <v>65</v>
      </c>
      <c r="H1583" s="1" t="s">
        <v>80</v>
      </c>
      <c r="I1583" s="1">
        <v>6</v>
      </c>
      <c r="J1583" s="1">
        <v>675</v>
      </c>
      <c r="K1583" s="1">
        <v>0.2</v>
      </c>
      <c r="L1583" s="1">
        <v>3240</v>
      </c>
      <c r="M1583" s="1" t="str">
        <f t="shared" si="48"/>
        <v>Marketplace</v>
      </c>
      <c r="N1583" s="1">
        <f t="shared" si="49"/>
        <v>267.12</v>
      </c>
    </row>
    <row r="1584" spans="1:14" x14ac:dyDescent="0.3">
      <c r="A1584" s="1" t="s">
        <v>569</v>
      </c>
      <c r="B1584" s="1" t="s">
        <v>566</v>
      </c>
      <c r="C1584" s="1" t="s">
        <v>61</v>
      </c>
      <c r="D1584" s="1" t="s">
        <v>22</v>
      </c>
      <c r="E1584" s="1" t="s">
        <v>16</v>
      </c>
      <c r="F1584" s="1" t="s">
        <v>36</v>
      </c>
      <c r="G1584" s="1" t="s">
        <v>77</v>
      </c>
      <c r="H1584" s="1" t="s">
        <v>63</v>
      </c>
      <c r="I1584" s="1">
        <v>3</v>
      </c>
      <c r="J1584" s="1">
        <v>1350</v>
      </c>
      <c r="K1584" s="1">
        <v>0.15</v>
      </c>
      <c r="L1584" s="1">
        <v>3442.5</v>
      </c>
      <c r="M1584" s="1" t="str">
        <f t="shared" si="48"/>
        <v>Retail Store</v>
      </c>
      <c r="N1584" s="1">
        <f t="shared" si="49"/>
        <v>62.01</v>
      </c>
    </row>
    <row r="1585" spans="1:14" x14ac:dyDescent="0.3">
      <c r="A1585" s="1" t="s">
        <v>570</v>
      </c>
      <c r="B1585" s="1" t="s">
        <v>566</v>
      </c>
      <c r="C1585" s="1" t="s">
        <v>61</v>
      </c>
      <c r="D1585" s="1" t="s">
        <v>15</v>
      </c>
      <c r="E1585" s="1" t="s">
        <v>28</v>
      </c>
      <c r="F1585" s="1" t="s">
        <v>36</v>
      </c>
      <c r="G1585" s="1" t="s">
        <v>119</v>
      </c>
      <c r="H1585" s="1" t="s">
        <v>73</v>
      </c>
      <c r="I1585" s="1">
        <v>2</v>
      </c>
      <c r="J1585" s="1">
        <v>611.1</v>
      </c>
      <c r="K1585" s="1">
        <v>0.1</v>
      </c>
      <c r="L1585" s="1">
        <v>1099.98</v>
      </c>
      <c r="M1585" s="1" t="str">
        <f t="shared" si="48"/>
        <v>Online</v>
      </c>
      <c r="N1585" s="1">
        <f t="shared" si="49"/>
        <v>62.01</v>
      </c>
    </row>
    <row r="1586" spans="1:14" x14ac:dyDescent="0.3">
      <c r="A1586" s="1" t="s">
        <v>571</v>
      </c>
      <c r="B1586" s="1" t="s">
        <v>566</v>
      </c>
      <c r="C1586" s="1" t="s">
        <v>47</v>
      </c>
      <c r="D1586" s="1" t="s">
        <v>15</v>
      </c>
      <c r="E1586" s="1" t="s">
        <v>16</v>
      </c>
      <c r="F1586" s="1" t="s">
        <v>23</v>
      </c>
      <c r="G1586" s="1" t="s">
        <v>103</v>
      </c>
      <c r="H1586" s="1" t="s">
        <v>49</v>
      </c>
      <c r="I1586" s="1">
        <v>2</v>
      </c>
      <c r="J1586" s="1">
        <v>11.23</v>
      </c>
      <c r="K1586" s="1">
        <v>0.15</v>
      </c>
      <c r="L1586" s="1">
        <v>19.09</v>
      </c>
      <c r="M1586" s="1" t="str">
        <f t="shared" si="48"/>
        <v>Retail Store</v>
      </c>
      <c r="N1586" s="1">
        <f t="shared" si="49"/>
        <v>421.2</v>
      </c>
    </row>
    <row r="1587" spans="1:14" x14ac:dyDescent="0.3">
      <c r="A1587" s="1" t="s">
        <v>557</v>
      </c>
      <c r="B1587" s="1" t="s">
        <v>558</v>
      </c>
      <c r="C1587" s="1" t="s">
        <v>47</v>
      </c>
      <c r="D1587" s="1" t="s">
        <v>15</v>
      </c>
      <c r="E1587" s="1" t="s">
        <v>28</v>
      </c>
      <c r="F1587" s="1" t="s">
        <v>29</v>
      </c>
      <c r="G1587" s="1" t="s">
        <v>30</v>
      </c>
      <c r="H1587" s="1" t="s">
        <v>58</v>
      </c>
      <c r="I1587" s="1">
        <v>7</v>
      </c>
      <c r="J1587" s="1">
        <v>50.49</v>
      </c>
      <c r="K1587" s="1">
        <v>0</v>
      </c>
      <c r="L1587" s="1">
        <v>353.43</v>
      </c>
      <c r="M1587" s="1" t="str">
        <f t="shared" si="48"/>
        <v>Corporate Sales</v>
      </c>
      <c r="N1587" s="1">
        <f t="shared" si="49"/>
        <v>421.2</v>
      </c>
    </row>
    <row r="1588" spans="1:14" x14ac:dyDescent="0.3">
      <c r="A1588" s="1" t="s">
        <v>559</v>
      </c>
      <c r="B1588" s="1" t="s">
        <v>558</v>
      </c>
      <c r="C1588" s="1" t="s">
        <v>61</v>
      </c>
      <c r="D1588" s="1" t="s">
        <v>15</v>
      </c>
      <c r="E1588" s="1" t="s">
        <v>28</v>
      </c>
      <c r="F1588" s="1" t="s">
        <v>29</v>
      </c>
      <c r="G1588" s="1" t="s">
        <v>39</v>
      </c>
      <c r="H1588" s="1" t="s">
        <v>73</v>
      </c>
      <c r="I1588" s="1">
        <v>3</v>
      </c>
      <c r="J1588" s="1">
        <v>73.44</v>
      </c>
      <c r="K1588" s="1">
        <v>0.08</v>
      </c>
      <c r="L1588" s="1">
        <v>202.69</v>
      </c>
      <c r="M1588" s="1" t="str">
        <f t="shared" si="48"/>
        <v>Online</v>
      </c>
      <c r="N1588" s="1">
        <f t="shared" si="49"/>
        <v>62.01</v>
      </c>
    </row>
    <row r="1589" spans="1:14" x14ac:dyDescent="0.3">
      <c r="A1589" s="1" t="s">
        <v>560</v>
      </c>
      <c r="B1589" s="1" t="s">
        <v>558</v>
      </c>
      <c r="C1589" s="1" t="s">
        <v>47</v>
      </c>
      <c r="D1589" s="1" t="s">
        <v>15</v>
      </c>
      <c r="E1589" s="1" t="s">
        <v>28</v>
      </c>
      <c r="F1589" s="1" t="s">
        <v>42</v>
      </c>
      <c r="G1589" s="1" t="s">
        <v>43</v>
      </c>
      <c r="H1589" s="1" t="s">
        <v>49</v>
      </c>
      <c r="I1589" s="1">
        <v>4</v>
      </c>
      <c r="J1589" s="1">
        <v>168.48</v>
      </c>
      <c r="K1589" s="1">
        <v>0.08</v>
      </c>
      <c r="L1589" s="1">
        <v>620.01</v>
      </c>
      <c r="M1589" s="1" t="str">
        <f t="shared" si="48"/>
        <v>Retail Store</v>
      </c>
      <c r="N1589" s="1">
        <f t="shared" si="49"/>
        <v>421.2</v>
      </c>
    </row>
    <row r="1590" spans="1:14" x14ac:dyDescent="0.3">
      <c r="A1590" s="1" t="s">
        <v>561</v>
      </c>
      <c r="B1590" s="1" t="s">
        <v>558</v>
      </c>
      <c r="C1590" s="1" t="s">
        <v>21</v>
      </c>
      <c r="D1590" s="1" t="s">
        <v>35</v>
      </c>
      <c r="E1590" s="1" t="s">
        <v>28</v>
      </c>
      <c r="F1590" s="1" t="s">
        <v>42</v>
      </c>
      <c r="G1590" s="1" t="s">
        <v>43</v>
      </c>
      <c r="H1590" s="1" t="s">
        <v>44</v>
      </c>
      <c r="I1590" s="1">
        <v>11</v>
      </c>
      <c r="J1590" s="1">
        <v>162</v>
      </c>
      <c r="K1590" s="1">
        <v>0.2</v>
      </c>
      <c r="L1590" s="1">
        <v>1425.6</v>
      </c>
      <c r="M1590" s="1" t="str">
        <f t="shared" si="48"/>
        <v>Retail Store</v>
      </c>
      <c r="N1590" s="1">
        <f t="shared" si="49"/>
        <v>405</v>
      </c>
    </row>
    <row r="1591" spans="1:14" x14ac:dyDescent="0.3">
      <c r="A1591" s="1" t="s">
        <v>562</v>
      </c>
      <c r="B1591" s="1" t="s">
        <v>558</v>
      </c>
      <c r="C1591" s="1" t="s">
        <v>61</v>
      </c>
      <c r="D1591" s="1" t="s">
        <v>15</v>
      </c>
      <c r="E1591" s="1" t="s">
        <v>28</v>
      </c>
      <c r="F1591" s="1" t="s">
        <v>29</v>
      </c>
      <c r="G1591" s="1" t="s">
        <v>55</v>
      </c>
      <c r="H1591" s="1" t="s">
        <v>73</v>
      </c>
      <c r="I1591" s="1">
        <v>2</v>
      </c>
      <c r="J1591" s="1">
        <v>32.49</v>
      </c>
      <c r="K1591" s="1">
        <v>0</v>
      </c>
      <c r="L1591" s="1">
        <v>64.98</v>
      </c>
      <c r="M1591" s="1" t="str">
        <f t="shared" si="48"/>
        <v>Online</v>
      </c>
      <c r="N1591" s="1">
        <f t="shared" si="49"/>
        <v>62.01</v>
      </c>
    </row>
    <row r="1592" spans="1:14" x14ac:dyDescent="0.3">
      <c r="A1592" s="1" t="s">
        <v>563</v>
      </c>
      <c r="B1592" s="1" t="s">
        <v>558</v>
      </c>
      <c r="C1592" s="1" t="s">
        <v>21</v>
      </c>
      <c r="D1592" s="1" t="s">
        <v>22</v>
      </c>
      <c r="E1592" s="1" t="s">
        <v>16</v>
      </c>
      <c r="F1592" s="1" t="s">
        <v>17</v>
      </c>
      <c r="G1592" s="1" t="s">
        <v>98</v>
      </c>
      <c r="H1592" s="1" t="s">
        <v>25</v>
      </c>
      <c r="I1592" s="1">
        <v>7</v>
      </c>
      <c r="J1592" s="1">
        <v>405</v>
      </c>
      <c r="K1592" s="1">
        <v>0.08</v>
      </c>
      <c r="L1592" s="1">
        <v>2608.1999999999998</v>
      </c>
      <c r="M1592" s="1" t="str">
        <f t="shared" si="48"/>
        <v>Marketplace</v>
      </c>
      <c r="N1592" s="1">
        <f t="shared" si="49"/>
        <v>405</v>
      </c>
    </row>
    <row r="1593" spans="1:14" x14ac:dyDescent="0.3">
      <c r="A1593" s="1" t="s">
        <v>564</v>
      </c>
      <c r="B1593" s="1" t="s">
        <v>558</v>
      </c>
      <c r="C1593" s="1" t="s">
        <v>14</v>
      </c>
      <c r="D1593" s="1" t="s">
        <v>22</v>
      </c>
      <c r="E1593" s="1" t="s">
        <v>16</v>
      </c>
      <c r="F1593" s="1" t="s">
        <v>36</v>
      </c>
      <c r="G1593" s="1" t="s">
        <v>119</v>
      </c>
      <c r="H1593" s="1" t="s">
        <v>19</v>
      </c>
      <c r="I1593" s="1">
        <v>2</v>
      </c>
      <c r="J1593" s="1">
        <v>598.5</v>
      </c>
      <c r="K1593" s="1">
        <v>0.15</v>
      </c>
      <c r="L1593" s="1">
        <v>1017.45</v>
      </c>
      <c r="M1593" s="1" t="str">
        <f t="shared" si="48"/>
        <v>Retail Store</v>
      </c>
      <c r="N1593" s="1">
        <f t="shared" si="49"/>
        <v>16.2</v>
      </c>
    </row>
    <row r="1594" spans="1:14" x14ac:dyDescent="0.3">
      <c r="A1594" s="1" t="s">
        <v>545</v>
      </c>
      <c r="B1594" s="1" t="s">
        <v>546</v>
      </c>
      <c r="C1594" s="1" t="s">
        <v>14</v>
      </c>
      <c r="D1594" s="1" t="s">
        <v>35</v>
      </c>
      <c r="E1594" s="1" t="s">
        <v>28</v>
      </c>
      <c r="F1594" s="1" t="s">
        <v>29</v>
      </c>
      <c r="G1594" s="1" t="s">
        <v>51</v>
      </c>
      <c r="H1594" s="1" t="s">
        <v>31</v>
      </c>
      <c r="I1594" s="1">
        <v>14</v>
      </c>
      <c r="J1594" s="1">
        <v>39.29</v>
      </c>
      <c r="K1594" s="1">
        <v>0.08</v>
      </c>
      <c r="L1594" s="1">
        <v>505.99</v>
      </c>
      <c r="M1594" s="1" t="str">
        <f t="shared" si="48"/>
        <v>Online</v>
      </c>
      <c r="N1594" s="1">
        <f t="shared" si="49"/>
        <v>16.2</v>
      </c>
    </row>
    <row r="1595" spans="1:14" x14ac:dyDescent="0.3">
      <c r="A1595" s="1" t="s">
        <v>547</v>
      </c>
      <c r="B1595" s="1" t="s">
        <v>546</v>
      </c>
      <c r="C1595" s="1" t="s">
        <v>14</v>
      </c>
      <c r="D1595" s="1" t="s">
        <v>27</v>
      </c>
      <c r="E1595" s="1" t="s">
        <v>16</v>
      </c>
      <c r="F1595" s="1" t="s">
        <v>29</v>
      </c>
      <c r="G1595" s="1" t="s">
        <v>55</v>
      </c>
      <c r="H1595" s="1" t="s">
        <v>40</v>
      </c>
      <c r="I1595" s="1">
        <v>2</v>
      </c>
      <c r="J1595" s="1">
        <v>34.200000000000003</v>
      </c>
      <c r="K1595" s="1">
        <v>0.05</v>
      </c>
      <c r="L1595" s="1">
        <v>64.98</v>
      </c>
      <c r="M1595" s="1" t="str">
        <f t="shared" si="48"/>
        <v>Online</v>
      </c>
      <c r="N1595" s="1">
        <f t="shared" si="49"/>
        <v>16.2</v>
      </c>
    </row>
    <row r="1596" spans="1:14" x14ac:dyDescent="0.3">
      <c r="A1596" s="1" t="s">
        <v>548</v>
      </c>
      <c r="B1596" s="1" t="s">
        <v>546</v>
      </c>
      <c r="C1596" s="1" t="s">
        <v>21</v>
      </c>
      <c r="D1596" s="1" t="s">
        <v>15</v>
      </c>
      <c r="E1596" s="1" t="s">
        <v>28</v>
      </c>
      <c r="F1596" s="1" t="s">
        <v>36</v>
      </c>
      <c r="G1596" s="1" t="s">
        <v>37</v>
      </c>
      <c r="H1596" s="1" t="s">
        <v>25</v>
      </c>
      <c r="I1596" s="1">
        <v>2</v>
      </c>
      <c r="J1596" s="1">
        <v>810.9</v>
      </c>
      <c r="K1596" s="1">
        <v>0</v>
      </c>
      <c r="L1596" s="1">
        <v>1621.8</v>
      </c>
      <c r="M1596" s="1" t="str">
        <f t="shared" si="48"/>
        <v>Marketplace</v>
      </c>
      <c r="N1596" s="1">
        <f t="shared" si="49"/>
        <v>405</v>
      </c>
    </row>
    <row r="1597" spans="1:14" x14ac:dyDescent="0.3">
      <c r="A1597" s="1" t="s">
        <v>549</v>
      </c>
      <c r="B1597" s="1" t="s">
        <v>546</v>
      </c>
      <c r="C1597" s="1" t="s">
        <v>61</v>
      </c>
      <c r="D1597" s="1" t="s">
        <v>15</v>
      </c>
      <c r="E1597" s="1" t="s">
        <v>16</v>
      </c>
      <c r="F1597" s="1" t="s">
        <v>42</v>
      </c>
      <c r="G1597" s="1" t="s">
        <v>67</v>
      </c>
      <c r="H1597" s="1" t="s">
        <v>63</v>
      </c>
      <c r="I1597" s="1">
        <v>2</v>
      </c>
      <c r="J1597" s="1">
        <v>244.44</v>
      </c>
      <c r="K1597" s="1">
        <v>0</v>
      </c>
      <c r="L1597" s="1">
        <v>488.88</v>
      </c>
      <c r="M1597" s="1" t="str">
        <f t="shared" si="48"/>
        <v>Retail Store</v>
      </c>
      <c r="N1597" s="1">
        <f t="shared" si="49"/>
        <v>62.01</v>
      </c>
    </row>
    <row r="1598" spans="1:14" x14ac:dyDescent="0.3">
      <c r="A1598" s="1" t="s">
        <v>550</v>
      </c>
      <c r="B1598" s="1" t="s">
        <v>546</v>
      </c>
      <c r="C1598" s="1" t="s">
        <v>54</v>
      </c>
      <c r="D1598" s="1" t="s">
        <v>22</v>
      </c>
      <c r="E1598" s="1" t="s">
        <v>28</v>
      </c>
      <c r="F1598" s="1" t="s">
        <v>82</v>
      </c>
      <c r="G1598" s="1" t="s">
        <v>114</v>
      </c>
      <c r="H1598" s="1" t="s">
        <v>80</v>
      </c>
      <c r="I1598" s="1">
        <v>3</v>
      </c>
      <c r="J1598" s="1">
        <v>2137.5</v>
      </c>
      <c r="K1598" s="1">
        <v>0.03</v>
      </c>
      <c r="L1598" s="1">
        <v>6220.13</v>
      </c>
      <c r="M1598" s="1" t="str">
        <f t="shared" si="48"/>
        <v>Marketplace</v>
      </c>
      <c r="N1598" s="1">
        <f t="shared" si="49"/>
        <v>267.12</v>
      </c>
    </row>
    <row r="1599" spans="1:14" x14ac:dyDescent="0.3">
      <c r="A1599" s="1" t="s">
        <v>551</v>
      </c>
      <c r="B1599" s="1" t="s">
        <v>546</v>
      </c>
      <c r="C1599" s="1" t="s">
        <v>54</v>
      </c>
      <c r="D1599" s="1" t="s">
        <v>15</v>
      </c>
      <c r="E1599" s="1" t="s">
        <v>16</v>
      </c>
      <c r="F1599" s="1" t="s">
        <v>29</v>
      </c>
      <c r="G1599" s="1" t="s">
        <v>39</v>
      </c>
      <c r="H1599" s="1" t="s">
        <v>56</v>
      </c>
      <c r="I1599" s="1">
        <v>9</v>
      </c>
      <c r="J1599" s="1">
        <v>76.319999999999993</v>
      </c>
      <c r="K1599" s="1">
        <v>0.1</v>
      </c>
      <c r="L1599" s="1">
        <v>618.19000000000005</v>
      </c>
      <c r="M1599" s="1" t="str">
        <f t="shared" si="48"/>
        <v>Online</v>
      </c>
      <c r="N1599" s="1">
        <f t="shared" si="49"/>
        <v>267.12</v>
      </c>
    </row>
    <row r="1600" spans="1:14" x14ac:dyDescent="0.3">
      <c r="A1600" s="1" t="s">
        <v>552</v>
      </c>
      <c r="B1600" s="1" t="s">
        <v>546</v>
      </c>
      <c r="C1600" s="1" t="s">
        <v>61</v>
      </c>
      <c r="D1600" s="1" t="s">
        <v>27</v>
      </c>
      <c r="E1600" s="1" t="s">
        <v>16</v>
      </c>
      <c r="F1600" s="1" t="s">
        <v>36</v>
      </c>
      <c r="G1600" s="1" t="s">
        <v>37</v>
      </c>
      <c r="H1600" s="1" t="s">
        <v>73</v>
      </c>
      <c r="I1600" s="1">
        <v>2</v>
      </c>
      <c r="J1600" s="1">
        <v>742.05</v>
      </c>
      <c r="K1600" s="1">
        <v>0.1</v>
      </c>
      <c r="L1600" s="1">
        <v>1335.69</v>
      </c>
      <c r="M1600" s="1" t="str">
        <f t="shared" si="48"/>
        <v>Online</v>
      </c>
      <c r="N1600" s="1">
        <f t="shared" si="49"/>
        <v>62.01</v>
      </c>
    </row>
    <row r="1601" spans="1:14" x14ac:dyDescent="0.3">
      <c r="A1601" s="1" t="s">
        <v>553</v>
      </c>
      <c r="B1601" s="1" t="s">
        <v>546</v>
      </c>
      <c r="C1601" s="1" t="s">
        <v>21</v>
      </c>
      <c r="D1601" s="1" t="s">
        <v>27</v>
      </c>
      <c r="E1601" s="1" t="s">
        <v>16</v>
      </c>
      <c r="F1601" s="1" t="s">
        <v>82</v>
      </c>
      <c r="G1601" s="1" t="s">
        <v>96</v>
      </c>
      <c r="H1601" s="1" t="s">
        <v>44</v>
      </c>
      <c r="I1601" s="1">
        <v>2</v>
      </c>
      <c r="J1601" s="1">
        <v>2700</v>
      </c>
      <c r="K1601" s="1">
        <v>0.03</v>
      </c>
      <c r="L1601" s="1">
        <v>5238</v>
      </c>
      <c r="M1601" s="1" t="str">
        <f t="shared" si="48"/>
        <v>Retail Store</v>
      </c>
      <c r="N1601" s="1">
        <f t="shared" si="49"/>
        <v>405</v>
      </c>
    </row>
    <row r="1602" spans="1:14" x14ac:dyDescent="0.3">
      <c r="A1602" s="1" t="s">
        <v>554</v>
      </c>
      <c r="B1602" s="1" t="s">
        <v>546</v>
      </c>
      <c r="C1602" s="1" t="s">
        <v>47</v>
      </c>
      <c r="D1602" s="1" t="s">
        <v>15</v>
      </c>
      <c r="E1602" s="1" t="s">
        <v>16</v>
      </c>
      <c r="F1602" s="1" t="s">
        <v>29</v>
      </c>
      <c r="G1602" s="1" t="s">
        <v>39</v>
      </c>
      <c r="H1602" s="1" t="s">
        <v>58</v>
      </c>
      <c r="I1602" s="1">
        <v>3</v>
      </c>
      <c r="J1602" s="1">
        <v>74.88</v>
      </c>
      <c r="K1602" s="1">
        <v>0.15</v>
      </c>
      <c r="L1602" s="1">
        <v>190.94</v>
      </c>
      <c r="M1602" s="1" t="str">
        <f t="shared" ref="M1602:M1665" si="50">INDEX(D:D,MATCH(H1602,H:H,0))</f>
        <v>Corporate Sales</v>
      </c>
      <c r="N1602" s="1">
        <f t="shared" ref="N1602:N1665" si="51">VLOOKUP(C:C,C:J,8,FALSE)</f>
        <v>421.2</v>
      </c>
    </row>
    <row r="1603" spans="1:14" x14ac:dyDescent="0.3">
      <c r="A1603" s="1" t="s">
        <v>555</v>
      </c>
      <c r="B1603" s="1" t="s">
        <v>546</v>
      </c>
      <c r="C1603" s="1" t="s">
        <v>14</v>
      </c>
      <c r="D1603" s="1" t="s">
        <v>15</v>
      </c>
      <c r="E1603" s="1" t="s">
        <v>16</v>
      </c>
      <c r="F1603" s="1" t="s">
        <v>17</v>
      </c>
      <c r="G1603" s="1" t="s">
        <v>62</v>
      </c>
      <c r="H1603" s="1" t="s">
        <v>19</v>
      </c>
      <c r="I1603" s="1">
        <v>8</v>
      </c>
      <c r="J1603" s="1">
        <v>55.08</v>
      </c>
      <c r="K1603" s="1">
        <v>0.05</v>
      </c>
      <c r="L1603" s="1">
        <v>418.61</v>
      </c>
      <c r="M1603" s="1" t="str">
        <f t="shared" si="50"/>
        <v>Retail Store</v>
      </c>
      <c r="N1603" s="1">
        <f t="shared" si="51"/>
        <v>16.2</v>
      </c>
    </row>
    <row r="1604" spans="1:14" x14ac:dyDescent="0.3">
      <c r="A1604" s="1" t="s">
        <v>556</v>
      </c>
      <c r="B1604" s="1" t="s">
        <v>546</v>
      </c>
      <c r="C1604" s="1" t="s">
        <v>54</v>
      </c>
      <c r="D1604" s="1" t="s">
        <v>22</v>
      </c>
      <c r="E1604" s="1" t="s">
        <v>28</v>
      </c>
      <c r="F1604" s="1" t="s">
        <v>82</v>
      </c>
      <c r="G1604" s="1" t="s">
        <v>83</v>
      </c>
      <c r="H1604" s="1" t="s">
        <v>71</v>
      </c>
      <c r="I1604" s="1">
        <v>2</v>
      </c>
      <c r="J1604" s="1">
        <v>3780</v>
      </c>
      <c r="K1604" s="1">
        <v>0.1</v>
      </c>
      <c r="L1604" s="1">
        <v>6804</v>
      </c>
      <c r="M1604" s="1" t="str">
        <f t="shared" si="50"/>
        <v>Online</v>
      </c>
      <c r="N1604" s="1">
        <f t="shared" si="51"/>
        <v>267.12</v>
      </c>
    </row>
    <row r="1605" spans="1:14" x14ac:dyDescent="0.3">
      <c r="A1605" s="1" t="s">
        <v>539</v>
      </c>
      <c r="B1605" s="1" t="s">
        <v>540</v>
      </c>
      <c r="C1605" s="1" t="s">
        <v>54</v>
      </c>
      <c r="D1605" s="1" t="s">
        <v>35</v>
      </c>
      <c r="E1605" s="1" t="s">
        <v>16</v>
      </c>
      <c r="F1605" s="1" t="s">
        <v>23</v>
      </c>
      <c r="G1605" s="1" t="s">
        <v>142</v>
      </c>
      <c r="H1605" s="1" t="s">
        <v>56</v>
      </c>
      <c r="I1605" s="1">
        <v>8</v>
      </c>
      <c r="J1605" s="1">
        <v>16.850000000000001</v>
      </c>
      <c r="K1605" s="1">
        <v>0.05</v>
      </c>
      <c r="L1605" s="1">
        <v>128.04</v>
      </c>
      <c r="M1605" s="1" t="str">
        <f t="shared" si="50"/>
        <v>Online</v>
      </c>
      <c r="N1605" s="1">
        <f t="shared" si="51"/>
        <v>267.12</v>
      </c>
    </row>
    <row r="1606" spans="1:14" x14ac:dyDescent="0.3">
      <c r="A1606" s="1" t="s">
        <v>541</v>
      </c>
      <c r="B1606" s="1" t="s">
        <v>540</v>
      </c>
      <c r="C1606" s="1" t="s">
        <v>47</v>
      </c>
      <c r="D1606" s="1" t="s">
        <v>27</v>
      </c>
      <c r="E1606" s="1" t="s">
        <v>16</v>
      </c>
      <c r="F1606" s="1" t="s">
        <v>29</v>
      </c>
      <c r="G1606" s="1" t="s">
        <v>51</v>
      </c>
      <c r="H1606" s="1" t="s">
        <v>58</v>
      </c>
      <c r="I1606" s="1">
        <v>2</v>
      </c>
      <c r="J1606" s="1">
        <v>39.29</v>
      </c>
      <c r="K1606" s="1">
        <v>0</v>
      </c>
      <c r="L1606" s="1">
        <v>78.569999999999993</v>
      </c>
      <c r="M1606" s="1" t="str">
        <f t="shared" si="50"/>
        <v>Corporate Sales</v>
      </c>
      <c r="N1606" s="1">
        <f t="shared" si="51"/>
        <v>421.2</v>
      </c>
    </row>
    <row r="1607" spans="1:14" x14ac:dyDescent="0.3">
      <c r="A1607" s="1" t="s">
        <v>542</v>
      </c>
      <c r="B1607" s="1" t="s">
        <v>540</v>
      </c>
      <c r="C1607" s="1" t="s">
        <v>47</v>
      </c>
      <c r="D1607" s="1" t="s">
        <v>27</v>
      </c>
      <c r="E1607" s="1" t="s">
        <v>28</v>
      </c>
      <c r="F1607" s="1" t="s">
        <v>23</v>
      </c>
      <c r="G1607" s="1" t="s">
        <v>103</v>
      </c>
      <c r="H1607" s="1" t="s">
        <v>58</v>
      </c>
      <c r="I1607" s="1">
        <v>3</v>
      </c>
      <c r="J1607" s="1">
        <v>10.8</v>
      </c>
      <c r="K1607" s="1">
        <v>0</v>
      </c>
      <c r="L1607" s="1">
        <v>32.4</v>
      </c>
      <c r="M1607" s="1" t="str">
        <f t="shared" si="50"/>
        <v>Corporate Sales</v>
      </c>
      <c r="N1607" s="1">
        <f t="shared" si="51"/>
        <v>421.2</v>
      </c>
    </row>
    <row r="1608" spans="1:14" x14ac:dyDescent="0.3">
      <c r="A1608" s="1" t="s">
        <v>543</v>
      </c>
      <c r="B1608" s="1" t="s">
        <v>540</v>
      </c>
      <c r="C1608" s="1" t="s">
        <v>54</v>
      </c>
      <c r="D1608" s="1" t="s">
        <v>15</v>
      </c>
      <c r="E1608" s="1" t="s">
        <v>16</v>
      </c>
      <c r="F1608" s="1" t="s">
        <v>29</v>
      </c>
      <c r="G1608" s="1" t="s">
        <v>51</v>
      </c>
      <c r="H1608" s="1" t="s">
        <v>71</v>
      </c>
      <c r="I1608" s="1">
        <v>3</v>
      </c>
      <c r="J1608" s="1">
        <v>42.12</v>
      </c>
      <c r="K1608" s="1">
        <v>0.05</v>
      </c>
      <c r="L1608" s="1">
        <v>120.04</v>
      </c>
      <c r="M1608" s="1" t="str">
        <f t="shared" si="50"/>
        <v>Online</v>
      </c>
      <c r="N1608" s="1">
        <f t="shared" si="51"/>
        <v>267.12</v>
      </c>
    </row>
    <row r="1609" spans="1:14" x14ac:dyDescent="0.3">
      <c r="A1609" s="1" t="s">
        <v>544</v>
      </c>
      <c r="B1609" s="1" t="s">
        <v>540</v>
      </c>
      <c r="C1609" s="1" t="s">
        <v>14</v>
      </c>
      <c r="D1609" s="1" t="s">
        <v>22</v>
      </c>
      <c r="E1609" s="1" t="s">
        <v>28</v>
      </c>
      <c r="F1609" s="1" t="s">
        <v>29</v>
      </c>
      <c r="G1609" s="1" t="s">
        <v>33</v>
      </c>
      <c r="H1609" s="1" t="s">
        <v>40</v>
      </c>
      <c r="I1609" s="1">
        <v>4</v>
      </c>
      <c r="J1609" s="1">
        <v>13.5</v>
      </c>
      <c r="K1609" s="1">
        <v>0.1</v>
      </c>
      <c r="L1609" s="1">
        <v>48.6</v>
      </c>
      <c r="M1609" s="1" t="str">
        <f t="shared" si="50"/>
        <v>Online</v>
      </c>
      <c r="N1609" s="1">
        <f t="shared" si="51"/>
        <v>16.2</v>
      </c>
    </row>
    <row r="1610" spans="1:14" x14ac:dyDescent="0.3">
      <c r="A1610" s="1" t="s">
        <v>535</v>
      </c>
      <c r="B1610" s="1" t="s">
        <v>536</v>
      </c>
      <c r="C1610" s="1" t="s">
        <v>21</v>
      </c>
      <c r="D1610" s="1" t="s">
        <v>15</v>
      </c>
      <c r="E1610" s="1" t="s">
        <v>16</v>
      </c>
      <c r="F1610" s="1" t="s">
        <v>42</v>
      </c>
      <c r="G1610" s="1" t="s">
        <v>67</v>
      </c>
      <c r="H1610" s="1" t="s">
        <v>25</v>
      </c>
      <c r="I1610" s="1">
        <v>3</v>
      </c>
      <c r="J1610" s="1">
        <v>262.08</v>
      </c>
      <c r="K1610" s="1">
        <v>0.15</v>
      </c>
      <c r="L1610" s="1">
        <v>668.3</v>
      </c>
      <c r="M1610" s="1" t="str">
        <f t="shared" si="50"/>
        <v>Marketplace</v>
      </c>
      <c r="N1610" s="1">
        <f t="shared" si="51"/>
        <v>405</v>
      </c>
    </row>
    <row r="1611" spans="1:14" x14ac:dyDescent="0.3">
      <c r="A1611" s="1" t="s">
        <v>537</v>
      </c>
      <c r="B1611" s="1" t="s">
        <v>536</v>
      </c>
      <c r="C1611" s="1" t="s">
        <v>47</v>
      </c>
      <c r="D1611" s="1" t="s">
        <v>15</v>
      </c>
      <c r="E1611" s="1" t="s">
        <v>16</v>
      </c>
      <c r="F1611" s="1" t="s">
        <v>36</v>
      </c>
      <c r="G1611" s="1" t="s">
        <v>119</v>
      </c>
      <c r="H1611" s="1" t="s">
        <v>78</v>
      </c>
      <c r="I1611" s="1">
        <v>3</v>
      </c>
      <c r="J1611" s="1">
        <v>598.5</v>
      </c>
      <c r="K1611" s="1">
        <v>0.1</v>
      </c>
      <c r="L1611" s="1">
        <v>1615.95</v>
      </c>
      <c r="M1611" s="1" t="str">
        <f t="shared" si="50"/>
        <v>Retail Store</v>
      </c>
      <c r="N1611" s="1">
        <f t="shared" si="51"/>
        <v>421.2</v>
      </c>
    </row>
    <row r="1612" spans="1:14" x14ac:dyDescent="0.3">
      <c r="A1612" s="1" t="s">
        <v>538</v>
      </c>
      <c r="B1612" s="1" t="s">
        <v>536</v>
      </c>
      <c r="C1612" s="1" t="s">
        <v>61</v>
      </c>
      <c r="D1612" s="1" t="s">
        <v>22</v>
      </c>
      <c r="E1612" s="1" t="s">
        <v>28</v>
      </c>
      <c r="F1612" s="1" t="s">
        <v>29</v>
      </c>
      <c r="G1612" s="1" t="s">
        <v>88</v>
      </c>
      <c r="H1612" s="1" t="s">
        <v>63</v>
      </c>
      <c r="I1612" s="1">
        <v>4</v>
      </c>
      <c r="J1612" s="1">
        <v>58.5</v>
      </c>
      <c r="K1612" s="1">
        <v>0.1</v>
      </c>
      <c r="L1612" s="1">
        <v>210.6</v>
      </c>
      <c r="M1612" s="1" t="str">
        <f t="shared" si="50"/>
        <v>Retail Store</v>
      </c>
      <c r="N1612" s="1">
        <f t="shared" si="51"/>
        <v>62.01</v>
      </c>
    </row>
    <row r="1613" spans="1:14" x14ac:dyDescent="0.3">
      <c r="A1613" s="1" t="s">
        <v>526</v>
      </c>
      <c r="B1613" s="1" t="s">
        <v>527</v>
      </c>
      <c r="C1613" s="1" t="s">
        <v>54</v>
      </c>
      <c r="D1613" s="1" t="s">
        <v>15</v>
      </c>
      <c r="E1613" s="1" t="s">
        <v>28</v>
      </c>
      <c r="F1613" s="1" t="s">
        <v>29</v>
      </c>
      <c r="G1613" s="1" t="s">
        <v>51</v>
      </c>
      <c r="H1613" s="1" t="s">
        <v>71</v>
      </c>
      <c r="I1613" s="1">
        <v>3</v>
      </c>
      <c r="J1613" s="1">
        <v>40.5</v>
      </c>
      <c r="K1613" s="1">
        <v>0.2</v>
      </c>
      <c r="L1613" s="1">
        <v>97.2</v>
      </c>
      <c r="M1613" s="1" t="str">
        <f t="shared" si="50"/>
        <v>Online</v>
      </c>
      <c r="N1613" s="1">
        <f t="shared" si="51"/>
        <v>267.12</v>
      </c>
    </row>
    <row r="1614" spans="1:14" x14ac:dyDescent="0.3">
      <c r="A1614" s="1" t="s">
        <v>528</v>
      </c>
      <c r="B1614" s="1" t="s">
        <v>527</v>
      </c>
      <c r="C1614" s="1" t="s">
        <v>21</v>
      </c>
      <c r="D1614" s="1" t="s">
        <v>15</v>
      </c>
      <c r="E1614" s="1" t="s">
        <v>16</v>
      </c>
      <c r="F1614" s="1" t="s">
        <v>82</v>
      </c>
      <c r="G1614" s="1" t="s">
        <v>85</v>
      </c>
      <c r="H1614" s="1" t="s">
        <v>44</v>
      </c>
      <c r="I1614" s="1">
        <v>2</v>
      </c>
      <c r="J1614" s="1">
        <v>1620</v>
      </c>
      <c r="K1614" s="1">
        <v>0.05</v>
      </c>
      <c r="L1614" s="1">
        <v>3078</v>
      </c>
      <c r="M1614" s="1" t="str">
        <f t="shared" si="50"/>
        <v>Retail Store</v>
      </c>
      <c r="N1614" s="1">
        <f t="shared" si="51"/>
        <v>405</v>
      </c>
    </row>
    <row r="1615" spans="1:14" x14ac:dyDescent="0.3">
      <c r="A1615" s="1" t="s">
        <v>529</v>
      </c>
      <c r="B1615" s="1" t="s">
        <v>527</v>
      </c>
      <c r="C1615" s="1" t="s">
        <v>54</v>
      </c>
      <c r="D1615" s="1" t="s">
        <v>27</v>
      </c>
      <c r="E1615" s="1" t="s">
        <v>16</v>
      </c>
      <c r="F1615" s="1" t="s">
        <v>82</v>
      </c>
      <c r="G1615" s="1" t="s">
        <v>150</v>
      </c>
      <c r="H1615" s="1" t="s">
        <v>80</v>
      </c>
      <c r="I1615" s="1">
        <v>2</v>
      </c>
      <c r="J1615" s="1">
        <v>2736</v>
      </c>
      <c r="K1615" s="1">
        <v>0.2</v>
      </c>
      <c r="L1615" s="1">
        <v>4377.6000000000004</v>
      </c>
      <c r="M1615" s="1" t="str">
        <f t="shared" si="50"/>
        <v>Marketplace</v>
      </c>
      <c r="N1615" s="1">
        <f t="shared" si="51"/>
        <v>267.12</v>
      </c>
    </row>
    <row r="1616" spans="1:14" x14ac:dyDescent="0.3">
      <c r="A1616" s="1" t="s">
        <v>530</v>
      </c>
      <c r="B1616" s="1" t="s">
        <v>527</v>
      </c>
      <c r="C1616" s="1" t="s">
        <v>14</v>
      </c>
      <c r="D1616" s="1" t="s">
        <v>35</v>
      </c>
      <c r="E1616" s="1" t="s">
        <v>16</v>
      </c>
      <c r="F1616" s="1" t="s">
        <v>36</v>
      </c>
      <c r="G1616" s="1" t="s">
        <v>70</v>
      </c>
      <c r="H1616" s="1" t="s">
        <v>19</v>
      </c>
      <c r="I1616" s="1">
        <v>2</v>
      </c>
      <c r="J1616" s="1">
        <v>522</v>
      </c>
      <c r="K1616" s="1">
        <v>0.2</v>
      </c>
      <c r="L1616" s="1">
        <v>835.2</v>
      </c>
      <c r="M1616" s="1" t="str">
        <f t="shared" si="50"/>
        <v>Retail Store</v>
      </c>
      <c r="N1616" s="1">
        <f t="shared" si="51"/>
        <v>16.2</v>
      </c>
    </row>
    <row r="1617" spans="1:14" x14ac:dyDescent="0.3">
      <c r="A1617" s="1" t="s">
        <v>531</v>
      </c>
      <c r="B1617" s="1" t="s">
        <v>527</v>
      </c>
      <c r="C1617" s="1" t="s">
        <v>61</v>
      </c>
      <c r="D1617" s="1" t="s">
        <v>15</v>
      </c>
      <c r="E1617" s="1" t="s">
        <v>16</v>
      </c>
      <c r="F1617" s="1" t="s">
        <v>82</v>
      </c>
      <c r="G1617" s="1" t="s">
        <v>150</v>
      </c>
      <c r="H1617" s="1" t="s">
        <v>63</v>
      </c>
      <c r="I1617" s="1">
        <v>3</v>
      </c>
      <c r="J1617" s="1">
        <v>2880</v>
      </c>
      <c r="K1617" s="1">
        <v>0.03</v>
      </c>
      <c r="L1617" s="1">
        <v>8380.7999999999993</v>
      </c>
      <c r="M1617" s="1" t="str">
        <f t="shared" si="50"/>
        <v>Retail Store</v>
      </c>
      <c r="N1617" s="1">
        <f t="shared" si="51"/>
        <v>62.01</v>
      </c>
    </row>
    <row r="1618" spans="1:14" x14ac:dyDescent="0.3">
      <c r="A1618" s="1" t="s">
        <v>532</v>
      </c>
      <c r="B1618" s="1" t="s">
        <v>527</v>
      </c>
      <c r="C1618" s="1" t="s">
        <v>14</v>
      </c>
      <c r="D1618" s="1" t="s">
        <v>27</v>
      </c>
      <c r="E1618" s="1" t="s">
        <v>16</v>
      </c>
      <c r="F1618" s="1" t="s">
        <v>29</v>
      </c>
      <c r="G1618" s="1" t="s">
        <v>55</v>
      </c>
      <c r="H1618" s="1" t="s">
        <v>40</v>
      </c>
      <c r="I1618" s="1">
        <v>3</v>
      </c>
      <c r="J1618" s="1">
        <v>36.25</v>
      </c>
      <c r="K1618" s="1">
        <v>0.1</v>
      </c>
      <c r="L1618" s="1">
        <v>97.88</v>
      </c>
      <c r="M1618" s="1" t="str">
        <f t="shared" si="50"/>
        <v>Online</v>
      </c>
      <c r="N1618" s="1">
        <f t="shared" si="51"/>
        <v>16.2</v>
      </c>
    </row>
    <row r="1619" spans="1:14" x14ac:dyDescent="0.3">
      <c r="A1619" s="1" t="s">
        <v>533</v>
      </c>
      <c r="B1619" s="1" t="s">
        <v>527</v>
      </c>
      <c r="C1619" s="1" t="s">
        <v>47</v>
      </c>
      <c r="D1619" s="1" t="s">
        <v>35</v>
      </c>
      <c r="E1619" s="1" t="s">
        <v>16</v>
      </c>
      <c r="F1619" s="1" t="s">
        <v>42</v>
      </c>
      <c r="G1619" s="1" t="s">
        <v>67</v>
      </c>
      <c r="H1619" s="1" t="s">
        <v>49</v>
      </c>
      <c r="I1619" s="1">
        <v>7</v>
      </c>
      <c r="J1619" s="1">
        <v>252</v>
      </c>
      <c r="K1619" s="1">
        <v>0.15</v>
      </c>
      <c r="L1619" s="1">
        <v>1499.4</v>
      </c>
      <c r="M1619" s="1" t="str">
        <f t="shared" si="50"/>
        <v>Retail Store</v>
      </c>
      <c r="N1619" s="1">
        <f t="shared" si="51"/>
        <v>421.2</v>
      </c>
    </row>
    <row r="1620" spans="1:14" x14ac:dyDescent="0.3">
      <c r="A1620" s="1" t="s">
        <v>534</v>
      </c>
      <c r="B1620" s="1" t="s">
        <v>527</v>
      </c>
      <c r="C1620" s="1" t="s">
        <v>61</v>
      </c>
      <c r="D1620" s="1" t="s">
        <v>27</v>
      </c>
      <c r="E1620" s="1" t="s">
        <v>28</v>
      </c>
      <c r="F1620" s="1" t="s">
        <v>82</v>
      </c>
      <c r="G1620" s="1" t="s">
        <v>96</v>
      </c>
      <c r="H1620" s="1" t="s">
        <v>63</v>
      </c>
      <c r="I1620" s="1">
        <v>2</v>
      </c>
      <c r="J1620" s="1">
        <v>2808</v>
      </c>
      <c r="K1620" s="1">
        <v>0</v>
      </c>
      <c r="L1620" s="1">
        <v>5616</v>
      </c>
      <c r="M1620" s="1" t="str">
        <f t="shared" si="50"/>
        <v>Retail Store</v>
      </c>
      <c r="N1620" s="1">
        <f t="shared" si="51"/>
        <v>62.01</v>
      </c>
    </row>
    <row r="1621" spans="1:14" x14ac:dyDescent="0.3">
      <c r="A1621" s="1" t="s">
        <v>520</v>
      </c>
      <c r="B1621" s="1" t="s">
        <v>521</v>
      </c>
      <c r="C1621" s="1" t="s">
        <v>61</v>
      </c>
      <c r="D1621" s="1" t="s">
        <v>35</v>
      </c>
      <c r="E1621" s="1" t="s">
        <v>16</v>
      </c>
      <c r="F1621" s="1" t="s">
        <v>23</v>
      </c>
      <c r="G1621" s="1" t="s">
        <v>103</v>
      </c>
      <c r="H1621" s="1" t="s">
        <v>63</v>
      </c>
      <c r="I1621" s="1">
        <v>6</v>
      </c>
      <c r="J1621" s="1">
        <v>10.8</v>
      </c>
      <c r="K1621" s="1">
        <v>0.15</v>
      </c>
      <c r="L1621" s="1">
        <v>55.08</v>
      </c>
      <c r="M1621" s="1" t="str">
        <f t="shared" si="50"/>
        <v>Retail Store</v>
      </c>
      <c r="N1621" s="1">
        <f t="shared" si="51"/>
        <v>62.01</v>
      </c>
    </row>
    <row r="1622" spans="1:14" x14ac:dyDescent="0.3">
      <c r="A1622" s="1" t="s">
        <v>522</v>
      </c>
      <c r="B1622" s="1" t="s">
        <v>521</v>
      </c>
      <c r="C1622" s="1" t="s">
        <v>61</v>
      </c>
      <c r="D1622" s="1" t="s">
        <v>15</v>
      </c>
      <c r="E1622" s="1" t="s">
        <v>16</v>
      </c>
      <c r="F1622" s="1" t="s">
        <v>42</v>
      </c>
      <c r="G1622" s="1" t="s">
        <v>67</v>
      </c>
      <c r="H1622" s="1" t="s">
        <v>73</v>
      </c>
      <c r="I1622" s="1">
        <v>5</v>
      </c>
      <c r="J1622" s="1">
        <v>252</v>
      </c>
      <c r="K1622" s="1">
        <v>0.08</v>
      </c>
      <c r="L1622" s="1">
        <v>1159.2</v>
      </c>
      <c r="M1622" s="1" t="str">
        <f t="shared" si="50"/>
        <v>Online</v>
      </c>
      <c r="N1622" s="1">
        <f t="shared" si="51"/>
        <v>62.01</v>
      </c>
    </row>
    <row r="1623" spans="1:14" x14ac:dyDescent="0.3">
      <c r="A1623" s="1" t="s">
        <v>523</v>
      </c>
      <c r="B1623" s="1" t="s">
        <v>521</v>
      </c>
      <c r="C1623" s="1" t="s">
        <v>14</v>
      </c>
      <c r="D1623" s="1" t="s">
        <v>35</v>
      </c>
      <c r="E1623" s="1" t="s">
        <v>28</v>
      </c>
      <c r="F1623" s="1" t="s">
        <v>29</v>
      </c>
      <c r="G1623" s="1" t="s">
        <v>88</v>
      </c>
      <c r="H1623" s="1" t="s">
        <v>19</v>
      </c>
      <c r="I1623" s="1">
        <v>7</v>
      </c>
      <c r="J1623" s="1">
        <v>59.67</v>
      </c>
      <c r="K1623" s="1">
        <v>0.05</v>
      </c>
      <c r="L1623" s="1">
        <v>396.81</v>
      </c>
      <c r="M1623" s="1" t="str">
        <f t="shared" si="50"/>
        <v>Retail Store</v>
      </c>
      <c r="N1623" s="1">
        <f t="shared" si="51"/>
        <v>16.2</v>
      </c>
    </row>
    <row r="1624" spans="1:14" x14ac:dyDescent="0.3">
      <c r="A1624" s="1" t="s">
        <v>524</v>
      </c>
      <c r="B1624" s="1" t="s">
        <v>521</v>
      </c>
      <c r="C1624" s="1" t="s">
        <v>61</v>
      </c>
      <c r="D1624" s="1" t="s">
        <v>15</v>
      </c>
      <c r="E1624" s="1" t="s">
        <v>28</v>
      </c>
      <c r="F1624" s="1" t="s">
        <v>36</v>
      </c>
      <c r="G1624" s="1" t="s">
        <v>77</v>
      </c>
      <c r="H1624" s="1" t="s">
        <v>73</v>
      </c>
      <c r="I1624" s="1">
        <v>2</v>
      </c>
      <c r="J1624" s="1">
        <v>1309.5</v>
      </c>
      <c r="K1624" s="1">
        <v>0.08</v>
      </c>
      <c r="L1624" s="1">
        <v>2409.48</v>
      </c>
      <c r="M1624" s="1" t="str">
        <f t="shared" si="50"/>
        <v>Online</v>
      </c>
      <c r="N1624" s="1">
        <f t="shared" si="51"/>
        <v>62.01</v>
      </c>
    </row>
    <row r="1625" spans="1:14" x14ac:dyDescent="0.3">
      <c r="A1625" s="1" t="s">
        <v>525</v>
      </c>
      <c r="B1625" s="1" t="s">
        <v>521</v>
      </c>
      <c r="C1625" s="1" t="s">
        <v>54</v>
      </c>
      <c r="D1625" s="1" t="s">
        <v>15</v>
      </c>
      <c r="E1625" s="1" t="s">
        <v>28</v>
      </c>
      <c r="F1625" s="1" t="s">
        <v>29</v>
      </c>
      <c r="G1625" s="1" t="s">
        <v>88</v>
      </c>
      <c r="H1625" s="1" t="s">
        <v>56</v>
      </c>
      <c r="I1625" s="1">
        <v>4</v>
      </c>
      <c r="J1625" s="1">
        <v>55.58</v>
      </c>
      <c r="K1625" s="1">
        <v>0.1</v>
      </c>
      <c r="L1625" s="1">
        <v>200.07</v>
      </c>
      <c r="M1625" s="1" t="str">
        <f t="shared" si="50"/>
        <v>Online</v>
      </c>
      <c r="N1625" s="1">
        <f t="shared" si="51"/>
        <v>267.12</v>
      </c>
    </row>
    <row r="1626" spans="1:14" x14ac:dyDescent="0.3">
      <c r="A1626" s="1" t="s">
        <v>512</v>
      </c>
      <c r="B1626" s="1" t="s">
        <v>513</v>
      </c>
      <c r="C1626" s="1" t="s">
        <v>54</v>
      </c>
      <c r="D1626" s="1" t="s">
        <v>22</v>
      </c>
      <c r="E1626" s="1" t="s">
        <v>16</v>
      </c>
      <c r="F1626" s="1" t="s">
        <v>36</v>
      </c>
      <c r="G1626" s="1" t="s">
        <v>77</v>
      </c>
      <c r="H1626" s="1" t="s">
        <v>71</v>
      </c>
      <c r="I1626" s="1">
        <v>3</v>
      </c>
      <c r="J1626" s="1">
        <v>1404</v>
      </c>
      <c r="K1626" s="1">
        <v>0.1</v>
      </c>
      <c r="L1626" s="1">
        <v>3790.8</v>
      </c>
      <c r="M1626" s="1" t="str">
        <f t="shared" si="50"/>
        <v>Online</v>
      </c>
      <c r="N1626" s="1">
        <f t="shared" si="51"/>
        <v>267.12</v>
      </c>
    </row>
    <row r="1627" spans="1:14" x14ac:dyDescent="0.3">
      <c r="A1627" s="1" t="s">
        <v>514</v>
      </c>
      <c r="B1627" s="1" t="s">
        <v>513</v>
      </c>
      <c r="C1627" s="1" t="s">
        <v>21</v>
      </c>
      <c r="D1627" s="1" t="s">
        <v>15</v>
      </c>
      <c r="E1627" s="1" t="s">
        <v>16</v>
      </c>
      <c r="F1627" s="1" t="s">
        <v>36</v>
      </c>
      <c r="G1627" s="1" t="s">
        <v>119</v>
      </c>
      <c r="H1627" s="1" t="s">
        <v>25</v>
      </c>
      <c r="I1627" s="1">
        <v>4</v>
      </c>
      <c r="J1627" s="1">
        <v>630</v>
      </c>
      <c r="K1627" s="1">
        <v>0.03</v>
      </c>
      <c r="L1627" s="1">
        <v>2444.4</v>
      </c>
      <c r="M1627" s="1" t="str">
        <f t="shared" si="50"/>
        <v>Marketplace</v>
      </c>
      <c r="N1627" s="1">
        <f t="shared" si="51"/>
        <v>405</v>
      </c>
    </row>
    <row r="1628" spans="1:14" x14ac:dyDescent="0.3">
      <c r="A1628" s="1" t="s">
        <v>515</v>
      </c>
      <c r="B1628" s="1" t="s">
        <v>513</v>
      </c>
      <c r="C1628" s="1" t="s">
        <v>47</v>
      </c>
      <c r="D1628" s="1" t="s">
        <v>22</v>
      </c>
      <c r="E1628" s="1" t="s">
        <v>16</v>
      </c>
      <c r="F1628" s="1" t="s">
        <v>36</v>
      </c>
      <c r="G1628" s="1" t="s">
        <v>77</v>
      </c>
      <c r="H1628" s="1" t="s">
        <v>58</v>
      </c>
      <c r="I1628" s="1">
        <v>2</v>
      </c>
      <c r="J1628" s="1">
        <v>1309.5</v>
      </c>
      <c r="K1628" s="1">
        <v>0.08</v>
      </c>
      <c r="L1628" s="1">
        <v>2409.48</v>
      </c>
      <c r="M1628" s="1" t="str">
        <f t="shared" si="50"/>
        <v>Corporate Sales</v>
      </c>
      <c r="N1628" s="1">
        <f t="shared" si="51"/>
        <v>421.2</v>
      </c>
    </row>
    <row r="1629" spans="1:14" x14ac:dyDescent="0.3">
      <c r="A1629" s="1" t="s">
        <v>516</v>
      </c>
      <c r="B1629" s="1" t="s">
        <v>513</v>
      </c>
      <c r="C1629" s="1" t="s">
        <v>14</v>
      </c>
      <c r="D1629" s="1" t="s">
        <v>27</v>
      </c>
      <c r="E1629" s="1" t="s">
        <v>16</v>
      </c>
      <c r="F1629" s="1" t="s">
        <v>82</v>
      </c>
      <c r="G1629" s="1" t="s">
        <v>83</v>
      </c>
      <c r="H1629" s="1" t="s">
        <v>31</v>
      </c>
      <c r="I1629" s="1">
        <v>3</v>
      </c>
      <c r="J1629" s="1">
        <v>3780</v>
      </c>
      <c r="K1629" s="1">
        <v>0.05</v>
      </c>
      <c r="L1629" s="1">
        <v>10773</v>
      </c>
      <c r="M1629" s="1" t="str">
        <f t="shared" si="50"/>
        <v>Online</v>
      </c>
      <c r="N1629" s="1">
        <f t="shared" si="51"/>
        <v>16.2</v>
      </c>
    </row>
    <row r="1630" spans="1:14" x14ac:dyDescent="0.3">
      <c r="A1630" s="1" t="s">
        <v>517</v>
      </c>
      <c r="B1630" s="1" t="s">
        <v>513</v>
      </c>
      <c r="C1630" s="1" t="s">
        <v>61</v>
      </c>
      <c r="D1630" s="1" t="s">
        <v>27</v>
      </c>
      <c r="E1630" s="1" t="s">
        <v>16</v>
      </c>
      <c r="F1630" s="1" t="s">
        <v>29</v>
      </c>
      <c r="G1630" s="1" t="s">
        <v>55</v>
      </c>
      <c r="H1630" s="1" t="s">
        <v>63</v>
      </c>
      <c r="I1630" s="1">
        <v>2</v>
      </c>
      <c r="J1630" s="1">
        <v>35.57</v>
      </c>
      <c r="K1630" s="1">
        <v>0.05</v>
      </c>
      <c r="L1630" s="1">
        <v>67.58</v>
      </c>
      <c r="M1630" s="1" t="str">
        <f t="shared" si="50"/>
        <v>Retail Store</v>
      </c>
      <c r="N1630" s="1">
        <f t="shared" si="51"/>
        <v>62.01</v>
      </c>
    </row>
    <row r="1631" spans="1:14" x14ac:dyDescent="0.3">
      <c r="A1631" s="1" t="s">
        <v>518</v>
      </c>
      <c r="B1631" s="1" t="s">
        <v>513</v>
      </c>
      <c r="C1631" s="1" t="s">
        <v>21</v>
      </c>
      <c r="D1631" s="1" t="s">
        <v>27</v>
      </c>
      <c r="E1631" s="1" t="s">
        <v>28</v>
      </c>
      <c r="F1631" s="1" t="s">
        <v>29</v>
      </c>
      <c r="G1631" s="1" t="s">
        <v>51</v>
      </c>
      <c r="H1631" s="1" t="s">
        <v>86</v>
      </c>
      <c r="I1631" s="1">
        <v>2</v>
      </c>
      <c r="J1631" s="1">
        <v>38.479999999999997</v>
      </c>
      <c r="K1631" s="1">
        <v>0.03</v>
      </c>
      <c r="L1631" s="1">
        <v>74.64</v>
      </c>
      <c r="M1631" s="1" t="str">
        <f t="shared" si="50"/>
        <v>Online</v>
      </c>
      <c r="N1631" s="1">
        <f t="shared" si="51"/>
        <v>405</v>
      </c>
    </row>
    <row r="1632" spans="1:14" x14ac:dyDescent="0.3">
      <c r="A1632" s="1" t="s">
        <v>519</v>
      </c>
      <c r="B1632" s="1" t="s">
        <v>513</v>
      </c>
      <c r="C1632" s="1" t="s">
        <v>21</v>
      </c>
      <c r="D1632" s="1" t="s">
        <v>15</v>
      </c>
      <c r="E1632" s="1" t="s">
        <v>16</v>
      </c>
      <c r="F1632" s="1" t="s">
        <v>82</v>
      </c>
      <c r="G1632" s="1" t="s">
        <v>96</v>
      </c>
      <c r="H1632" s="1" t="s">
        <v>86</v>
      </c>
      <c r="I1632" s="1">
        <v>2</v>
      </c>
      <c r="J1632" s="1">
        <v>2754</v>
      </c>
      <c r="K1632" s="1">
        <v>0.05</v>
      </c>
      <c r="L1632" s="1">
        <v>5232.6000000000004</v>
      </c>
      <c r="M1632" s="1" t="str">
        <f t="shared" si="50"/>
        <v>Online</v>
      </c>
      <c r="N1632" s="1">
        <f t="shared" si="51"/>
        <v>405</v>
      </c>
    </row>
    <row r="1633" spans="1:14" x14ac:dyDescent="0.3">
      <c r="A1633" s="1" t="s">
        <v>504</v>
      </c>
      <c r="B1633" s="1" t="s">
        <v>505</v>
      </c>
      <c r="C1633" s="1" t="s">
        <v>21</v>
      </c>
      <c r="D1633" s="1" t="s">
        <v>15</v>
      </c>
      <c r="E1633" s="1" t="s">
        <v>28</v>
      </c>
      <c r="F1633" s="1" t="s">
        <v>42</v>
      </c>
      <c r="G1633" s="1" t="s">
        <v>65</v>
      </c>
      <c r="H1633" s="1" t="s">
        <v>44</v>
      </c>
      <c r="I1633" s="1">
        <v>6</v>
      </c>
      <c r="J1633" s="1">
        <v>675</v>
      </c>
      <c r="K1633" s="1">
        <v>0.03</v>
      </c>
      <c r="L1633" s="1">
        <v>3928.5</v>
      </c>
      <c r="M1633" s="1" t="str">
        <f t="shared" si="50"/>
        <v>Retail Store</v>
      </c>
      <c r="N1633" s="1">
        <f t="shared" si="51"/>
        <v>405</v>
      </c>
    </row>
    <row r="1634" spans="1:14" x14ac:dyDescent="0.3">
      <c r="A1634" s="1" t="s">
        <v>506</v>
      </c>
      <c r="B1634" s="1" t="s">
        <v>505</v>
      </c>
      <c r="C1634" s="1" t="s">
        <v>47</v>
      </c>
      <c r="D1634" s="1" t="s">
        <v>27</v>
      </c>
      <c r="E1634" s="1" t="s">
        <v>16</v>
      </c>
      <c r="F1634" s="1" t="s">
        <v>36</v>
      </c>
      <c r="G1634" s="1" t="s">
        <v>37</v>
      </c>
      <c r="H1634" s="1" t="s">
        <v>49</v>
      </c>
      <c r="I1634" s="1">
        <v>2</v>
      </c>
      <c r="J1634" s="1">
        <v>795.6</v>
      </c>
      <c r="K1634" s="1">
        <v>0.2</v>
      </c>
      <c r="L1634" s="1">
        <v>1272.96</v>
      </c>
      <c r="M1634" s="1" t="str">
        <f t="shared" si="50"/>
        <v>Retail Store</v>
      </c>
      <c r="N1634" s="1">
        <f t="shared" si="51"/>
        <v>421.2</v>
      </c>
    </row>
    <row r="1635" spans="1:14" x14ac:dyDescent="0.3">
      <c r="A1635" s="1" t="s">
        <v>507</v>
      </c>
      <c r="B1635" s="1" t="s">
        <v>505</v>
      </c>
      <c r="C1635" s="1" t="s">
        <v>14</v>
      </c>
      <c r="D1635" s="1" t="s">
        <v>15</v>
      </c>
      <c r="E1635" s="1" t="s">
        <v>16</v>
      </c>
      <c r="F1635" s="1" t="s">
        <v>17</v>
      </c>
      <c r="G1635" s="1" t="s">
        <v>62</v>
      </c>
      <c r="H1635" s="1" t="s">
        <v>31</v>
      </c>
      <c r="I1635" s="1">
        <v>2</v>
      </c>
      <c r="J1635" s="1">
        <v>55.08</v>
      </c>
      <c r="K1635" s="1">
        <v>0.1</v>
      </c>
      <c r="L1635" s="1">
        <v>99.14</v>
      </c>
      <c r="M1635" s="1" t="str">
        <f t="shared" si="50"/>
        <v>Online</v>
      </c>
      <c r="N1635" s="1">
        <f t="shared" si="51"/>
        <v>16.2</v>
      </c>
    </row>
    <row r="1636" spans="1:14" x14ac:dyDescent="0.3">
      <c r="A1636" s="1" t="s">
        <v>508</v>
      </c>
      <c r="B1636" s="1" t="s">
        <v>505</v>
      </c>
      <c r="C1636" s="1" t="s">
        <v>47</v>
      </c>
      <c r="D1636" s="1" t="s">
        <v>22</v>
      </c>
      <c r="E1636" s="1" t="s">
        <v>16</v>
      </c>
      <c r="F1636" s="1" t="s">
        <v>17</v>
      </c>
      <c r="G1636" s="1" t="s">
        <v>18</v>
      </c>
      <c r="H1636" s="1" t="s">
        <v>58</v>
      </c>
      <c r="I1636" s="1">
        <v>4</v>
      </c>
      <c r="J1636" s="1">
        <v>81</v>
      </c>
      <c r="K1636" s="1">
        <v>0</v>
      </c>
      <c r="L1636" s="1">
        <v>324</v>
      </c>
      <c r="M1636" s="1" t="str">
        <f t="shared" si="50"/>
        <v>Corporate Sales</v>
      </c>
      <c r="N1636" s="1">
        <f t="shared" si="51"/>
        <v>421.2</v>
      </c>
    </row>
    <row r="1637" spans="1:14" x14ac:dyDescent="0.3">
      <c r="A1637" s="1" t="s">
        <v>509</v>
      </c>
      <c r="B1637" s="1" t="s">
        <v>505</v>
      </c>
      <c r="C1637" s="1" t="s">
        <v>14</v>
      </c>
      <c r="D1637" s="1" t="s">
        <v>15</v>
      </c>
      <c r="E1637" s="1" t="s">
        <v>16</v>
      </c>
      <c r="F1637" s="1" t="s">
        <v>17</v>
      </c>
      <c r="G1637" s="1" t="s">
        <v>189</v>
      </c>
      <c r="H1637" s="1" t="s">
        <v>31</v>
      </c>
      <c r="I1637" s="1">
        <v>5</v>
      </c>
      <c r="J1637" s="1">
        <v>293.76</v>
      </c>
      <c r="K1637" s="1">
        <v>0.05</v>
      </c>
      <c r="L1637" s="1">
        <v>1395.36</v>
      </c>
      <c r="M1637" s="1" t="str">
        <f t="shared" si="50"/>
        <v>Online</v>
      </c>
      <c r="N1637" s="1">
        <f t="shared" si="51"/>
        <v>16.2</v>
      </c>
    </row>
    <row r="1638" spans="1:14" x14ac:dyDescent="0.3">
      <c r="A1638" s="1" t="s">
        <v>510</v>
      </c>
      <c r="B1638" s="1" t="s">
        <v>505</v>
      </c>
      <c r="C1638" s="1" t="s">
        <v>14</v>
      </c>
      <c r="D1638" s="1" t="s">
        <v>35</v>
      </c>
      <c r="E1638" s="1" t="s">
        <v>28</v>
      </c>
      <c r="F1638" s="1" t="s">
        <v>23</v>
      </c>
      <c r="G1638" s="1" t="s">
        <v>24</v>
      </c>
      <c r="H1638" s="1" t="s">
        <v>40</v>
      </c>
      <c r="I1638" s="1">
        <v>8</v>
      </c>
      <c r="J1638" s="1">
        <v>21.83</v>
      </c>
      <c r="K1638" s="1">
        <v>0.05</v>
      </c>
      <c r="L1638" s="1">
        <v>165.87</v>
      </c>
      <c r="M1638" s="1" t="str">
        <f t="shared" si="50"/>
        <v>Online</v>
      </c>
      <c r="N1638" s="1">
        <f t="shared" si="51"/>
        <v>16.2</v>
      </c>
    </row>
    <row r="1639" spans="1:14" x14ac:dyDescent="0.3">
      <c r="A1639" s="1" t="s">
        <v>511</v>
      </c>
      <c r="B1639" s="1" t="s">
        <v>505</v>
      </c>
      <c r="C1639" s="1" t="s">
        <v>21</v>
      </c>
      <c r="D1639" s="1" t="s">
        <v>27</v>
      </c>
      <c r="E1639" s="1" t="s">
        <v>16</v>
      </c>
      <c r="F1639" s="1" t="s">
        <v>23</v>
      </c>
      <c r="G1639" s="1" t="s">
        <v>178</v>
      </c>
      <c r="H1639" s="1" t="s">
        <v>86</v>
      </c>
      <c r="I1639" s="1">
        <v>2</v>
      </c>
      <c r="J1639" s="1">
        <v>32.76</v>
      </c>
      <c r="K1639" s="1">
        <v>0.15</v>
      </c>
      <c r="L1639" s="1">
        <v>55.69</v>
      </c>
      <c r="M1639" s="1" t="str">
        <f t="shared" si="50"/>
        <v>Online</v>
      </c>
      <c r="N1639" s="1">
        <f t="shared" si="51"/>
        <v>405</v>
      </c>
    </row>
    <row r="1640" spans="1:14" x14ac:dyDescent="0.3">
      <c r="A1640" s="1" t="s">
        <v>494</v>
      </c>
      <c r="B1640" s="1" t="s">
        <v>495</v>
      </c>
      <c r="C1640" s="1" t="s">
        <v>21</v>
      </c>
      <c r="D1640" s="1" t="s">
        <v>22</v>
      </c>
      <c r="E1640" s="1" t="s">
        <v>16</v>
      </c>
      <c r="F1640" s="1" t="s">
        <v>29</v>
      </c>
      <c r="G1640" s="1" t="s">
        <v>88</v>
      </c>
      <c r="H1640" s="1" t="s">
        <v>86</v>
      </c>
      <c r="I1640" s="1">
        <v>3</v>
      </c>
      <c r="J1640" s="1">
        <v>58.5</v>
      </c>
      <c r="K1640" s="1">
        <v>0.2</v>
      </c>
      <c r="L1640" s="1">
        <v>140.4</v>
      </c>
      <c r="M1640" s="1" t="str">
        <f t="shared" si="50"/>
        <v>Online</v>
      </c>
      <c r="N1640" s="1">
        <f t="shared" si="51"/>
        <v>405</v>
      </c>
    </row>
    <row r="1641" spans="1:14" x14ac:dyDescent="0.3">
      <c r="A1641" s="1" t="s">
        <v>496</v>
      </c>
      <c r="B1641" s="1" t="s">
        <v>495</v>
      </c>
      <c r="C1641" s="1" t="s">
        <v>54</v>
      </c>
      <c r="D1641" s="1" t="s">
        <v>27</v>
      </c>
      <c r="E1641" s="1" t="s">
        <v>28</v>
      </c>
      <c r="F1641" s="1" t="s">
        <v>23</v>
      </c>
      <c r="G1641" s="1" t="s">
        <v>178</v>
      </c>
      <c r="H1641" s="1" t="s">
        <v>80</v>
      </c>
      <c r="I1641" s="1">
        <v>4</v>
      </c>
      <c r="J1641" s="1">
        <v>29.93</v>
      </c>
      <c r="K1641" s="1">
        <v>0</v>
      </c>
      <c r="L1641" s="1">
        <v>119.7</v>
      </c>
      <c r="M1641" s="1" t="str">
        <f t="shared" si="50"/>
        <v>Marketplace</v>
      </c>
      <c r="N1641" s="1">
        <f t="shared" si="51"/>
        <v>267.12</v>
      </c>
    </row>
    <row r="1642" spans="1:14" x14ac:dyDescent="0.3">
      <c r="A1642" s="1" t="s">
        <v>497</v>
      </c>
      <c r="B1642" s="1" t="s">
        <v>495</v>
      </c>
      <c r="C1642" s="1" t="s">
        <v>14</v>
      </c>
      <c r="D1642" s="1" t="s">
        <v>22</v>
      </c>
      <c r="E1642" s="1" t="s">
        <v>28</v>
      </c>
      <c r="F1642" s="1" t="s">
        <v>29</v>
      </c>
      <c r="G1642" s="1" t="s">
        <v>55</v>
      </c>
      <c r="H1642" s="1" t="s">
        <v>40</v>
      </c>
      <c r="I1642" s="1">
        <v>8</v>
      </c>
      <c r="J1642" s="1">
        <v>33.17</v>
      </c>
      <c r="K1642" s="1">
        <v>0.2</v>
      </c>
      <c r="L1642" s="1">
        <v>212.31</v>
      </c>
      <c r="M1642" s="1" t="str">
        <f t="shared" si="50"/>
        <v>Online</v>
      </c>
      <c r="N1642" s="1">
        <f t="shared" si="51"/>
        <v>16.2</v>
      </c>
    </row>
    <row r="1643" spans="1:14" x14ac:dyDescent="0.3">
      <c r="A1643" s="1" t="s">
        <v>498</v>
      </c>
      <c r="B1643" s="1" t="s">
        <v>495</v>
      </c>
      <c r="C1643" s="1" t="s">
        <v>54</v>
      </c>
      <c r="D1643" s="1" t="s">
        <v>27</v>
      </c>
      <c r="E1643" s="1" t="s">
        <v>16</v>
      </c>
      <c r="F1643" s="1" t="s">
        <v>29</v>
      </c>
      <c r="G1643" s="1" t="s">
        <v>51</v>
      </c>
      <c r="H1643" s="1" t="s">
        <v>56</v>
      </c>
      <c r="I1643" s="1">
        <v>3</v>
      </c>
      <c r="J1643" s="1">
        <v>40.5</v>
      </c>
      <c r="K1643" s="1">
        <v>0.15</v>
      </c>
      <c r="L1643" s="1">
        <v>103.28</v>
      </c>
      <c r="M1643" s="1" t="str">
        <f t="shared" si="50"/>
        <v>Online</v>
      </c>
      <c r="N1643" s="1">
        <f t="shared" si="51"/>
        <v>267.12</v>
      </c>
    </row>
    <row r="1644" spans="1:14" x14ac:dyDescent="0.3">
      <c r="A1644" s="1" t="s">
        <v>499</v>
      </c>
      <c r="B1644" s="1" t="s">
        <v>495</v>
      </c>
      <c r="C1644" s="1" t="s">
        <v>14</v>
      </c>
      <c r="D1644" s="1" t="s">
        <v>15</v>
      </c>
      <c r="E1644" s="1" t="s">
        <v>16</v>
      </c>
      <c r="F1644" s="1" t="s">
        <v>82</v>
      </c>
      <c r="G1644" s="1" t="s">
        <v>96</v>
      </c>
      <c r="H1644" s="1" t="s">
        <v>31</v>
      </c>
      <c r="I1644" s="1">
        <v>5</v>
      </c>
      <c r="J1644" s="1">
        <v>2808</v>
      </c>
      <c r="K1644" s="1">
        <v>0.08</v>
      </c>
      <c r="L1644" s="1">
        <v>12916.8</v>
      </c>
      <c r="M1644" s="1" t="str">
        <f t="shared" si="50"/>
        <v>Online</v>
      </c>
      <c r="N1644" s="1">
        <f t="shared" si="51"/>
        <v>16.2</v>
      </c>
    </row>
    <row r="1645" spans="1:14" x14ac:dyDescent="0.3">
      <c r="A1645" s="1" t="s">
        <v>500</v>
      </c>
      <c r="B1645" s="1" t="s">
        <v>495</v>
      </c>
      <c r="C1645" s="1" t="s">
        <v>14</v>
      </c>
      <c r="D1645" s="1" t="s">
        <v>15</v>
      </c>
      <c r="E1645" s="1" t="s">
        <v>16</v>
      </c>
      <c r="F1645" s="1" t="s">
        <v>42</v>
      </c>
      <c r="G1645" s="1" t="s">
        <v>48</v>
      </c>
      <c r="H1645" s="1" t="s">
        <v>40</v>
      </c>
      <c r="I1645" s="1">
        <v>3</v>
      </c>
      <c r="J1645" s="1">
        <v>19.079999999999998</v>
      </c>
      <c r="K1645" s="1">
        <v>0.05</v>
      </c>
      <c r="L1645" s="1">
        <v>54.38</v>
      </c>
      <c r="M1645" s="1" t="str">
        <f t="shared" si="50"/>
        <v>Online</v>
      </c>
      <c r="N1645" s="1">
        <f t="shared" si="51"/>
        <v>16.2</v>
      </c>
    </row>
    <row r="1646" spans="1:14" x14ac:dyDescent="0.3">
      <c r="A1646" s="1" t="s">
        <v>501</v>
      </c>
      <c r="B1646" s="1" t="s">
        <v>495</v>
      </c>
      <c r="C1646" s="1" t="s">
        <v>14</v>
      </c>
      <c r="D1646" s="1" t="s">
        <v>15</v>
      </c>
      <c r="E1646" s="1" t="s">
        <v>28</v>
      </c>
      <c r="F1646" s="1" t="s">
        <v>29</v>
      </c>
      <c r="G1646" s="1" t="s">
        <v>39</v>
      </c>
      <c r="H1646" s="1" t="s">
        <v>19</v>
      </c>
      <c r="I1646" s="1">
        <v>4</v>
      </c>
      <c r="J1646" s="1">
        <v>72</v>
      </c>
      <c r="K1646" s="1">
        <v>0</v>
      </c>
      <c r="L1646" s="1">
        <v>288</v>
      </c>
      <c r="M1646" s="1" t="str">
        <f t="shared" si="50"/>
        <v>Retail Store</v>
      </c>
      <c r="N1646" s="1">
        <f t="shared" si="51"/>
        <v>16.2</v>
      </c>
    </row>
    <row r="1647" spans="1:14" x14ac:dyDescent="0.3">
      <c r="A1647" s="1" t="s">
        <v>502</v>
      </c>
      <c r="B1647" s="1" t="s">
        <v>495</v>
      </c>
      <c r="C1647" s="1" t="s">
        <v>21</v>
      </c>
      <c r="D1647" s="1" t="s">
        <v>15</v>
      </c>
      <c r="E1647" s="1" t="s">
        <v>16</v>
      </c>
      <c r="F1647" s="1" t="s">
        <v>82</v>
      </c>
      <c r="G1647" s="1" t="s">
        <v>96</v>
      </c>
      <c r="H1647" s="1" t="s">
        <v>25</v>
      </c>
      <c r="I1647" s="1">
        <v>2</v>
      </c>
      <c r="J1647" s="1">
        <v>2700</v>
      </c>
      <c r="K1647" s="1">
        <v>0.2</v>
      </c>
      <c r="L1647" s="1">
        <v>4320</v>
      </c>
      <c r="M1647" s="1" t="str">
        <f t="shared" si="50"/>
        <v>Marketplace</v>
      </c>
      <c r="N1647" s="1">
        <f t="shared" si="51"/>
        <v>405</v>
      </c>
    </row>
    <row r="1648" spans="1:14" x14ac:dyDescent="0.3">
      <c r="A1648" s="1" t="s">
        <v>503</v>
      </c>
      <c r="B1648" s="1" t="s">
        <v>495</v>
      </c>
      <c r="C1648" s="1" t="s">
        <v>21</v>
      </c>
      <c r="D1648" s="1" t="s">
        <v>22</v>
      </c>
      <c r="E1648" s="1" t="s">
        <v>16</v>
      </c>
      <c r="F1648" s="1" t="s">
        <v>17</v>
      </c>
      <c r="G1648" s="1" t="s">
        <v>189</v>
      </c>
      <c r="H1648" s="1" t="s">
        <v>44</v>
      </c>
      <c r="I1648" s="1">
        <v>3</v>
      </c>
      <c r="J1648" s="1">
        <v>288</v>
      </c>
      <c r="K1648" s="1">
        <v>0.2</v>
      </c>
      <c r="L1648" s="1">
        <v>691.2</v>
      </c>
      <c r="M1648" s="1" t="str">
        <f t="shared" si="50"/>
        <v>Retail Store</v>
      </c>
      <c r="N1648" s="1">
        <f t="shared" si="51"/>
        <v>405</v>
      </c>
    </row>
    <row r="1649" spans="1:14" x14ac:dyDescent="0.3">
      <c r="A1649" s="1" t="s">
        <v>483</v>
      </c>
      <c r="B1649" s="1" t="s">
        <v>484</v>
      </c>
      <c r="C1649" s="1" t="s">
        <v>14</v>
      </c>
      <c r="D1649" s="1" t="s">
        <v>27</v>
      </c>
      <c r="E1649" s="1" t="s">
        <v>16</v>
      </c>
      <c r="F1649" s="1" t="s">
        <v>29</v>
      </c>
      <c r="G1649" s="1" t="s">
        <v>30</v>
      </c>
      <c r="H1649" s="1" t="s">
        <v>40</v>
      </c>
      <c r="I1649" s="1">
        <v>4</v>
      </c>
      <c r="J1649" s="1">
        <v>49.5</v>
      </c>
      <c r="K1649" s="1">
        <v>0</v>
      </c>
      <c r="L1649" s="1">
        <v>198</v>
      </c>
      <c r="M1649" s="1" t="str">
        <f t="shared" si="50"/>
        <v>Online</v>
      </c>
      <c r="N1649" s="1">
        <f t="shared" si="51"/>
        <v>16.2</v>
      </c>
    </row>
    <row r="1650" spans="1:14" x14ac:dyDescent="0.3">
      <c r="A1650" s="1" t="s">
        <v>485</v>
      </c>
      <c r="B1650" s="1" t="s">
        <v>484</v>
      </c>
      <c r="C1650" s="1" t="s">
        <v>47</v>
      </c>
      <c r="D1650" s="1" t="s">
        <v>27</v>
      </c>
      <c r="E1650" s="1" t="s">
        <v>28</v>
      </c>
      <c r="F1650" s="1" t="s">
        <v>29</v>
      </c>
      <c r="G1650" s="1" t="s">
        <v>88</v>
      </c>
      <c r="H1650" s="1" t="s">
        <v>78</v>
      </c>
      <c r="I1650" s="1">
        <v>3</v>
      </c>
      <c r="J1650" s="1">
        <v>55.58</v>
      </c>
      <c r="K1650" s="1">
        <v>0.08</v>
      </c>
      <c r="L1650" s="1">
        <v>153.38999999999999</v>
      </c>
      <c r="M1650" s="1" t="str">
        <f t="shared" si="50"/>
        <v>Retail Store</v>
      </c>
      <c r="N1650" s="1">
        <f t="shared" si="51"/>
        <v>421.2</v>
      </c>
    </row>
    <row r="1651" spans="1:14" x14ac:dyDescent="0.3">
      <c r="A1651" s="1" t="s">
        <v>486</v>
      </c>
      <c r="B1651" s="1" t="s">
        <v>484</v>
      </c>
      <c r="C1651" s="1" t="s">
        <v>14</v>
      </c>
      <c r="D1651" s="1" t="s">
        <v>27</v>
      </c>
      <c r="E1651" s="1" t="s">
        <v>28</v>
      </c>
      <c r="F1651" s="1" t="s">
        <v>36</v>
      </c>
      <c r="G1651" s="1" t="s">
        <v>119</v>
      </c>
      <c r="H1651" s="1" t="s">
        <v>19</v>
      </c>
      <c r="I1651" s="1">
        <v>3</v>
      </c>
      <c r="J1651" s="1">
        <v>667.8</v>
      </c>
      <c r="K1651" s="1">
        <v>0.2</v>
      </c>
      <c r="L1651" s="1">
        <v>1602.72</v>
      </c>
      <c r="M1651" s="1" t="str">
        <f t="shared" si="50"/>
        <v>Retail Store</v>
      </c>
      <c r="N1651" s="1">
        <f t="shared" si="51"/>
        <v>16.2</v>
      </c>
    </row>
    <row r="1652" spans="1:14" x14ac:dyDescent="0.3">
      <c r="A1652" s="1" t="s">
        <v>487</v>
      </c>
      <c r="B1652" s="1" t="s">
        <v>484</v>
      </c>
      <c r="C1652" s="1" t="s">
        <v>47</v>
      </c>
      <c r="D1652" s="1" t="s">
        <v>15</v>
      </c>
      <c r="E1652" s="1" t="s">
        <v>16</v>
      </c>
      <c r="F1652" s="1" t="s">
        <v>17</v>
      </c>
      <c r="G1652" s="1" t="s">
        <v>18</v>
      </c>
      <c r="H1652" s="1" t="s">
        <v>58</v>
      </c>
      <c r="I1652" s="1">
        <v>2</v>
      </c>
      <c r="J1652" s="1">
        <v>85.86</v>
      </c>
      <c r="K1652" s="1">
        <v>0.15</v>
      </c>
      <c r="L1652" s="1">
        <v>145.96</v>
      </c>
      <c r="M1652" s="1" t="str">
        <f t="shared" si="50"/>
        <v>Corporate Sales</v>
      </c>
      <c r="N1652" s="1">
        <f t="shared" si="51"/>
        <v>421.2</v>
      </c>
    </row>
    <row r="1653" spans="1:14" x14ac:dyDescent="0.3">
      <c r="A1653" s="1" t="s">
        <v>488</v>
      </c>
      <c r="B1653" s="1" t="s">
        <v>484</v>
      </c>
      <c r="C1653" s="1" t="s">
        <v>47</v>
      </c>
      <c r="D1653" s="1" t="s">
        <v>35</v>
      </c>
      <c r="E1653" s="1" t="s">
        <v>28</v>
      </c>
      <c r="F1653" s="1" t="s">
        <v>36</v>
      </c>
      <c r="G1653" s="1" t="s">
        <v>77</v>
      </c>
      <c r="H1653" s="1" t="s">
        <v>58</v>
      </c>
      <c r="I1653" s="1">
        <v>4</v>
      </c>
      <c r="J1653" s="1">
        <v>1404</v>
      </c>
      <c r="K1653" s="1">
        <v>0.2</v>
      </c>
      <c r="L1653" s="1">
        <v>4492.8</v>
      </c>
      <c r="M1653" s="1" t="str">
        <f t="shared" si="50"/>
        <v>Corporate Sales</v>
      </c>
      <c r="N1653" s="1">
        <f t="shared" si="51"/>
        <v>421.2</v>
      </c>
    </row>
    <row r="1654" spans="1:14" x14ac:dyDescent="0.3">
      <c r="A1654" s="1" t="s">
        <v>489</v>
      </c>
      <c r="B1654" s="1" t="s">
        <v>484</v>
      </c>
      <c r="C1654" s="1" t="s">
        <v>61</v>
      </c>
      <c r="D1654" s="1" t="s">
        <v>15</v>
      </c>
      <c r="E1654" s="1" t="s">
        <v>16</v>
      </c>
      <c r="F1654" s="1" t="s">
        <v>29</v>
      </c>
      <c r="G1654" s="1" t="s">
        <v>39</v>
      </c>
      <c r="H1654" s="1" t="s">
        <v>73</v>
      </c>
      <c r="I1654" s="1">
        <v>2</v>
      </c>
      <c r="J1654" s="1">
        <v>76.319999999999993</v>
      </c>
      <c r="K1654" s="1">
        <v>0.1</v>
      </c>
      <c r="L1654" s="1">
        <v>137.38</v>
      </c>
      <c r="M1654" s="1" t="str">
        <f t="shared" si="50"/>
        <v>Online</v>
      </c>
      <c r="N1654" s="1">
        <f t="shared" si="51"/>
        <v>62.01</v>
      </c>
    </row>
    <row r="1655" spans="1:14" x14ac:dyDescent="0.3">
      <c r="A1655" s="1" t="s">
        <v>490</v>
      </c>
      <c r="B1655" s="1" t="s">
        <v>484</v>
      </c>
      <c r="C1655" s="1" t="s">
        <v>21</v>
      </c>
      <c r="D1655" s="1" t="s">
        <v>35</v>
      </c>
      <c r="E1655" s="1" t="s">
        <v>28</v>
      </c>
      <c r="F1655" s="1" t="s">
        <v>17</v>
      </c>
      <c r="G1655" s="1" t="s">
        <v>98</v>
      </c>
      <c r="H1655" s="1" t="s">
        <v>25</v>
      </c>
      <c r="I1655" s="1">
        <v>7</v>
      </c>
      <c r="J1655" s="1">
        <v>405</v>
      </c>
      <c r="K1655" s="1">
        <v>0.03</v>
      </c>
      <c r="L1655" s="1">
        <v>2749.95</v>
      </c>
      <c r="M1655" s="1" t="str">
        <f t="shared" si="50"/>
        <v>Marketplace</v>
      </c>
      <c r="N1655" s="1">
        <f t="shared" si="51"/>
        <v>405</v>
      </c>
    </row>
    <row r="1656" spans="1:14" x14ac:dyDescent="0.3">
      <c r="A1656" s="1" t="s">
        <v>491</v>
      </c>
      <c r="B1656" s="1" t="s">
        <v>484</v>
      </c>
      <c r="C1656" s="1" t="s">
        <v>54</v>
      </c>
      <c r="D1656" s="1" t="s">
        <v>35</v>
      </c>
      <c r="E1656" s="1" t="s">
        <v>16</v>
      </c>
      <c r="F1656" s="1" t="s">
        <v>82</v>
      </c>
      <c r="G1656" s="1" t="s">
        <v>96</v>
      </c>
      <c r="H1656" s="1" t="s">
        <v>71</v>
      </c>
      <c r="I1656" s="1">
        <v>2</v>
      </c>
      <c r="J1656" s="1">
        <v>2700</v>
      </c>
      <c r="K1656" s="1">
        <v>0.2</v>
      </c>
      <c r="L1656" s="1">
        <v>4320</v>
      </c>
      <c r="M1656" s="1" t="str">
        <f t="shared" si="50"/>
        <v>Online</v>
      </c>
      <c r="N1656" s="1">
        <f t="shared" si="51"/>
        <v>267.12</v>
      </c>
    </row>
    <row r="1657" spans="1:14" x14ac:dyDescent="0.3">
      <c r="A1657" s="1" t="s">
        <v>492</v>
      </c>
      <c r="B1657" s="1" t="s">
        <v>484</v>
      </c>
      <c r="C1657" s="1" t="s">
        <v>47</v>
      </c>
      <c r="D1657" s="1" t="s">
        <v>35</v>
      </c>
      <c r="E1657" s="1" t="s">
        <v>28</v>
      </c>
      <c r="F1657" s="1" t="s">
        <v>82</v>
      </c>
      <c r="G1657" s="1" t="s">
        <v>114</v>
      </c>
      <c r="H1657" s="1" t="s">
        <v>78</v>
      </c>
      <c r="I1657" s="1">
        <v>2</v>
      </c>
      <c r="J1657" s="1">
        <v>2182.5</v>
      </c>
      <c r="K1657" s="1">
        <v>0.1</v>
      </c>
      <c r="L1657" s="1">
        <v>3928.5</v>
      </c>
      <c r="M1657" s="1" t="str">
        <f t="shared" si="50"/>
        <v>Retail Store</v>
      </c>
      <c r="N1657" s="1">
        <f t="shared" si="51"/>
        <v>421.2</v>
      </c>
    </row>
    <row r="1658" spans="1:14" x14ac:dyDescent="0.3">
      <c r="A1658" s="1" t="s">
        <v>493</v>
      </c>
      <c r="B1658" s="1" t="s">
        <v>484</v>
      </c>
      <c r="C1658" s="1" t="s">
        <v>21</v>
      </c>
      <c r="D1658" s="1" t="s">
        <v>22</v>
      </c>
      <c r="E1658" s="1" t="s">
        <v>16</v>
      </c>
      <c r="F1658" s="1" t="s">
        <v>29</v>
      </c>
      <c r="G1658" s="1" t="s">
        <v>51</v>
      </c>
      <c r="H1658" s="1" t="s">
        <v>25</v>
      </c>
      <c r="I1658" s="1">
        <v>3</v>
      </c>
      <c r="J1658" s="1">
        <v>42.12</v>
      </c>
      <c r="K1658" s="1">
        <v>0.2</v>
      </c>
      <c r="L1658" s="1">
        <v>101.09</v>
      </c>
      <c r="M1658" s="1" t="str">
        <f t="shared" si="50"/>
        <v>Marketplace</v>
      </c>
      <c r="N1658" s="1">
        <f t="shared" si="51"/>
        <v>405</v>
      </c>
    </row>
    <row r="1659" spans="1:14" x14ac:dyDescent="0.3">
      <c r="A1659" s="1" t="s">
        <v>475</v>
      </c>
      <c r="B1659" s="1" t="s">
        <v>476</v>
      </c>
      <c r="C1659" s="1" t="s">
        <v>54</v>
      </c>
      <c r="D1659" s="1" t="s">
        <v>15</v>
      </c>
      <c r="E1659" s="1" t="s">
        <v>28</v>
      </c>
      <c r="F1659" s="1" t="s">
        <v>29</v>
      </c>
      <c r="G1659" s="1" t="s">
        <v>33</v>
      </c>
      <c r="H1659" s="1" t="s">
        <v>71</v>
      </c>
      <c r="I1659" s="1">
        <v>3</v>
      </c>
      <c r="J1659" s="1">
        <v>13.1</v>
      </c>
      <c r="K1659" s="1">
        <v>0.05</v>
      </c>
      <c r="L1659" s="1">
        <v>37.32</v>
      </c>
      <c r="M1659" s="1" t="str">
        <f t="shared" si="50"/>
        <v>Online</v>
      </c>
      <c r="N1659" s="1">
        <f t="shared" si="51"/>
        <v>267.12</v>
      </c>
    </row>
    <row r="1660" spans="1:14" x14ac:dyDescent="0.3">
      <c r="A1660" s="1" t="s">
        <v>477</v>
      </c>
      <c r="B1660" s="1" t="s">
        <v>476</v>
      </c>
      <c r="C1660" s="1" t="s">
        <v>21</v>
      </c>
      <c r="D1660" s="1" t="s">
        <v>35</v>
      </c>
      <c r="E1660" s="1" t="s">
        <v>16</v>
      </c>
      <c r="F1660" s="1" t="s">
        <v>36</v>
      </c>
      <c r="G1660" s="1" t="s">
        <v>70</v>
      </c>
      <c r="H1660" s="1" t="s">
        <v>25</v>
      </c>
      <c r="I1660" s="1">
        <v>5</v>
      </c>
      <c r="J1660" s="1">
        <v>532.44000000000005</v>
      </c>
      <c r="K1660" s="1">
        <v>0.08</v>
      </c>
      <c r="L1660" s="1">
        <v>2449.2199999999998</v>
      </c>
      <c r="M1660" s="1" t="str">
        <f t="shared" si="50"/>
        <v>Marketplace</v>
      </c>
      <c r="N1660" s="1">
        <f t="shared" si="51"/>
        <v>405</v>
      </c>
    </row>
    <row r="1661" spans="1:14" x14ac:dyDescent="0.3">
      <c r="A1661" s="1" t="s">
        <v>478</v>
      </c>
      <c r="B1661" s="1" t="s">
        <v>476</v>
      </c>
      <c r="C1661" s="1" t="s">
        <v>21</v>
      </c>
      <c r="D1661" s="1" t="s">
        <v>15</v>
      </c>
      <c r="E1661" s="1" t="s">
        <v>16</v>
      </c>
      <c r="F1661" s="1" t="s">
        <v>17</v>
      </c>
      <c r="G1661" s="1" t="s">
        <v>189</v>
      </c>
      <c r="H1661" s="1" t="s">
        <v>25</v>
      </c>
      <c r="I1661" s="1">
        <v>4</v>
      </c>
      <c r="J1661" s="1">
        <v>288</v>
      </c>
      <c r="K1661" s="1">
        <v>0.03</v>
      </c>
      <c r="L1661" s="1">
        <v>1117.44</v>
      </c>
      <c r="M1661" s="1" t="str">
        <f t="shared" si="50"/>
        <v>Marketplace</v>
      </c>
      <c r="N1661" s="1">
        <f t="shared" si="51"/>
        <v>405</v>
      </c>
    </row>
    <row r="1662" spans="1:14" x14ac:dyDescent="0.3">
      <c r="A1662" s="1" t="s">
        <v>479</v>
      </c>
      <c r="B1662" s="1" t="s">
        <v>476</v>
      </c>
      <c r="C1662" s="1" t="s">
        <v>61</v>
      </c>
      <c r="D1662" s="1" t="s">
        <v>27</v>
      </c>
      <c r="E1662" s="1" t="s">
        <v>28</v>
      </c>
      <c r="F1662" s="1" t="s">
        <v>36</v>
      </c>
      <c r="G1662" s="1" t="s">
        <v>119</v>
      </c>
      <c r="H1662" s="1" t="s">
        <v>112</v>
      </c>
      <c r="I1662" s="1">
        <v>2</v>
      </c>
      <c r="J1662" s="1">
        <v>630</v>
      </c>
      <c r="K1662" s="1">
        <v>0.1</v>
      </c>
      <c r="L1662" s="1">
        <v>1134</v>
      </c>
      <c r="M1662" s="1" t="str">
        <f t="shared" si="50"/>
        <v>Online</v>
      </c>
      <c r="N1662" s="1">
        <f t="shared" si="51"/>
        <v>62.01</v>
      </c>
    </row>
    <row r="1663" spans="1:14" x14ac:dyDescent="0.3">
      <c r="A1663" s="1" t="s">
        <v>480</v>
      </c>
      <c r="B1663" s="1" t="s">
        <v>476</v>
      </c>
      <c r="C1663" s="1" t="s">
        <v>14</v>
      </c>
      <c r="D1663" s="1" t="s">
        <v>27</v>
      </c>
      <c r="E1663" s="1" t="s">
        <v>28</v>
      </c>
      <c r="F1663" s="1" t="s">
        <v>42</v>
      </c>
      <c r="G1663" s="1" t="s">
        <v>43</v>
      </c>
      <c r="H1663" s="1" t="s">
        <v>19</v>
      </c>
      <c r="I1663" s="1">
        <v>3</v>
      </c>
      <c r="J1663" s="1">
        <v>162</v>
      </c>
      <c r="K1663" s="1">
        <v>0.05</v>
      </c>
      <c r="L1663" s="1">
        <v>461.7</v>
      </c>
      <c r="M1663" s="1" t="str">
        <f t="shared" si="50"/>
        <v>Retail Store</v>
      </c>
      <c r="N1663" s="1">
        <f t="shared" si="51"/>
        <v>16.2</v>
      </c>
    </row>
    <row r="1664" spans="1:14" x14ac:dyDescent="0.3">
      <c r="A1664" s="1" t="s">
        <v>481</v>
      </c>
      <c r="B1664" s="1" t="s">
        <v>476</v>
      </c>
      <c r="C1664" s="1" t="s">
        <v>54</v>
      </c>
      <c r="D1664" s="1" t="s">
        <v>22</v>
      </c>
      <c r="E1664" s="1" t="s">
        <v>16</v>
      </c>
      <c r="F1664" s="1" t="s">
        <v>17</v>
      </c>
      <c r="G1664" s="1" t="s">
        <v>62</v>
      </c>
      <c r="H1664" s="1" t="s">
        <v>56</v>
      </c>
      <c r="I1664" s="1">
        <v>2</v>
      </c>
      <c r="J1664" s="1">
        <v>54</v>
      </c>
      <c r="K1664" s="1">
        <v>0.03</v>
      </c>
      <c r="L1664" s="1">
        <v>104.76</v>
      </c>
      <c r="M1664" s="1" t="str">
        <f t="shared" si="50"/>
        <v>Online</v>
      </c>
      <c r="N1664" s="1">
        <f t="shared" si="51"/>
        <v>267.12</v>
      </c>
    </row>
    <row r="1665" spans="1:14" x14ac:dyDescent="0.3">
      <c r="A1665" s="1" t="s">
        <v>482</v>
      </c>
      <c r="B1665" s="1" t="s">
        <v>476</v>
      </c>
      <c r="C1665" s="1" t="s">
        <v>14</v>
      </c>
      <c r="D1665" s="1" t="s">
        <v>22</v>
      </c>
      <c r="E1665" s="1" t="s">
        <v>28</v>
      </c>
      <c r="F1665" s="1" t="s">
        <v>36</v>
      </c>
      <c r="G1665" s="1" t="s">
        <v>70</v>
      </c>
      <c r="H1665" s="1" t="s">
        <v>31</v>
      </c>
      <c r="I1665" s="1">
        <v>2</v>
      </c>
      <c r="J1665" s="1">
        <v>532.44000000000005</v>
      </c>
      <c r="K1665" s="1">
        <v>0.1</v>
      </c>
      <c r="L1665" s="1">
        <v>958.39</v>
      </c>
      <c r="M1665" s="1" t="str">
        <f t="shared" si="50"/>
        <v>Online</v>
      </c>
      <c r="N1665" s="1">
        <f t="shared" si="51"/>
        <v>16.2</v>
      </c>
    </row>
    <row r="1666" spans="1:14" x14ac:dyDescent="0.3">
      <c r="A1666" s="1" t="s">
        <v>467</v>
      </c>
      <c r="B1666" s="1" t="s">
        <v>468</v>
      </c>
      <c r="C1666" s="1" t="s">
        <v>61</v>
      </c>
      <c r="D1666" s="1" t="s">
        <v>15</v>
      </c>
      <c r="E1666" s="1" t="s">
        <v>16</v>
      </c>
      <c r="F1666" s="1" t="s">
        <v>82</v>
      </c>
      <c r="G1666" s="1" t="s">
        <v>83</v>
      </c>
      <c r="H1666" s="1" t="s">
        <v>63</v>
      </c>
      <c r="I1666" s="1">
        <v>2</v>
      </c>
      <c r="J1666" s="1">
        <v>3780</v>
      </c>
      <c r="K1666" s="1">
        <v>0.08</v>
      </c>
      <c r="L1666" s="1">
        <v>6955.2</v>
      </c>
      <c r="M1666" s="1" t="str">
        <f t="shared" ref="M1666:M1729" si="52">INDEX(D:D,MATCH(H1666,H:H,0))</f>
        <v>Retail Store</v>
      </c>
      <c r="N1666" s="1">
        <f t="shared" ref="N1666:N1729" si="53">VLOOKUP(C:C,C:J,8,FALSE)</f>
        <v>62.01</v>
      </c>
    </row>
    <row r="1667" spans="1:14" x14ac:dyDescent="0.3">
      <c r="A1667" s="1" t="s">
        <v>469</v>
      </c>
      <c r="B1667" s="1" t="s">
        <v>468</v>
      </c>
      <c r="C1667" s="1" t="s">
        <v>47</v>
      </c>
      <c r="D1667" s="1" t="s">
        <v>35</v>
      </c>
      <c r="E1667" s="1" t="s">
        <v>28</v>
      </c>
      <c r="F1667" s="1" t="s">
        <v>36</v>
      </c>
      <c r="G1667" s="1" t="s">
        <v>77</v>
      </c>
      <c r="H1667" s="1" t="s">
        <v>58</v>
      </c>
      <c r="I1667" s="1">
        <v>2</v>
      </c>
      <c r="J1667" s="1">
        <v>1309.5</v>
      </c>
      <c r="K1667" s="1">
        <v>0.03</v>
      </c>
      <c r="L1667" s="1">
        <v>2540.4299999999998</v>
      </c>
      <c r="M1667" s="1" t="str">
        <f t="shared" si="52"/>
        <v>Corporate Sales</v>
      </c>
      <c r="N1667" s="1">
        <f t="shared" si="53"/>
        <v>421.2</v>
      </c>
    </row>
    <row r="1668" spans="1:14" x14ac:dyDescent="0.3">
      <c r="A1668" s="1" t="s">
        <v>470</v>
      </c>
      <c r="B1668" s="1" t="s">
        <v>468</v>
      </c>
      <c r="C1668" s="1" t="s">
        <v>14</v>
      </c>
      <c r="D1668" s="1" t="s">
        <v>22</v>
      </c>
      <c r="E1668" s="1" t="s">
        <v>16</v>
      </c>
      <c r="F1668" s="1" t="s">
        <v>17</v>
      </c>
      <c r="G1668" s="1" t="s">
        <v>98</v>
      </c>
      <c r="H1668" s="1" t="s">
        <v>19</v>
      </c>
      <c r="I1668" s="1">
        <v>4</v>
      </c>
      <c r="J1668" s="1">
        <v>429.3</v>
      </c>
      <c r="K1668" s="1">
        <v>0.2</v>
      </c>
      <c r="L1668" s="1">
        <v>1373.76</v>
      </c>
      <c r="M1668" s="1" t="str">
        <f t="shared" si="52"/>
        <v>Retail Store</v>
      </c>
      <c r="N1668" s="1">
        <f t="shared" si="53"/>
        <v>16.2</v>
      </c>
    </row>
    <row r="1669" spans="1:14" x14ac:dyDescent="0.3">
      <c r="A1669" s="1" t="s">
        <v>471</v>
      </c>
      <c r="B1669" s="1" t="s">
        <v>468</v>
      </c>
      <c r="C1669" s="1" t="s">
        <v>14</v>
      </c>
      <c r="D1669" s="1" t="s">
        <v>27</v>
      </c>
      <c r="E1669" s="1" t="s">
        <v>16</v>
      </c>
      <c r="F1669" s="1" t="s">
        <v>82</v>
      </c>
      <c r="G1669" s="1" t="s">
        <v>114</v>
      </c>
      <c r="H1669" s="1" t="s">
        <v>40</v>
      </c>
      <c r="I1669" s="1">
        <v>3</v>
      </c>
      <c r="J1669" s="1">
        <v>2250</v>
      </c>
      <c r="K1669" s="1">
        <v>0.1</v>
      </c>
      <c r="L1669" s="1">
        <v>6075</v>
      </c>
      <c r="M1669" s="1" t="str">
        <f t="shared" si="52"/>
        <v>Online</v>
      </c>
      <c r="N1669" s="1">
        <f t="shared" si="53"/>
        <v>16.2</v>
      </c>
    </row>
    <row r="1670" spans="1:14" x14ac:dyDescent="0.3">
      <c r="A1670" s="1" t="s">
        <v>472</v>
      </c>
      <c r="B1670" s="1" t="s">
        <v>468</v>
      </c>
      <c r="C1670" s="1" t="s">
        <v>54</v>
      </c>
      <c r="D1670" s="1" t="s">
        <v>15</v>
      </c>
      <c r="E1670" s="1" t="s">
        <v>16</v>
      </c>
      <c r="F1670" s="1" t="s">
        <v>17</v>
      </c>
      <c r="G1670" s="1" t="s">
        <v>62</v>
      </c>
      <c r="H1670" s="1" t="s">
        <v>56</v>
      </c>
      <c r="I1670" s="1">
        <v>3</v>
      </c>
      <c r="J1670" s="1">
        <v>54</v>
      </c>
      <c r="K1670" s="1">
        <v>0</v>
      </c>
      <c r="L1670" s="1">
        <v>162</v>
      </c>
      <c r="M1670" s="1" t="str">
        <f t="shared" si="52"/>
        <v>Online</v>
      </c>
      <c r="N1670" s="1">
        <f t="shared" si="53"/>
        <v>267.12</v>
      </c>
    </row>
    <row r="1671" spans="1:14" x14ac:dyDescent="0.3">
      <c r="A1671" s="1" t="s">
        <v>473</v>
      </c>
      <c r="B1671" s="1" t="s">
        <v>468</v>
      </c>
      <c r="C1671" s="1" t="s">
        <v>21</v>
      </c>
      <c r="D1671" s="1" t="s">
        <v>15</v>
      </c>
      <c r="E1671" s="1" t="s">
        <v>16</v>
      </c>
      <c r="F1671" s="1" t="s">
        <v>36</v>
      </c>
      <c r="G1671" s="1" t="s">
        <v>119</v>
      </c>
      <c r="H1671" s="1" t="s">
        <v>25</v>
      </c>
      <c r="I1671" s="1">
        <v>2</v>
      </c>
      <c r="J1671" s="1">
        <v>667.8</v>
      </c>
      <c r="K1671" s="1">
        <v>0.08</v>
      </c>
      <c r="L1671" s="1">
        <v>1228.75</v>
      </c>
      <c r="M1671" s="1" t="str">
        <f t="shared" si="52"/>
        <v>Marketplace</v>
      </c>
      <c r="N1671" s="1">
        <f t="shared" si="53"/>
        <v>405</v>
      </c>
    </row>
    <row r="1672" spans="1:14" x14ac:dyDescent="0.3">
      <c r="A1672" s="1" t="s">
        <v>474</v>
      </c>
      <c r="B1672" s="1" t="s">
        <v>468</v>
      </c>
      <c r="C1672" s="1" t="s">
        <v>14</v>
      </c>
      <c r="D1672" s="1" t="s">
        <v>15</v>
      </c>
      <c r="E1672" s="1" t="s">
        <v>16</v>
      </c>
      <c r="F1672" s="1" t="s">
        <v>29</v>
      </c>
      <c r="G1672" s="1" t="s">
        <v>55</v>
      </c>
      <c r="H1672" s="1" t="s">
        <v>40</v>
      </c>
      <c r="I1672" s="1">
        <v>4</v>
      </c>
      <c r="J1672" s="1">
        <v>35.57</v>
      </c>
      <c r="K1672" s="1">
        <v>0.1</v>
      </c>
      <c r="L1672" s="1">
        <v>128.04</v>
      </c>
      <c r="M1672" s="1" t="str">
        <f t="shared" si="52"/>
        <v>Online</v>
      </c>
      <c r="N1672" s="1">
        <f t="shared" si="53"/>
        <v>16.2</v>
      </c>
    </row>
    <row r="1673" spans="1:14" x14ac:dyDescent="0.3">
      <c r="A1673" s="1" t="s">
        <v>463</v>
      </c>
      <c r="B1673" s="1" t="s">
        <v>464</v>
      </c>
      <c r="C1673" s="1" t="s">
        <v>47</v>
      </c>
      <c r="D1673" s="1" t="s">
        <v>15</v>
      </c>
      <c r="E1673" s="1" t="s">
        <v>28</v>
      </c>
      <c r="F1673" s="1" t="s">
        <v>42</v>
      </c>
      <c r="G1673" s="1" t="s">
        <v>65</v>
      </c>
      <c r="H1673" s="1" t="s">
        <v>58</v>
      </c>
      <c r="I1673" s="1">
        <v>2</v>
      </c>
      <c r="J1673" s="1">
        <v>641.25</v>
      </c>
      <c r="K1673" s="1">
        <v>0.05</v>
      </c>
      <c r="L1673" s="1">
        <v>1218.3800000000001</v>
      </c>
      <c r="M1673" s="1" t="str">
        <f t="shared" si="52"/>
        <v>Corporate Sales</v>
      </c>
      <c r="N1673" s="1">
        <f t="shared" si="53"/>
        <v>421.2</v>
      </c>
    </row>
    <row r="1674" spans="1:14" x14ac:dyDescent="0.3">
      <c r="A1674" s="1" t="s">
        <v>465</v>
      </c>
      <c r="B1674" s="1" t="s">
        <v>464</v>
      </c>
      <c r="C1674" s="1" t="s">
        <v>14</v>
      </c>
      <c r="D1674" s="1" t="s">
        <v>22</v>
      </c>
      <c r="E1674" s="1" t="s">
        <v>16</v>
      </c>
      <c r="F1674" s="1" t="s">
        <v>29</v>
      </c>
      <c r="G1674" s="1" t="s">
        <v>33</v>
      </c>
      <c r="H1674" s="1" t="s">
        <v>19</v>
      </c>
      <c r="I1674" s="1">
        <v>3</v>
      </c>
      <c r="J1674" s="1">
        <v>13.5</v>
      </c>
      <c r="K1674" s="1">
        <v>0.05</v>
      </c>
      <c r="L1674" s="1">
        <v>38.479999999999997</v>
      </c>
      <c r="M1674" s="1" t="str">
        <f t="shared" si="52"/>
        <v>Retail Store</v>
      </c>
      <c r="N1674" s="1">
        <f t="shared" si="53"/>
        <v>16.2</v>
      </c>
    </row>
    <row r="1675" spans="1:14" x14ac:dyDescent="0.3">
      <c r="A1675" s="1" t="s">
        <v>466</v>
      </c>
      <c r="B1675" s="1" t="s">
        <v>464</v>
      </c>
      <c r="C1675" s="1" t="s">
        <v>47</v>
      </c>
      <c r="D1675" s="1" t="s">
        <v>15</v>
      </c>
      <c r="E1675" s="1" t="s">
        <v>28</v>
      </c>
      <c r="F1675" s="1" t="s">
        <v>36</v>
      </c>
      <c r="G1675" s="1" t="s">
        <v>70</v>
      </c>
      <c r="H1675" s="1" t="s">
        <v>58</v>
      </c>
      <c r="I1675" s="1">
        <v>2</v>
      </c>
      <c r="J1675" s="1">
        <v>553.32000000000005</v>
      </c>
      <c r="K1675" s="1">
        <v>0.08</v>
      </c>
      <c r="L1675" s="1">
        <v>1018.11</v>
      </c>
      <c r="M1675" s="1" t="str">
        <f t="shared" si="52"/>
        <v>Corporate Sales</v>
      </c>
      <c r="N1675" s="1">
        <f t="shared" si="53"/>
        <v>421.2</v>
      </c>
    </row>
    <row r="1676" spans="1:14" x14ac:dyDescent="0.3">
      <c r="A1676" s="1" t="s">
        <v>459</v>
      </c>
      <c r="B1676" s="1" t="s">
        <v>460</v>
      </c>
      <c r="C1676" s="1" t="s">
        <v>14</v>
      </c>
      <c r="D1676" s="1" t="s">
        <v>27</v>
      </c>
      <c r="E1676" s="1" t="s">
        <v>16</v>
      </c>
      <c r="F1676" s="1" t="s">
        <v>82</v>
      </c>
      <c r="G1676" s="1" t="s">
        <v>114</v>
      </c>
      <c r="H1676" s="1" t="s">
        <v>19</v>
      </c>
      <c r="I1676" s="1">
        <v>2</v>
      </c>
      <c r="J1676" s="1">
        <v>2182.5</v>
      </c>
      <c r="K1676" s="1">
        <v>0.03</v>
      </c>
      <c r="L1676" s="1">
        <v>4234.05</v>
      </c>
      <c r="M1676" s="1" t="str">
        <f t="shared" si="52"/>
        <v>Retail Store</v>
      </c>
      <c r="N1676" s="1">
        <f t="shared" si="53"/>
        <v>16.2</v>
      </c>
    </row>
    <row r="1677" spans="1:14" x14ac:dyDescent="0.3">
      <c r="A1677" s="1" t="s">
        <v>461</v>
      </c>
      <c r="B1677" s="1" t="s">
        <v>460</v>
      </c>
      <c r="C1677" s="1" t="s">
        <v>21</v>
      </c>
      <c r="D1677" s="1" t="s">
        <v>15</v>
      </c>
      <c r="E1677" s="1" t="s">
        <v>16</v>
      </c>
      <c r="F1677" s="1" t="s">
        <v>82</v>
      </c>
      <c r="G1677" s="1" t="s">
        <v>83</v>
      </c>
      <c r="H1677" s="1" t="s">
        <v>44</v>
      </c>
      <c r="I1677" s="1">
        <v>3</v>
      </c>
      <c r="J1677" s="1">
        <v>3780</v>
      </c>
      <c r="K1677" s="1">
        <v>0.03</v>
      </c>
      <c r="L1677" s="1">
        <v>10999.8</v>
      </c>
      <c r="M1677" s="1" t="str">
        <f t="shared" si="52"/>
        <v>Retail Store</v>
      </c>
      <c r="N1677" s="1">
        <f t="shared" si="53"/>
        <v>405</v>
      </c>
    </row>
    <row r="1678" spans="1:14" x14ac:dyDescent="0.3">
      <c r="A1678" s="1" t="s">
        <v>462</v>
      </c>
      <c r="B1678" s="1" t="s">
        <v>460</v>
      </c>
      <c r="C1678" s="1" t="s">
        <v>47</v>
      </c>
      <c r="D1678" s="1" t="s">
        <v>27</v>
      </c>
      <c r="E1678" s="1" t="s">
        <v>28</v>
      </c>
      <c r="F1678" s="1" t="s">
        <v>36</v>
      </c>
      <c r="G1678" s="1" t="s">
        <v>37</v>
      </c>
      <c r="H1678" s="1" t="s">
        <v>49</v>
      </c>
      <c r="I1678" s="1">
        <v>5</v>
      </c>
      <c r="J1678" s="1">
        <v>726.75</v>
      </c>
      <c r="K1678" s="1">
        <v>0.1</v>
      </c>
      <c r="L1678" s="1">
        <v>3270.38</v>
      </c>
      <c r="M1678" s="1" t="str">
        <f t="shared" si="52"/>
        <v>Retail Store</v>
      </c>
      <c r="N1678" s="1">
        <f t="shared" si="53"/>
        <v>421.2</v>
      </c>
    </row>
    <row r="1679" spans="1:14" x14ac:dyDescent="0.3">
      <c r="A1679" s="1" t="s">
        <v>446</v>
      </c>
      <c r="B1679" s="1" t="s">
        <v>447</v>
      </c>
      <c r="C1679" s="1" t="s">
        <v>47</v>
      </c>
      <c r="D1679" s="1" t="s">
        <v>27</v>
      </c>
      <c r="E1679" s="1" t="s">
        <v>16</v>
      </c>
      <c r="F1679" s="1" t="s">
        <v>36</v>
      </c>
      <c r="G1679" s="1" t="s">
        <v>70</v>
      </c>
      <c r="H1679" s="1" t="s">
        <v>78</v>
      </c>
      <c r="I1679" s="1">
        <v>5</v>
      </c>
      <c r="J1679" s="1">
        <v>532.44000000000005</v>
      </c>
      <c r="K1679" s="1">
        <v>0.1</v>
      </c>
      <c r="L1679" s="1">
        <v>2395.98</v>
      </c>
      <c r="M1679" s="1" t="str">
        <f t="shared" si="52"/>
        <v>Retail Store</v>
      </c>
      <c r="N1679" s="1">
        <f t="shared" si="53"/>
        <v>421.2</v>
      </c>
    </row>
    <row r="1680" spans="1:14" x14ac:dyDescent="0.3">
      <c r="A1680" s="1" t="s">
        <v>448</v>
      </c>
      <c r="B1680" s="1" t="s">
        <v>447</v>
      </c>
      <c r="C1680" s="1" t="s">
        <v>61</v>
      </c>
      <c r="D1680" s="1" t="s">
        <v>27</v>
      </c>
      <c r="E1680" s="1" t="s">
        <v>16</v>
      </c>
      <c r="F1680" s="1" t="s">
        <v>29</v>
      </c>
      <c r="G1680" s="1" t="s">
        <v>33</v>
      </c>
      <c r="H1680" s="1" t="s">
        <v>63</v>
      </c>
      <c r="I1680" s="1">
        <v>3</v>
      </c>
      <c r="J1680" s="1">
        <v>13.5</v>
      </c>
      <c r="K1680" s="1">
        <v>0.08</v>
      </c>
      <c r="L1680" s="1">
        <v>37.26</v>
      </c>
      <c r="M1680" s="1" t="str">
        <f t="shared" si="52"/>
        <v>Retail Store</v>
      </c>
      <c r="N1680" s="1">
        <f t="shared" si="53"/>
        <v>62.01</v>
      </c>
    </row>
    <row r="1681" spans="1:14" x14ac:dyDescent="0.3">
      <c r="A1681" s="1" t="s">
        <v>449</v>
      </c>
      <c r="B1681" s="1" t="s">
        <v>447</v>
      </c>
      <c r="C1681" s="1" t="s">
        <v>54</v>
      </c>
      <c r="D1681" s="1" t="s">
        <v>27</v>
      </c>
      <c r="E1681" s="1" t="s">
        <v>16</v>
      </c>
      <c r="F1681" s="1" t="s">
        <v>29</v>
      </c>
      <c r="G1681" s="1" t="s">
        <v>39</v>
      </c>
      <c r="H1681" s="1" t="s">
        <v>56</v>
      </c>
      <c r="I1681" s="1">
        <v>3</v>
      </c>
      <c r="J1681" s="1">
        <v>72</v>
      </c>
      <c r="K1681" s="1">
        <v>0.1</v>
      </c>
      <c r="L1681" s="1">
        <v>194.4</v>
      </c>
      <c r="M1681" s="1" t="str">
        <f t="shared" si="52"/>
        <v>Online</v>
      </c>
      <c r="N1681" s="1">
        <f t="shared" si="53"/>
        <v>267.12</v>
      </c>
    </row>
    <row r="1682" spans="1:14" x14ac:dyDescent="0.3">
      <c r="A1682" s="1" t="s">
        <v>450</v>
      </c>
      <c r="B1682" s="1" t="s">
        <v>447</v>
      </c>
      <c r="C1682" s="1" t="s">
        <v>47</v>
      </c>
      <c r="D1682" s="1" t="s">
        <v>27</v>
      </c>
      <c r="E1682" s="1" t="s">
        <v>16</v>
      </c>
      <c r="F1682" s="1" t="s">
        <v>23</v>
      </c>
      <c r="G1682" s="1" t="s">
        <v>24</v>
      </c>
      <c r="H1682" s="1" t="s">
        <v>78</v>
      </c>
      <c r="I1682" s="1">
        <v>8</v>
      </c>
      <c r="J1682" s="1">
        <v>22.5</v>
      </c>
      <c r="K1682" s="1">
        <v>0.1</v>
      </c>
      <c r="L1682" s="1">
        <v>162</v>
      </c>
      <c r="M1682" s="1" t="str">
        <f t="shared" si="52"/>
        <v>Retail Store</v>
      </c>
      <c r="N1682" s="1">
        <f t="shared" si="53"/>
        <v>421.2</v>
      </c>
    </row>
    <row r="1683" spans="1:14" x14ac:dyDescent="0.3">
      <c r="A1683" s="1" t="s">
        <v>451</v>
      </c>
      <c r="B1683" s="1" t="s">
        <v>447</v>
      </c>
      <c r="C1683" s="1" t="s">
        <v>21</v>
      </c>
      <c r="D1683" s="1" t="s">
        <v>15</v>
      </c>
      <c r="E1683" s="1" t="s">
        <v>16</v>
      </c>
      <c r="F1683" s="1" t="s">
        <v>23</v>
      </c>
      <c r="G1683" s="1" t="s">
        <v>178</v>
      </c>
      <c r="H1683" s="1" t="s">
        <v>86</v>
      </c>
      <c r="I1683" s="1">
        <v>2</v>
      </c>
      <c r="J1683" s="1">
        <v>32.130000000000003</v>
      </c>
      <c r="K1683" s="1">
        <v>0.1</v>
      </c>
      <c r="L1683" s="1">
        <v>57.83</v>
      </c>
      <c r="M1683" s="1" t="str">
        <f t="shared" si="52"/>
        <v>Online</v>
      </c>
      <c r="N1683" s="1">
        <f t="shared" si="53"/>
        <v>405</v>
      </c>
    </row>
    <row r="1684" spans="1:14" x14ac:dyDescent="0.3">
      <c r="A1684" s="1" t="s">
        <v>452</v>
      </c>
      <c r="B1684" s="1" t="s">
        <v>447</v>
      </c>
      <c r="C1684" s="1" t="s">
        <v>21</v>
      </c>
      <c r="D1684" s="1" t="s">
        <v>27</v>
      </c>
      <c r="E1684" s="1" t="s">
        <v>16</v>
      </c>
      <c r="F1684" s="1" t="s">
        <v>29</v>
      </c>
      <c r="G1684" s="1" t="s">
        <v>88</v>
      </c>
      <c r="H1684" s="1" t="s">
        <v>86</v>
      </c>
      <c r="I1684" s="1">
        <v>3</v>
      </c>
      <c r="J1684" s="1">
        <v>58.5</v>
      </c>
      <c r="K1684" s="1">
        <v>0.1</v>
      </c>
      <c r="L1684" s="1">
        <v>157.94999999999999</v>
      </c>
      <c r="M1684" s="1" t="str">
        <f t="shared" si="52"/>
        <v>Online</v>
      </c>
      <c r="N1684" s="1">
        <f t="shared" si="53"/>
        <v>405</v>
      </c>
    </row>
    <row r="1685" spans="1:14" x14ac:dyDescent="0.3">
      <c r="A1685" s="1" t="s">
        <v>453</v>
      </c>
      <c r="B1685" s="1" t="s">
        <v>447</v>
      </c>
      <c r="C1685" s="1" t="s">
        <v>47</v>
      </c>
      <c r="D1685" s="1" t="s">
        <v>22</v>
      </c>
      <c r="E1685" s="1" t="s">
        <v>16</v>
      </c>
      <c r="F1685" s="1" t="s">
        <v>42</v>
      </c>
      <c r="G1685" s="1" t="s">
        <v>67</v>
      </c>
      <c r="H1685" s="1" t="s">
        <v>49</v>
      </c>
      <c r="I1685" s="1">
        <v>2</v>
      </c>
      <c r="J1685" s="1">
        <v>257.04000000000002</v>
      </c>
      <c r="K1685" s="1">
        <v>0.03</v>
      </c>
      <c r="L1685" s="1">
        <v>498.66</v>
      </c>
      <c r="M1685" s="1" t="str">
        <f t="shared" si="52"/>
        <v>Retail Store</v>
      </c>
      <c r="N1685" s="1">
        <f t="shared" si="53"/>
        <v>421.2</v>
      </c>
    </row>
    <row r="1686" spans="1:14" x14ac:dyDescent="0.3">
      <c r="A1686" s="1" t="s">
        <v>454</v>
      </c>
      <c r="B1686" s="1" t="s">
        <v>447</v>
      </c>
      <c r="C1686" s="1" t="s">
        <v>61</v>
      </c>
      <c r="D1686" s="1" t="s">
        <v>15</v>
      </c>
      <c r="E1686" s="1" t="s">
        <v>16</v>
      </c>
      <c r="F1686" s="1" t="s">
        <v>82</v>
      </c>
      <c r="G1686" s="1" t="s">
        <v>83</v>
      </c>
      <c r="H1686" s="1" t="s">
        <v>73</v>
      </c>
      <c r="I1686" s="1">
        <v>2</v>
      </c>
      <c r="J1686" s="1">
        <v>3591</v>
      </c>
      <c r="K1686" s="1">
        <v>0.03</v>
      </c>
      <c r="L1686" s="1">
        <v>6966.54</v>
      </c>
      <c r="M1686" s="1" t="str">
        <f t="shared" si="52"/>
        <v>Online</v>
      </c>
      <c r="N1686" s="1">
        <f t="shared" si="53"/>
        <v>62.01</v>
      </c>
    </row>
    <row r="1687" spans="1:14" x14ac:dyDescent="0.3">
      <c r="A1687" s="1" t="s">
        <v>455</v>
      </c>
      <c r="B1687" s="1" t="s">
        <v>447</v>
      </c>
      <c r="C1687" s="1" t="s">
        <v>61</v>
      </c>
      <c r="D1687" s="1" t="s">
        <v>15</v>
      </c>
      <c r="E1687" s="1" t="s">
        <v>28</v>
      </c>
      <c r="F1687" s="1" t="s">
        <v>23</v>
      </c>
      <c r="G1687" s="1" t="s">
        <v>103</v>
      </c>
      <c r="H1687" s="1" t="s">
        <v>73</v>
      </c>
      <c r="I1687" s="1">
        <v>3</v>
      </c>
      <c r="J1687" s="1">
        <v>11.45</v>
      </c>
      <c r="K1687" s="1">
        <v>0.1</v>
      </c>
      <c r="L1687" s="1">
        <v>30.91</v>
      </c>
      <c r="M1687" s="1" t="str">
        <f t="shared" si="52"/>
        <v>Online</v>
      </c>
      <c r="N1687" s="1">
        <f t="shared" si="53"/>
        <v>62.01</v>
      </c>
    </row>
    <row r="1688" spans="1:14" x14ac:dyDescent="0.3">
      <c r="A1688" s="1" t="s">
        <v>456</v>
      </c>
      <c r="B1688" s="1" t="s">
        <v>447</v>
      </c>
      <c r="C1688" s="1" t="s">
        <v>47</v>
      </c>
      <c r="D1688" s="1" t="s">
        <v>15</v>
      </c>
      <c r="E1688" s="1" t="s">
        <v>16</v>
      </c>
      <c r="F1688" s="1" t="s">
        <v>17</v>
      </c>
      <c r="G1688" s="1" t="s">
        <v>189</v>
      </c>
      <c r="H1688" s="1" t="s">
        <v>49</v>
      </c>
      <c r="I1688" s="1">
        <v>2</v>
      </c>
      <c r="J1688" s="1">
        <v>299.52</v>
      </c>
      <c r="K1688" s="1">
        <v>0.2</v>
      </c>
      <c r="L1688" s="1">
        <v>479.23</v>
      </c>
      <c r="M1688" s="1" t="str">
        <f t="shared" si="52"/>
        <v>Retail Store</v>
      </c>
      <c r="N1688" s="1">
        <f t="shared" si="53"/>
        <v>421.2</v>
      </c>
    </row>
    <row r="1689" spans="1:14" x14ac:dyDescent="0.3">
      <c r="A1689" s="1" t="s">
        <v>457</v>
      </c>
      <c r="B1689" s="1" t="s">
        <v>447</v>
      </c>
      <c r="C1689" s="1" t="s">
        <v>54</v>
      </c>
      <c r="D1689" s="1" t="s">
        <v>15</v>
      </c>
      <c r="E1689" s="1" t="s">
        <v>16</v>
      </c>
      <c r="F1689" s="1" t="s">
        <v>36</v>
      </c>
      <c r="G1689" s="1" t="s">
        <v>77</v>
      </c>
      <c r="H1689" s="1" t="s">
        <v>80</v>
      </c>
      <c r="I1689" s="1">
        <v>3</v>
      </c>
      <c r="J1689" s="1">
        <v>1350</v>
      </c>
      <c r="K1689" s="1">
        <v>0.15</v>
      </c>
      <c r="L1689" s="1">
        <v>3442.5</v>
      </c>
      <c r="M1689" s="1" t="str">
        <f t="shared" si="52"/>
        <v>Marketplace</v>
      </c>
      <c r="N1689" s="1">
        <f t="shared" si="53"/>
        <v>267.12</v>
      </c>
    </row>
    <row r="1690" spans="1:14" x14ac:dyDescent="0.3">
      <c r="A1690" s="1" t="s">
        <v>458</v>
      </c>
      <c r="B1690" s="1" t="s">
        <v>447</v>
      </c>
      <c r="C1690" s="1" t="s">
        <v>61</v>
      </c>
      <c r="D1690" s="1" t="s">
        <v>22</v>
      </c>
      <c r="E1690" s="1" t="s">
        <v>16</v>
      </c>
      <c r="F1690" s="1" t="s">
        <v>29</v>
      </c>
      <c r="G1690" s="1" t="s">
        <v>33</v>
      </c>
      <c r="H1690" s="1" t="s">
        <v>73</v>
      </c>
      <c r="I1690" s="1">
        <v>2</v>
      </c>
      <c r="J1690" s="1">
        <v>13.77</v>
      </c>
      <c r="K1690" s="1">
        <v>0.08</v>
      </c>
      <c r="L1690" s="1">
        <v>25.34</v>
      </c>
      <c r="M1690" s="1" t="str">
        <f t="shared" si="52"/>
        <v>Online</v>
      </c>
      <c r="N1690" s="1">
        <f t="shared" si="53"/>
        <v>62.01</v>
      </c>
    </row>
    <row r="1691" spans="1:14" x14ac:dyDescent="0.3">
      <c r="A1691" s="1" t="s">
        <v>440</v>
      </c>
      <c r="B1691" s="1" t="s">
        <v>441</v>
      </c>
      <c r="C1691" s="1" t="s">
        <v>61</v>
      </c>
      <c r="D1691" s="1" t="s">
        <v>35</v>
      </c>
      <c r="E1691" s="1" t="s">
        <v>16</v>
      </c>
      <c r="F1691" s="1" t="s">
        <v>29</v>
      </c>
      <c r="G1691" s="1" t="s">
        <v>51</v>
      </c>
      <c r="H1691" s="1" t="s">
        <v>112</v>
      </c>
      <c r="I1691" s="1">
        <v>9</v>
      </c>
      <c r="J1691" s="1">
        <v>40.5</v>
      </c>
      <c r="K1691" s="1">
        <v>0.15</v>
      </c>
      <c r="L1691" s="1">
        <v>309.83</v>
      </c>
      <c r="M1691" s="1" t="str">
        <f t="shared" si="52"/>
        <v>Online</v>
      </c>
      <c r="N1691" s="1">
        <f t="shared" si="53"/>
        <v>62.01</v>
      </c>
    </row>
    <row r="1692" spans="1:14" x14ac:dyDescent="0.3">
      <c r="A1692" s="1" t="s">
        <v>442</v>
      </c>
      <c r="B1692" s="1" t="s">
        <v>441</v>
      </c>
      <c r="C1692" s="1" t="s">
        <v>61</v>
      </c>
      <c r="D1692" s="1" t="s">
        <v>22</v>
      </c>
      <c r="E1692" s="1" t="s">
        <v>16</v>
      </c>
      <c r="F1692" s="1" t="s">
        <v>29</v>
      </c>
      <c r="G1692" s="1" t="s">
        <v>55</v>
      </c>
      <c r="H1692" s="1" t="s">
        <v>63</v>
      </c>
      <c r="I1692" s="1">
        <v>7</v>
      </c>
      <c r="J1692" s="1">
        <v>34.200000000000003</v>
      </c>
      <c r="K1692" s="1">
        <v>0.08</v>
      </c>
      <c r="L1692" s="1">
        <v>220.25</v>
      </c>
      <c r="M1692" s="1" t="str">
        <f t="shared" si="52"/>
        <v>Retail Store</v>
      </c>
      <c r="N1692" s="1">
        <f t="shared" si="53"/>
        <v>62.01</v>
      </c>
    </row>
    <row r="1693" spans="1:14" x14ac:dyDescent="0.3">
      <c r="A1693" s="1" t="s">
        <v>443</v>
      </c>
      <c r="B1693" s="1" t="s">
        <v>441</v>
      </c>
      <c r="C1693" s="1" t="s">
        <v>21</v>
      </c>
      <c r="D1693" s="1" t="s">
        <v>27</v>
      </c>
      <c r="E1693" s="1" t="s">
        <v>16</v>
      </c>
      <c r="F1693" s="1" t="s">
        <v>82</v>
      </c>
      <c r="G1693" s="1" t="s">
        <v>83</v>
      </c>
      <c r="H1693" s="1" t="s">
        <v>86</v>
      </c>
      <c r="I1693" s="1">
        <v>3</v>
      </c>
      <c r="J1693" s="1">
        <v>3591</v>
      </c>
      <c r="K1693" s="1">
        <v>0.05</v>
      </c>
      <c r="L1693" s="1">
        <v>10234.35</v>
      </c>
      <c r="M1693" s="1" t="str">
        <f t="shared" si="52"/>
        <v>Online</v>
      </c>
      <c r="N1693" s="1">
        <f t="shared" si="53"/>
        <v>405</v>
      </c>
    </row>
    <row r="1694" spans="1:14" x14ac:dyDescent="0.3">
      <c r="A1694" s="1" t="s">
        <v>444</v>
      </c>
      <c r="B1694" s="1" t="s">
        <v>441</v>
      </c>
      <c r="C1694" s="1" t="s">
        <v>21</v>
      </c>
      <c r="D1694" s="1" t="s">
        <v>22</v>
      </c>
      <c r="E1694" s="1" t="s">
        <v>16</v>
      </c>
      <c r="F1694" s="1" t="s">
        <v>42</v>
      </c>
      <c r="G1694" s="1" t="s">
        <v>48</v>
      </c>
      <c r="H1694" s="1" t="s">
        <v>44</v>
      </c>
      <c r="I1694" s="1">
        <v>6</v>
      </c>
      <c r="J1694" s="1">
        <v>17.100000000000001</v>
      </c>
      <c r="K1694" s="1">
        <v>0.15</v>
      </c>
      <c r="L1694" s="1">
        <v>87.21</v>
      </c>
      <c r="M1694" s="1" t="str">
        <f t="shared" si="52"/>
        <v>Retail Store</v>
      </c>
      <c r="N1694" s="1">
        <f t="shared" si="53"/>
        <v>405</v>
      </c>
    </row>
    <row r="1695" spans="1:14" x14ac:dyDescent="0.3">
      <c r="A1695" s="1" t="s">
        <v>445</v>
      </c>
      <c r="B1695" s="1" t="s">
        <v>441</v>
      </c>
      <c r="C1695" s="1" t="s">
        <v>54</v>
      </c>
      <c r="D1695" s="1" t="s">
        <v>22</v>
      </c>
      <c r="E1695" s="1" t="s">
        <v>16</v>
      </c>
      <c r="F1695" s="1" t="s">
        <v>23</v>
      </c>
      <c r="G1695" s="1" t="s">
        <v>142</v>
      </c>
      <c r="H1695" s="1" t="s">
        <v>56</v>
      </c>
      <c r="I1695" s="1">
        <v>3</v>
      </c>
      <c r="J1695" s="1">
        <v>16.2</v>
      </c>
      <c r="K1695" s="1">
        <v>0.05</v>
      </c>
      <c r="L1695" s="1">
        <v>46.17</v>
      </c>
      <c r="M1695" s="1" t="str">
        <f t="shared" si="52"/>
        <v>Online</v>
      </c>
      <c r="N1695" s="1">
        <f t="shared" si="53"/>
        <v>267.12</v>
      </c>
    </row>
    <row r="1696" spans="1:14" x14ac:dyDescent="0.3">
      <c r="A1696" s="1" t="s">
        <v>434</v>
      </c>
      <c r="B1696" s="1" t="s">
        <v>435</v>
      </c>
      <c r="C1696" s="1" t="s">
        <v>21</v>
      </c>
      <c r="D1696" s="1" t="s">
        <v>15</v>
      </c>
      <c r="E1696" s="1" t="s">
        <v>16</v>
      </c>
      <c r="F1696" s="1" t="s">
        <v>29</v>
      </c>
      <c r="G1696" s="1" t="s">
        <v>39</v>
      </c>
      <c r="H1696" s="1" t="s">
        <v>86</v>
      </c>
      <c r="I1696" s="1">
        <v>2</v>
      </c>
      <c r="J1696" s="1">
        <v>72</v>
      </c>
      <c r="K1696" s="1">
        <v>0.15</v>
      </c>
      <c r="L1696" s="1">
        <v>122.4</v>
      </c>
      <c r="M1696" s="1" t="str">
        <f t="shared" si="52"/>
        <v>Online</v>
      </c>
      <c r="N1696" s="1">
        <f t="shared" si="53"/>
        <v>405</v>
      </c>
    </row>
    <row r="1697" spans="1:14" x14ac:dyDescent="0.3">
      <c r="A1697" s="1" t="s">
        <v>436</v>
      </c>
      <c r="B1697" s="1" t="s">
        <v>435</v>
      </c>
      <c r="C1697" s="1" t="s">
        <v>21</v>
      </c>
      <c r="D1697" s="1" t="s">
        <v>35</v>
      </c>
      <c r="E1697" s="1" t="s">
        <v>28</v>
      </c>
      <c r="F1697" s="1" t="s">
        <v>82</v>
      </c>
      <c r="G1697" s="1" t="s">
        <v>114</v>
      </c>
      <c r="H1697" s="1" t="s">
        <v>25</v>
      </c>
      <c r="I1697" s="1">
        <v>2</v>
      </c>
      <c r="J1697" s="1">
        <v>2250</v>
      </c>
      <c r="K1697" s="1">
        <v>0.08</v>
      </c>
      <c r="L1697" s="1">
        <v>4140</v>
      </c>
      <c r="M1697" s="1" t="str">
        <f t="shared" si="52"/>
        <v>Marketplace</v>
      </c>
      <c r="N1697" s="1">
        <f t="shared" si="53"/>
        <v>405</v>
      </c>
    </row>
    <row r="1698" spans="1:14" x14ac:dyDescent="0.3">
      <c r="A1698" s="1" t="s">
        <v>437</v>
      </c>
      <c r="B1698" s="1" t="s">
        <v>435</v>
      </c>
      <c r="C1698" s="1" t="s">
        <v>47</v>
      </c>
      <c r="D1698" s="1" t="s">
        <v>15</v>
      </c>
      <c r="E1698" s="1" t="s">
        <v>28</v>
      </c>
      <c r="F1698" s="1" t="s">
        <v>17</v>
      </c>
      <c r="G1698" s="1" t="s">
        <v>189</v>
      </c>
      <c r="H1698" s="1" t="s">
        <v>49</v>
      </c>
      <c r="I1698" s="1">
        <v>5</v>
      </c>
      <c r="J1698" s="1">
        <v>305.27999999999997</v>
      </c>
      <c r="K1698" s="1">
        <v>0.1</v>
      </c>
      <c r="L1698" s="1">
        <v>1373.76</v>
      </c>
      <c r="M1698" s="1" t="str">
        <f t="shared" si="52"/>
        <v>Retail Store</v>
      </c>
      <c r="N1698" s="1">
        <f t="shared" si="53"/>
        <v>421.2</v>
      </c>
    </row>
    <row r="1699" spans="1:14" x14ac:dyDescent="0.3">
      <c r="A1699" s="1" t="s">
        <v>438</v>
      </c>
      <c r="B1699" s="1" t="s">
        <v>435</v>
      </c>
      <c r="C1699" s="1" t="s">
        <v>61</v>
      </c>
      <c r="D1699" s="1" t="s">
        <v>15</v>
      </c>
      <c r="E1699" s="1" t="s">
        <v>16</v>
      </c>
      <c r="F1699" s="1" t="s">
        <v>82</v>
      </c>
      <c r="G1699" s="1" t="s">
        <v>85</v>
      </c>
      <c r="H1699" s="1" t="s">
        <v>73</v>
      </c>
      <c r="I1699" s="1">
        <v>2</v>
      </c>
      <c r="J1699" s="1">
        <v>1620</v>
      </c>
      <c r="K1699" s="1">
        <v>0.08</v>
      </c>
      <c r="L1699" s="1">
        <v>2980.8</v>
      </c>
      <c r="M1699" s="1" t="str">
        <f t="shared" si="52"/>
        <v>Online</v>
      </c>
      <c r="N1699" s="1">
        <f t="shared" si="53"/>
        <v>62.01</v>
      </c>
    </row>
    <row r="1700" spans="1:14" x14ac:dyDescent="0.3">
      <c r="A1700" s="1" t="s">
        <v>439</v>
      </c>
      <c r="B1700" s="1" t="s">
        <v>435</v>
      </c>
      <c r="C1700" s="1" t="s">
        <v>54</v>
      </c>
      <c r="D1700" s="1" t="s">
        <v>35</v>
      </c>
      <c r="E1700" s="1" t="s">
        <v>16</v>
      </c>
      <c r="F1700" s="1" t="s">
        <v>23</v>
      </c>
      <c r="G1700" s="1" t="s">
        <v>24</v>
      </c>
      <c r="H1700" s="1" t="s">
        <v>80</v>
      </c>
      <c r="I1700" s="1">
        <v>10</v>
      </c>
      <c r="J1700" s="1">
        <v>22.5</v>
      </c>
      <c r="K1700" s="1">
        <v>0.08</v>
      </c>
      <c r="L1700" s="1">
        <v>207</v>
      </c>
      <c r="M1700" s="1" t="str">
        <f t="shared" si="52"/>
        <v>Marketplace</v>
      </c>
      <c r="N1700" s="1">
        <f t="shared" si="53"/>
        <v>267.12</v>
      </c>
    </row>
    <row r="1701" spans="1:14" x14ac:dyDescent="0.3">
      <c r="A1701" s="1" t="s">
        <v>430</v>
      </c>
      <c r="B1701" s="1" t="s">
        <v>431</v>
      </c>
      <c r="C1701" s="1" t="s">
        <v>14</v>
      </c>
      <c r="D1701" s="1" t="s">
        <v>27</v>
      </c>
      <c r="E1701" s="1" t="s">
        <v>16</v>
      </c>
      <c r="F1701" s="1" t="s">
        <v>82</v>
      </c>
      <c r="G1701" s="1" t="s">
        <v>83</v>
      </c>
      <c r="H1701" s="1" t="s">
        <v>31</v>
      </c>
      <c r="I1701" s="1">
        <v>3</v>
      </c>
      <c r="J1701" s="1">
        <v>3931.2</v>
      </c>
      <c r="K1701" s="1">
        <v>0.08</v>
      </c>
      <c r="L1701" s="1">
        <v>10850.11</v>
      </c>
      <c r="M1701" s="1" t="str">
        <f t="shared" si="52"/>
        <v>Online</v>
      </c>
      <c r="N1701" s="1">
        <f t="shared" si="53"/>
        <v>16.2</v>
      </c>
    </row>
    <row r="1702" spans="1:14" x14ac:dyDescent="0.3">
      <c r="A1702" s="1" t="s">
        <v>432</v>
      </c>
      <c r="B1702" s="1" t="s">
        <v>431</v>
      </c>
      <c r="C1702" s="1" t="s">
        <v>47</v>
      </c>
      <c r="D1702" s="1" t="s">
        <v>15</v>
      </c>
      <c r="E1702" s="1" t="s">
        <v>16</v>
      </c>
      <c r="F1702" s="1" t="s">
        <v>29</v>
      </c>
      <c r="G1702" s="1" t="s">
        <v>88</v>
      </c>
      <c r="H1702" s="1" t="s">
        <v>78</v>
      </c>
      <c r="I1702" s="1">
        <v>7</v>
      </c>
      <c r="J1702" s="1">
        <v>58.5</v>
      </c>
      <c r="K1702" s="1">
        <v>0.08</v>
      </c>
      <c r="L1702" s="1">
        <v>376.74</v>
      </c>
      <c r="M1702" s="1" t="str">
        <f t="shared" si="52"/>
        <v>Retail Store</v>
      </c>
      <c r="N1702" s="1">
        <f t="shared" si="53"/>
        <v>421.2</v>
      </c>
    </row>
    <row r="1703" spans="1:14" x14ac:dyDescent="0.3">
      <c r="A1703" s="1" t="s">
        <v>433</v>
      </c>
      <c r="B1703" s="1" t="s">
        <v>431</v>
      </c>
      <c r="C1703" s="1" t="s">
        <v>54</v>
      </c>
      <c r="D1703" s="1" t="s">
        <v>15</v>
      </c>
      <c r="E1703" s="1" t="s">
        <v>16</v>
      </c>
      <c r="F1703" s="1" t="s">
        <v>29</v>
      </c>
      <c r="G1703" s="1" t="s">
        <v>55</v>
      </c>
      <c r="H1703" s="1" t="s">
        <v>71</v>
      </c>
      <c r="I1703" s="1">
        <v>2</v>
      </c>
      <c r="J1703" s="1">
        <v>35.57</v>
      </c>
      <c r="K1703" s="1">
        <v>0.08</v>
      </c>
      <c r="L1703" s="1">
        <v>65.45</v>
      </c>
      <c r="M1703" s="1" t="str">
        <f t="shared" si="52"/>
        <v>Online</v>
      </c>
      <c r="N1703" s="1">
        <f t="shared" si="53"/>
        <v>267.12</v>
      </c>
    </row>
    <row r="1704" spans="1:14" x14ac:dyDescent="0.3">
      <c r="A1704" s="1" t="s">
        <v>423</v>
      </c>
      <c r="B1704" s="1" t="s">
        <v>424</v>
      </c>
      <c r="C1704" s="1" t="s">
        <v>61</v>
      </c>
      <c r="D1704" s="1" t="s">
        <v>22</v>
      </c>
      <c r="E1704" s="1" t="s">
        <v>28</v>
      </c>
      <c r="F1704" s="1" t="s">
        <v>29</v>
      </c>
      <c r="G1704" s="1" t="s">
        <v>33</v>
      </c>
      <c r="H1704" s="1" t="s">
        <v>73</v>
      </c>
      <c r="I1704" s="1">
        <v>3</v>
      </c>
      <c r="J1704" s="1">
        <v>13.5</v>
      </c>
      <c r="K1704" s="1">
        <v>0.03</v>
      </c>
      <c r="L1704" s="1">
        <v>39.29</v>
      </c>
      <c r="M1704" s="1" t="str">
        <f t="shared" si="52"/>
        <v>Online</v>
      </c>
      <c r="N1704" s="1">
        <f t="shared" si="53"/>
        <v>62.01</v>
      </c>
    </row>
    <row r="1705" spans="1:14" x14ac:dyDescent="0.3">
      <c r="A1705" s="1" t="s">
        <v>425</v>
      </c>
      <c r="B1705" s="1" t="s">
        <v>424</v>
      </c>
      <c r="C1705" s="1" t="s">
        <v>14</v>
      </c>
      <c r="D1705" s="1" t="s">
        <v>15</v>
      </c>
      <c r="E1705" s="1" t="s">
        <v>16</v>
      </c>
      <c r="F1705" s="1" t="s">
        <v>42</v>
      </c>
      <c r="G1705" s="1" t="s">
        <v>48</v>
      </c>
      <c r="H1705" s="1" t="s">
        <v>19</v>
      </c>
      <c r="I1705" s="1">
        <v>4</v>
      </c>
      <c r="J1705" s="1">
        <v>18</v>
      </c>
      <c r="K1705" s="1">
        <v>0.05</v>
      </c>
      <c r="L1705" s="1">
        <v>68.400000000000006</v>
      </c>
      <c r="M1705" s="1" t="str">
        <f t="shared" si="52"/>
        <v>Retail Store</v>
      </c>
      <c r="N1705" s="1">
        <f t="shared" si="53"/>
        <v>16.2</v>
      </c>
    </row>
    <row r="1706" spans="1:14" x14ac:dyDescent="0.3">
      <c r="A1706" s="1" t="s">
        <v>426</v>
      </c>
      <c r="B1706" s="1" t="s">
        <v>424</v>
      </c>
      <c r="C1706" s="1" t="s">
        <v>47</v>
      </c>
      <c r="D1706" s="1" t="s">
        <v>35</v>
      </c>
      <c r="E1706" s="1" t="s">
        <v>16</v>
      </c>
      <c r="F1706" s="1" t="s">
        <v>42</v>
      </c>
      <c r="G1706" s="1" t="s">
        <v>65</v>
      </c>
      <c r="H1706" s="1" t="s">
        <v>78</v>
      </c>
      <c r="I1706" s="1">
        <v>6</v>
      </c>
      <c r="J1706" s="1">
        <v>675</v>
      </c>
      <c r="K1706" s="1">
        <v>0.1</v>
      </c>
      <c r="L1706" s="1">
        <v>3645</v>
      </c>
      <c r="M1706" s="1" t="str">
        <f t="shared" si="52"/>
        <v>Retail Store</v>
      </c>
      <c r="N1706" s="1">
        <f t="shared" si="53"/>
        <v>421.2</v>
      </c>
    </row>
    <row r="1707" spans="1:14" x14ac:dyDescent="0.3">
      <c r="A1707" s="1" t="s">
        <v>427</v>
      </c>
      <c r="B1707" s="1" t="s">
        <v>424</v>
      </c>
      <c r="C1707" s="1" t="s">
        <v>14</v>
      </c>
      <c r="D1707" s="1" t="s">
        <v>15</v>
      </c>
      <c r="E1707" s="1" t="s">
        <v>16</v>
      </c>
      <c r="F1707" s="1" t="s">
        <v>17</v>
      </c>
      <c r="G1707" s="1" t="s">
        <v>98</v>
      </c>
      <c r="H1707" s="1" t="s">
        <v>31</v>
      </c>
      <c r="I1707" s="1">
        <v>4</v>
      </c>
      <c r="J1707" s="1">
        <v>384.75</v>
      </c>
      <c r="K1707" s="1">
        <v>0</v>
      </c>
      <c r="L1707" s="1">
        <v>1539</v>
      </c>
      <c r="M1707" s="1" t="str">
        <f t="shared" si="52"/>
        <v>Online</v>
      </c>
      <c r="N1707" s="1">
        <f t="shared" si="53"/>
        <v>16.2</v>
      </c>
    </row>
    <row r="1708" spans="1:14" x14ac:dyDescent="0.3">
      <c r="A1708" s="1" t="s">
        <v>428</v>
      </c>
      <c r="B1708" s="1" t="s">
        <v>424</v>
      </c>
      <c r="C1708" s="1" t="s">
        <v>54</v>
      </c>
      <c r="D1708" s="1" t="s">
        <v>15</v>
      </c>
      <c r="E1708" s="1" t="s">
        <v>28</v>
      </c>
      <c r="F1708" s="1" t="s">
        <v>82</v>
      </c>
      <c r="G1708" s="1" t="s">
        <v>85</v>
      </c>
      <c r="H1708" s="1" t="s">
        <v>71</v>
      </c>
      <c r="I1708" s="1">
        <v>2</v>
      </c>
      <c r="J1708" s="1">
        <v>1620</v>
      </c>
      <c r="K1708" s="1">
        <v>0.1</v>
      </c>
      <c r="L1708" s="1">
        <v>2916</v>
      </c>
      <c r="M1708" s="1" t="str">
        <f t="shared" si="52"/>
        <v>Online</v>
      </c>
      <c r="N1708" s="1">
        <f t="shared" si="53"/>
        <v>267.12</v>
      </c>
    </row>
    <row r="1709" spans="1:14" x14ac:dyDescent="0.3">
      <c r="A1709" s="1" t="s">
        <v>429</v>
      </c>
      <c r="B1709" s="1" t="s">
        <v>424</v>
      </c>
      <c r="C1709" s="1" t="s">
        <v>47</v>
      </c>
      <c r="D1709" s="1" t="s">
        <v>15</v>
      </c>
      <c r="E1709" s="1" t="s">
        <v>16</v>
      </c>
      <c r="F1709" s="1" t="s">
        <v>29</v>
      </c>
      <c r="G1709" s="1" t="s">
        <v>39</v>
      </c>
      <c r="H1709" s="1" t="s">
        <v>78</v>
      </c>
      <c r="I1709" s="1">
        <v>4</v>
      </c>
      <c r="J1709" s="1">
        <v>68.400000000000006</v>
      </c>
      <c r="K1709" s="1">
        <v>0.03</v>
      </c>
      <c r="L1709" s="1">
        <v>265.39</v>
      </c>
      <c r="M1709" s="1" t="str">
        <f t="shared" si="52"/>
        <v>Retail Store</v>
      </c>
      <c r="N1709" s="1">
        <f t="shared" si="53"/>
        <v>421.2</v>
      </c>
    </row>
    <row r="1710" spans="1:14" x14ac:dyDescent="0.3">
      <c r="A1710" s="1" t="s">
        <v>416</v>
      </c>
      <c r="B1710" s="1" t="s">
        <v>417</v>
      </c>
      <c r="C1710" s="1" t="s">
        <v>54</v>
      </c>
      <c r="D1710" s="1" t="s">
        <v>15</v>
      </c>
      <c r="E1710" s="1" t="s">
        <v>28</v>
      </c>
      <c r="F1710" s="1" t="s">
        <v>42</v>
      </c>
      <c r="G1710" s="1" t="s">
        <v>43</v>
      </c>
      <c r="H1710" s="1" t="s">
        <v>56</v>
      </c>
      <c r="I1710" s="1">
        <v>8</v>
      </c>
      <c r="J1710" s="1">
        <v>168.48</v>
      </c>
      <c r="K1710" s="1">
        <v>0.08</v>
      </c>
      <c r="L1710" s="1">
        <v>1240.01</v>
      </c>
      <c r="M1710" s="1" t="str">
        <f t="shared" si="52"/>
        <v>Online</v>
      </c>
      <c r="N1710" s="1">
        <f t="shared" si="53"/>
        <v>267.12</v>
      </c>
    </row>
    <row r="1711" spans="1:14" x14ac:dyDescent="0.3">
      <c r="A1711" s="1" t="s">
        <v>418</v>
      </c>
      <c r="B1711" s="1" t="s">
        <v>417</v>
      </c>
      <c r="C1711" s="1" t="s">
        <v>47</v>
      </c>
      <c r="D1711" s="1" t="s">
        <v>27</v>
      </c>
      <c r="E1711" s="1" t="s">
        <v>16</v>
      </c>
      <c r="F1711" s="1" t="s">
        <v>36</v>
      </c>
      <c r="G1711" s="1" t="s">
        <v>37</v>
      </c>
      <c r="H1711" s="1" t="s">
        <v>78</v>
      </c>
      <c r="I1711" s="1">
        <v>4</v>
      </c>
      <c r="J1711" s="1">
        <v>742.05</v>
      </c>
      <c r="K1711" s="1">
        <v>0.08</v>
      </c>
      <c r="L1711" s="1">
        <v>2730.74</v>
      </c>
      <c r="M1711" s="1" t="str">
        <f t="shared" si="52"/>
        <v>Retail Store</v>
      </c>
      <c r="N1711" s="1">
        <f t="shared" si="53"/>
        <v>421.2</v>
      </c>
    </row>
    <row r="1712" spans="1:14" x14ac:dyDescent="0.3">
      <c r="A1712" s="1" t="s">
        <v>419</v>
      </c>
      <c r="B1712" s="1" t="s">
        <v>417</v>
      </c>
      <c r="C1712" s="1" t="s">
        <v>54</v>
      </c>
      <c r="D1712" s="1" t="s">
        <v>22</v>
      </c>
      <c r="E1712" s="1" t="s">
        <v>28</v>
      </c>
      <c r="F1712" s="1" t="s">
        <v>36</v>
      </c>
      <c r="G1712" s="1" t="s">
        <v>70</v>
      </c>
      <c r="H1712" s="1" t="s">
        <v>71</v>
      </c>
      <c r="I1712" s="1">
        <v>5</v>
      </c>
      <c r="J1712" s="1">
        <v>542.88</v>
      </c>
      <c r="K1712" s="1">
        <v>0.08</v>
      </c>
      <c r="L1712" s="1">
        <v>2497.25</v>
      </c>
      <c r="M1712" s="1" t="str">
        <f t="shared" si="52"/>
        <v>Online</v>
      </c>
      <c r="N1712" s="1">
        <f t="shared" si="53"/>
        <v>267.12</v>
      </c>
    </row>
    <row r="1713" spans="1:14" x14ac:dyDescent="0.3">
      <c r="A1713" s="1" t="s">
        <v>420</v>
      </c>
      <c r="B1713" s="1" t="s">
        <v>417</v>
      </c>
      <c r="C1713" s="1" t="s">
        <v>47</v>
      </c>
      <c r="D1713" s="1" t="s">
        <v>15</v>
      </c>
      <c r="E1713" s="1" t="s">
        <v>16</v>
      </c>
      <c r="F1713" s="1" t="s">
        <v>23</v>
      </c>
      <c r="G1713" s="1" t="s">
        <v>178</v>
      </c>
      <c r="H1713" s="1" t="s">
        <v>78</v>
      </c>
      <c r="I1713" s="1">
        <v>2</v>
      </c>
      <c r="J1713" s="1">
        <v>31.5</v>
      </c>
      <c r="K1713" s="1">
        <v>0.08</v>
      </c>
      <c r="L1713" s="1">
        <v>57.96</v>
      </c>
      <c r="M1713" s="1" t="str">
        <f t="shared" si="52"/>
        <v>Retail Store</v>
      </c>
      <c r="N1713" s="1">
        <f t="shared" si="53"/>
        <v>421.2</v>
      </c>
    </row>
    <row r="1714" spans="1:14" x14ac:dyDescent="0.3">
      <c r="A1714" s="1" t="s">
        <v>421</v>
      </c>
      <c r="B1714" s="1" t="s">
        <v>417</v>
      </c>
      <c r="C1714" s="1" t="s">
        <v>61</v>
      </c>
      <c r="D1714" s="1" t="s">
        <v>15</v>
      </c>
      <c r="E1714" s="1" t="s">
        <v>28</v>
      </c>
      <c r="F1714" s="1" t="s">
        <v>82</v>
      </c>
      <c r="G1714" s="1" t="s">
        <v>96</v>
      </c>
      <c r="H1714" s="1" t="s">
        <v>112</v>
      </c>
      <c r="I1714" s="1">
        <v>2</v>
      </c>
      <c r="J1714" s="1">
        <v>2862</v>
      </c>
      <c r="K1714" s="1">
        <v>0.15</v>
      </c>
      <c r="L1714" s="1">
        <v>4865.3999999999996</v>
      </c>
      <c r="M1714" s="1" t="str">
        <f t="shared" si="52"/>
        <v>Online</v>
      </c>
      <c r="N1714" s="1">
        <f t="shared" si="53"/>
        <v>62.01</v>
      </c>
    </row>
    <row r="1715" spans="1:14" x14ac:dyDescent="0.3">
      <c r="A1715" s="1" t="s">
        <v>422</v>
      </c>
      <c r="B1715" s="1" t="s">
        <v>417</v>
      </c>
      <c r="C1715" s="1" t="s">
        <v>54</v>
      </c>
      <c r="D1715" s="1" t="s">
        <v>15</v>
      </c>
      <c r="E1715" s="1" t="s">
        <v>16</v>
      </c>
      <c r="F1715" s="1" t="s">
        <v>23</v>
      </c>
      <c r="G1715" s="1" t="s">
        <v>116</v>
      </c>
      <c r="H1715" s="1" t="s">
        <v>71</v>
      </c>
      <c r="I1715" s="1">
        <v>2</v>
      </c>
      <c r="J1715" s="1">
        <v>6.84</v>
      </c>
      <c r="K1715" s="1">
        <v>0.15</v>
      </c>
      <c r="L1715" s="1">
        <v>11.63</v>
      </c>
      <c r="M1715" s="1" t="str">
        <f t="shared" si="52"/>
        <v>Online</v>
      </c>
      <c r="N1715" s="1">
        <f t="shared" si="53"/>
        <v>267.12</v>
      </c>
    </row>
    <row r="1716" spans="1:14" x14ac:dyDescent="0.3">
      <c r="A1716" s="1" t="s">
        <v>409</v>
      </c>
      <c r="B1716" s="1" t="s">
        <v>410</v>
      </c>
      <c r="C1716" s="1" t="s">
        <v>14</v>
      </c>
      <c r="D1716" s="1" t="s">
        <v>35</v>
      </c>
      <c r="E1716" s="1" t="s">
        <v>16</v>
      </c>
      <c r="F1716" s="1" t="s">
        <v>23</v>
      </c>
      <c r="G1716" s="1" t="s">
        <v>178</v>
      </c>
      <c r="H1716" s="1" t="s">
        <v>19</v>
      </c>
      <c r="I1716" s="1">
        <v>16</v>
      </c>
      <c r="J1716" s="1">
        <v>31.5</v>
      </c>
      <c r="K1716" s="1">
        <v>0.1</v>
      </c>
      <c r="L1716" s="1">
        <v>453.6</v>
      </c>
      <c r="M1716" s="1" t="str">
        <f t="shared" si="52"/>
        <v>Retail Store</v>
      </c>
      <c r="N1716" s="1">
        <f t="shared" si="53"/>
        <v>16.2</v>
      </c>
    </row>
    <row r="1717" spans="1:14" x14ac:dyDescent="0.3">
      <c r="A1717" s="1" t="s">
        <v>411</v>
      </c>
      <c r="B1717" s="1" t="s">
        <v>410</v>
      </c>
      <c r="C1717" s="1" t="s">
        <v>14</v>
      </c>
      <c r="D1717" s="1" t="s">
        <v>27</v>
      </c>
      <c r="E1717" s="1" t="s">
        <v>28</v>
      </c>
      <c r="F1717" s="1" t="s">
        <v>17</v>
      </c>
      <c r="G1717" s="1" t="s">
        <v>18</v>
      </c>
      <c r="H1717" s="1" t="s">
        <v>31</v>
      </c>
      <c r="I1717" s="1">
        <v>5</v>
      </c>
      <c r="J1717" s="1">
        <v>78.569999999999993</v>
      </c>
      <c r="K1717" s="1">
        <v>0.03</v>
      </c>
      <c r="L1717" s="1">
        <v>381.06</v>
      </c>
      <c r="M1717" s="1" t="str">
        <f t="shared" si="52"/>
        <v>Online</v>
      </c>
      <c r="N1717" s="1">
        <f t="shared" si="53"/>
        <v>16.2</v>
      </c>
    </row>
    <row r="1718" spans="1:14" x14ac:dyDescent="0.3">
      <c r="A1718" s="1" t="s">
        <v>412</v>
      </c>
      <c r="B1718" s="1" t="s">
        <v>410</v>
      </c>
      <c r="C1718" s="1" t="s">
        <v>47</v>
      </c>
      <c r="D1718" s="1" t="s">
        <v>27</v>
      </c>
      <c r="E1718" s="1" t="s">
        <v>28</v>
      </c>
      <c r="F1718" s="1" t="s">
        <v>29</v>
      </c>
      <c r="G1718" s="1" t="s">
        <v>33</v>
      </c>
      <c r="H1718" s="1" t="s">
        <v>58</v>
      </c>
      <c r="I1718" s="1">
        <v>7</v>
      </c>
      <c r="J1718" s="1">
        <v>14.04</v>
      </c>
      <c r="K1718" s="1">
        <v>0.05</v>
      </c>
      <c r="L1718" s="1">
        <v>93.37</v>
      </c>
      <c r="M1718" s="1" t="str">
        <f t="shared" si="52"/>
        <v>Corporate Sales</v>
      </c>
      <c r="N1718" s="1">
        <f t="shared" si="53"/>
        <v>421.2</v>
      </c>
    </row>
    <row r="1719" spans="1:14" x14ac:dyDescent="0.3">
      <c r="A1719" s="1" t="s">
        <v>413</v>
      </c>
      <c r="B1719" s="1" t="s">
        <v>410</v>
      </c>
      <c r="C1719" s="1" t="s">
        <v>47</v>
      </c>
      <c r="D1719" s="1" t="s">
        <v>35</v>
      </c>
      <c r="E1719" s="1" t="s">
        <v>28</v>
      </c>
      <c r="F1719" s="1" t="s">
        <v>82</v>
      </c>
      <c r="G1719" s="1" t="s">
        <v>114</v>
      </c>
      <c r="H1719" s="1" t="s">
        <v>49</v>
      </c>
      <c r="I1719" s="1">
        <v>2</v>
      </c>
      <c r="J1719" s="1">
        <v>2385</v>
      </c>
      <c r="K1719" s="1">
        <v>0.05</v>
      </c>
      <c r="L1719" s="1">
        <v>4531.5</v>
      </c>
      <c r="M1719" s="1" t="str">
        <f t="shared" si="52"/>
        <v>Retail Store</v>
      </c>
      <c r="N1719" s="1">
        <f t="shared" si="53"/>
        <v>421.2</v>
      </c>
    </row>
    <row r="1720" spans="1:14" x14ac:dyDescent="0.3">
      <c r="A1720" s="1" t="s">
        <v>414</v>
      </c>
      <c r="B1720" s="1" t="s">
        <v>410</v>
      </c>
      <c r="C1720" s="1" t="s">
        <v>47</v>
      </c>
      <c r="D1720" s="1" t="s">
        <v>22</v>
      </c>
      <c r="E1720" s="1" t="s">
        <v>16</v>
      </c>
      <c r="F1720" s="1" t="s">
        <v>42</v>
      </c>
      <c r="G1720" s="1" t="s">
        <v>65</v>
      </c>
      <c r="H1720" s="1" t="s">
        <v>58</v>
      </c>
      <c r="I1720" s="1">
        <v>8</v>
      </c>
      <c r="J1720" s="1">
        <v>654.75</v>
      </c>
      <c r="K1720" s="1">
        <v>0.05</v>
      </c>
      <c r="L1720" s="1">
        <v>4976.1000000000004</v>
      </c>
      <c r="M1720" s="1" t="str">
        <f t="shared" si="52"/>
        <v>Corporate Sales</v>
      </c>
      <c r="N1720" s="1">
        <f t="shared" si="53"/>
        <v>421.2</v>
      </c>
    </row>
    <row r="1721" spans="1:14" x14ac:dyDescent="0.3">
      <c r="A1721" s="1" t="s">
        <v>415</v>
      </c>
      <c r="B1721" s="1" t="s">
        <v>410</v>
      </c>
      <c r="C1721" s="1" t="s">
        <v>61</v>
      </c>
      <c r="D1721" s="1" t="s">
        <v>15</v>
      </c>
      <c r="E1721" s="1" t="s">
        <v>16</v>
      </c>
      <c r="F1721" s="1" t="s">
        <v>36</v>
      </c>
      <c r="G1721" s="1" t="s">
        <v>77</v>
      </c>
      <c r="H1721" s="1" t="s">
        <v>112</v>
      </c>
      <c r="I1721" s="1">
        <v>2</v>
      </c>
      <c r="J1721" s="1">
        <v>1282.5</v>
      </c>
      <c r="K1721" s="1">
        <v>0</v>
      </c>
      <c r="L1721" s="1">
        <v>2565</v>
      </c>
      <c r="M1721" s="1" t="str">
        <f t="shared" si="52"/>
        <v>Online</v>
      </c>
      <c r="N1721" s="1">
        <f t="shared" si="53"/>
        <v>62.01</v>
      </c>
    </row>
    <row r="1722" spans="1:14" x14ac:dyDescent="0.3">
      <c r="A1722" s="1" t="s">
        <v>405</v>
      </c>
      <c r="B1722" s="1" t="s">
        <v>406</v>
      </c>
      <c r="C1722" s="1" t="s">
        <v>54</v>
      </c>
      <c r="D1722" s="1" t="s">
        <v>15</v>
      </c>
      <c r="E1722" s="1" t="s">
        <v>28</v>
      </c>
      <c r="F1722" s="1" t="s">
        <v>29</v>
      </c>
      <c r="G1722" s="1" t="s">
        <v>33</v>
      </c>
      <c r="H1722" s="1" t="s">
        <v>80</v>
      </c>
      <c r="I1722" s="1">
        <v>4</v>
      </c>
      <c r="J1722" s="1">
        <v>13.5</v>
      </c>
      <c r="K1722" s="1">
        <v>0.1</v>
      </c>
      <c r="L1722" s="1">
        <v>48.6</v>
      </c>
      <c r="M1722" s="1" t="str">
        <f t="shared" si="52"/>
        <v>Marketplace</v>
      </c>
      <c r="N1722" s="1">
        <f t="shared" si="53"/>
        <v>267.12</v>
      </c>
    </row>
    <row r="1723" spans="1:14" x14ac:dyDescent="0.3">
      <c r="A1723" s="1" t="s">
        <v>407</v>
      </c>
      <c r="B1723" s="1" t="s">
        <v>406</v>
      </c>
      <c r="C1723" s="1" t="s">
        <v>47</v>
      </c>
      <c r="D1723" s="1" t="s">
        <v>15</v>
      </c>
      <c r="E1723" s="1" t="s">
        <v>16</v>
      </c>
      <c r="F1723" s="1" t="s">
        <v>42</v>
      </c>
      <c r="G1723" s="1" t="s">
        <v>67</v>
      </c>
      <c r="H1723" s="1" t="s">
        <v>78</v>
      </c>
      <c r="I1723" s="1">
        <v>6</v>
      </c>
      <c r="J1723" s="1">
        <v>267.12</v>
      </c>
      <c r="K1723" s="1">
        <v>0.15</v>
      </c>
      <c r="L1723" s="1">
        <v>1362.31</v>
      </c>
      <c r="M1723" s="1" t="str">
        <f t="shared" si="52"/>
        <v>Retail Store</v>
      </c>
      <c r="N1723" s="1">
        <f t="shared" si="53"/>
        <v>421.2</v>
      </c>
    </row>
    <row r="1724" spans="1:14" x14ac:dyDescent="0.3">
      <c r="A1724" s="1" t="s">
        <v>408</v>
      </c>
      <c r="B1724" s="1" t="s">
        <v>406</v>
      </c>
      <c r="C1724" s="1" t="s">
        <v>61</v>
      </c>
      <c r="D1724" s="1" t="s">
        <v>22</v>
      </c>
      <c r="E1724" s="1" t="s">
        <v>28</v>
      </c>
      <c r="F1724" s="1" t="s">
        <v>29</v>
      </c>
      <c r="G1724" s="1" t="s">
        <v>55</v>
      </c>
      <c r="H1724" s="1" t="s">
        <v>112</v>
      </c>
      <c r="I1724" s="1">
        <v>2</v>
      </c>
      <c r="J1724" s="1">
        <v>36.25</v>
      </c>
      <c r="K1724" s="1">
        <v>0.15</v>
      </c>
      <c r="L1724" s="1">
        <v>61.63</v>
      </c>
      <c r="M1724" s="1" t="str">
        <f t="shared" si="52"/>
        <v>Online</v>
      </c>
      <c r="N1724" s="1">
        <f t="shared" si="53"/>
        <v>62.01</v>
      </c>
    </row>
    <row r="1725" spans="1:14" x14ac:dyDescent="0.3">
      <c r="A1725" s="1" t="s">
        <v>399</v>
      </c>
      <c r="B1725" s="1" t="s">
        <v>400</v>
      </c>
      <c r="C1725" s="1" t="s">
        <v>61</v>
      </c>
      <c r="D1725" s="1" t="s">
        <v>15</v>
      </c>
      <c r="E1725" s="1" t="s">
        <v>28</v>
      </c>
      <c r="F1725" s="1" t="s">
        <v>29</v>
      </c>
      <c r="G1725" s="1" t="s">
        <v>51</v>
      </c>
      <c r="H1725" s="1" t="s">
        <v>73</v>
      </c>
      <c r="I1725" s="1">
        <v>4</v>
      </c>
      <c r="J1725" s="1">
        <v>40.5</v>
      </c>
      <c r="K1725" s="1">
        <v>0.03</v>
      </c>
      <c r="L1725" s="1">
        <v>157.13999999999999</v>
      </c>
      <c r="M1725" s="1" t="str">
        <f t="shared" si="52"/>
        <v>Online</v>
      </c>
      <c r="N1725" s="1">
        <f t="shared" si="53"/>
        <v>62.01</v>
      </c>
    </row>
    <row r="1726" spans="1:14" x14ac:dyDescent="0.3">
      <c r="A1726" s="1" t="s">
        <v>401</v>
      </c>
      <c r="B1726" s="1" t="s">
        <v>400</v>
      </c>
      <c r="C1726" s="1" t="s">
        <v>14</v>
      </c>
      <c r="D1726" s="1" t="s">
        <v>15</v>
      </c>
      <c r="E1726" s="1" t="s">
        <v>28</v>
      </c>
      <c r="F1726" s="1" t="s">
        <v>29</v>
      </c>
      <c r="G1726" s="1" t="s">
        <v>30</v>
      </c>
      <c r="H1726" s="1" t="s">
        <v>19</v>
      </c>
      <c r="I1726" s="1">
        <v>2</v>
      </c>
      <c r="J1726" s="1">
        <v>51.48</v>
      </c>
      <c r="K1726" s="1">
        <v>0</v>
      </c>
      <c r="L1726" s="1">
        <v>102.96</v>
      </c>
      <c r="M1726" s="1" t="str">
        <f t="shared" si="52"/>
        <v>Retail Store</v>
      </c>
      <c r="N1726" s="1">
        <f t="shared" si="53"/>
        <v>16.2</v>
      </c>
    </row>
    <row r="1727" spans="1:14" x14ac:dyDescent="0.3">
      <c r="A1727" s="1" t="s">
        <v>402</v>
      </c>
      <c r="B1727" s="1" t="s">
        <v>400</v>
      </c>
      <c r="C1727" s="1" t="s">
        <v>61</v>
      </c>
      <c r="D1727" s="1" t="s">
        <v>15</v>
      </c>
      <c r="E1727" s="1" t="s">
        <v>28</v>
      </c>
      <c r="F1727" s="1" t="s">
        <v>42</v>
      </c>
      <c r="G1727" s="1" t="s">
        <v>48</v>
      </c>
      <c r="H1727" s="1" t="s">
        <v>73</v>
      </c>
      <c r="I1727" s="1">
        <v>4</v>
      </c>
      <c r="J1727" s="1">
        <v>18</v>
      </c>
      <c r="K1727" s="1">
        <v>0.05</v>
      </c>
      <c r="L1727" s="1">
        <v>68.400000000000006</v>
      </c>
      <c r="M1727" s="1" t="str">
        <f t="shared" si="52"/>
        <v>Online</v>
      </c>
      <c r="N1727" s="1">
        <f t="shared" si="53"/>
        <v>62.01</v>
      </c>
    </row>
    <row r="1728" spans="1:14" x14ac:dyDescent="0.3">
      <c r="A1728" s="1" t="s">
        <v>403</v>
      </c>
      <c r="B1728" s="1" t="s">
        <v>400</v>
      </c>
      <c r="C1728" s="1" t="s">
        <v>14</v>
      </c>
      <c r="D1728" s="1" t="s">
        <v>27</v>
      </c>
      <c r="E1728" s="1" t="s">
        <v>28</v>
      </c>
      <c r="F1728" s="1" t="s">
        <v>23</v>
      </c>
      <c r="G1728" s="1" t="s">
        <v>178</v>
      </c>
      <c r="H1728" s="1" t="s">
        <v>19</v>
      </c>
      <c r="I1728" s="1">
        <v>7</v>
      </c>
      <c r="J1728" s="1">
        <v>31.5</v>
      </c>
      <c r="K1728" s="1">
        <v>0.15</v>
      </c>
      <c r="L1728" s="1">
        <v>187.43</v>
      </c>
      <c r="M1728" s="1" t="str">
        <f t="shared" si="52"/>
        <v>Retail Store</v>
      </c>
      <c r="N1728" s="1">
        <f t="shared" si="53"/>
        <v>16.2</v>
      </c>
    </row>
    <row r="1729" spans="1:14" x14ac:dyDescent="0.3">
      <c r="A1729" s="1" t="s">
        <v>404</v>
      </c>
      <c r="B1729" s="1" t="s">
        <v>400</v>
      </c>
      <c r="C1729" s="1" t="s">
        <v>21</v>
      </c>
      <c r="D1729" s="1" t="s">
        <v>15</v>
      </c>
      <c r="E1729" s="1" t="s">
        <v>16</v>
      </c>
      <c r="F1729" s="1" t="s">
        <v>29</v>
      </c>
      <c r="G1729" s="1" t="s">
        <v>55</v>
      </c>
      <c r="H1729" s="1" t="s">
        <v>86</v>
      </c>
      <c r="I1729" s="1">
        <v>4</v>
      </c>
      <c r="J1729" s="1">
        <v>34.200000000000003</v>
      </c>
      <c r="K1729" s="1">
        <v>0</v>
      </c>
      <c r="L1729" s="1">
        <v>136.80000000000001</v>
      </c>
      <c r="M1729" s="1" t="str">
        <f t="shared" si="52"/>
        <v>Online</v>
      </c>
      <c r="N1729" s="1">
        <f t="shared" si="53"/>
        <v>405</v>
      </c>
    </row>
    <row r="1730" spans="1:14" x14ac:dyDescent="0.3">
      <c r="A1730" s="1" t="s">
        <v>394</v>
      </c>
      <c r="B1730" s="1" t="s">
        <v>395</v>
      </c>
      <c r="C1730" s="1" t="s">
        <v>47</v>
      </c>
      <c r="D1730" s="1" t="s">
        <v>15</v>
      </c>
      <c r="E1730" s="1" t="s">
        <v>28</v>
      </c>
      <c r="F1730" s="1" t="s">
        <v>23</v>
      </c>
      <c r="G1730" s="1" t="s">
        <v>178</v>
      </c>
      <c r="H1730" s="1" t="s">
        <v>49</v>
      </c>
      <c r="I1730" s="1">
        <v>2</v>
      </c>
      <c r="J1730" s="1">
        <v>32.130000000000003</v>
      </c>
      <c r="K1730" s="1">
        <v>0.05</v>
      </c>
      <c r="L1730" s="1">
        <v>61.05</v>
      </c>
      <c r="M1730" s="1" t="str">
        <f t="shared" ref="M1730:M1793" si="54">INDEX(D:D,MATCH(H1730,H:H,0))</f>
        <v>Retail Store</v>
      </c>
      <c r="N1730" s="1">
        <f t="shared" ref="N1730:N1793" si="55">VLOOKUP(C:C,C:J,8,FALSE)</f>
        <v>421.2</v>
      </c>
    </row>
    <row r="1731" spans="1:14" x14ac:dyDescent="0.3">
      <c r="A1731" s="1" t="s">
        <v>396</v>
      </c>
      <c r="B1731" s="1" t="s">
        <v>395</v>
      </c>
      <c r="C1731" s="1" t="s">
        <v>14</v>
      </c>
      <c r="D1731" s="1" t="s">
        <v>15</v>
      </c>
      <c r="E1731" s="1" t="s">
        <v>16</v>
      </c>
      <c r="F1731" s="1" t="s">
        <v>29</v>
      </c>
      <c r="G1731" s="1" t="s">
        <v>51</v>
      </c>
      <c r="H1731" s="1" t="s">
        <v>19</v>
      </c>
      <c r="I1731" s="1">
        <v>6</v>
      </c>
      <c r="J1731" s="1">
        <v>38.479999999999997</v>
      </c>
      <c r="K1731" s="1">
        <v>0.03</v>
      </c>
      <c r="L1731" s="1">
        <v>223.92</v>
      </c>
      <c r="M1731" s="1" t="str">
        <f t="shared" si="54"/>
        <v>Retail Store</v>
      </c>
      <c r="N1731" s="1">
        <f t="shared" si="55"/>
        <v>16.2</v>
      </c>
    </row>
    <row r="1732" spans="1:14" x14ac:dyDescent="0.3">
      <c r="A1732" s="1" t="s">
        <v>397</v>
      </c>
      <c r="B1732" s="1" t="s">
        <v>395</v>
      </c>
      <c r="C1732" s="1" t="s">
        <v>54</v>
      </c>
      <c r="D1732" s="1" t="s">
        <v>22</v>
      </c>
      <c r="E1732" s="1" t="s">
        <v>16</v>
      </c>
      <c r="F1732" s="1" t="s">
        <v>17</v>
      </c>
      <c r="G1732" s="1" t="s">
        <v>62</v>
      </c>
      <c r="H1732" s="1" t="s">
        <v>80</v>
      </c>
      <c r="I1732" s="1">
        <v>9</v>
      </c>
      <c r="J1732" s="1">
        <v>55.08</v>
      </c>
      <c r="K1732" s="1">
        <v>0.1</v>
      </c>
      <c r="L1732" s="1">
        <v>446.15</v>
      </c>
      <c r="M1732" s="1" t="str">
        <f t="shared" si="54"/>
        <v>Marketplace</v>
      </c>
      <c r="N1732" s="1">
        <f t="shared" si="55"/>
        <v>267.12</v>
      </c>
    </row>
    <row r="1733" spans="1:14" x14ac:dyDescent="0.3">
      <c r="A1733" s="1" t="s">
        <v>398</v>
      </c>
      <c r="B1733" s="1" t="s">
        <v>395</v>
      </c>
      <c r="C1733" s="1" t="s">
        <v>54</v>
      </c>
      <c r="D1733" s="1" t="s">
        <v>27</v>
      </c>
      <c r="E1733" s="1" t="s">
        <v>28</v>
      </c>
      <c r="F1733" s="1" t="s">
        <v>23</v>
      </c>
      <c r="G1733" s="1" t="s">
        <v>103</v>
      </c>
      <c r="H1733" s="1" t="s">
        <v>71</v>
      </c>
      <c r="I1733" s="1">
        <v>4</v>
      </c>
      <c r="J1733" s="1">
        <v>11.45</v>
      </c>
      <c r="K1733" s="1">
        <v>0</v>
      </c>
      <c r="L1733" s="1">
        <v>45.79</v>
      </c>
      <c r="M1733" s="1" t="str">
        <f t="shared" si="54"/>
        <v>Online</v>
      </c>
      <c r="N1733" s="1">
        <f t="shared" si="55"/>
        <v>267.12</v>
      </c>
    </row>
    <row r="1734" spans="1:14" x14ac:dyDescent="0.3">
      <c r="A1734" s="1" t="s">
        <v>392</v>
      </c>
      <c r="B1734" s="1" t="s">
        <v>393</v>
      </c>
      <c r="C1734" s="1" t="s">
        <v>54</v>
      </c>
      <c r="D1734" s="1" t="s">
        <v>15</v>
      </c>
      <c r="E1734" s="1" t="s">
        <v>16</v>
      </c>
      <c r="F1734" s="1" t="s">
        <v>42</v>
      </c>
      <c r="G1734" s="1" t="s">
        <v>65</v>
      </c>
      <c r="H1734" s="1" t="s">
        <v>56</v>
      </c>
      <c r="I1734" s="1">
        <v>4</v>
      </c>
      <c r="J1734" s="1">
        <v>675</v>
      </c>
      <c r="K1734" s="1">
        <v>0.2</v>
      </c>
      <c r="L1734" s="1">
        <v>2160</v>
      </c>
      <c r="M1734" s="1" t="str">
        <f t="shared" si="54"/>
        <v>Online</v>
      </c>
      <c r="N1734" s="1">
        <f t="shared" si="55"/>
        <v>267.12</v>
      </c>
    </row>
    <row r="1735" spans="1:14" x14ac:dyDescent="0.3">
      <c r="A1735" s="1" t="s">
        <v>388</v>
      </c>
      <c r="B1735" s="1" t="s">
        <v>389</v>
      </c>
      <c r="C1735" s="1" t="s">
        <v>47</v>
      </c>
      <c r="D1735" s="1" t="s">
        <v>15</v>
      </c>
      <c r="E1735" s="1" t="s">
        <v>28</v>
      </c>
      <c r="F1735" s="1" t="s">
        <v>82</v>
      </c>
      <c r="G1735" s="1" t="s">
        <v>83</v>
      </c>
      <c r="H1735" s="1" t="s">
        <v>78</v>
      </c>
      <c r="I1735" s="1">
        <v>2</v>
      </c>
      <c r="J1735" s="1">
        <v>3780</v>
      </c>
      <c r="K1735" s="1">
        <v>0</v>
      </c>
      <c r="L1735" s="1">
        <v>7560</v>
      </c>
      <c r="M1735" s="1" t="str">
        <f t="shared" si="54"/>
        <v>Retail Store</v>
      </c>
      <c r="N1735" s="1">
        <f t="shared" si="55"/>
        <v>421.2</v>
      </c>
    </row>
    <row r="1736" spans="1:14" x14ac:dyDescent="0.3">
      <c r="A1736" s="1" t="s">
        <v>390</v>
      </c>
      <c r="B1736" s="1" t="s">
        <v>389</v>
      </c>
      <c r="C1736" s="1" t="s">
        <v>54</v>
      </c>
      <c r="D1736" s="1" t="s">
        <v>35</v>
      </c>
      <c r="E1736" s="1" t="s">
        <v>28</v>
      </c>
      <c r="F1736" s="1" t="s">
        <v>82</v>
      </c>
      <c r="G1736" s="1" t="s">
        <v>114</v>
      </c>
      <c r="H1736" s="1" t="s">
        <v>56</v>
      </c>
      <c r="I1736" s="1">
        <v>2</v>
      </c>
      <c r="J1736" s="1">
        <v>2250</v>
      </c>
      <c r="K1736" s="1">
        <v>0.03</v>
      </c>
      <c r="L1736" s="1">
        <v>4365</v>
      </c>
      <c r="M1736" s="1" t="str">
        <f t="shared" si="54"/>
        <v>Online</v>
      </c>
      <c r="N1736" s="1">
        <f t="shared" si="55"/>
        <v>267.12</v>
      </c>
    </row>
    <row r="1737" spans="1:14" x14ac:dyDescent="0.3">
      <c r="A1737" s="1" t="s">
        <v>391</v>
      </c>
      <c r="B1737" s="1" t="s">
        <v>389</v>
      </c>
      <c r="C1737" s="1" t="s">
        <v>54</v>
      </c>
      <c r="D1737" s="1" t="s">
        <v>15</v>
      </c>
      <c r="E1737" s="1" t="s">
        <v>28</v>
      </c>
      <c r="F1737" s="1" t="s">
        <v>17</v>
      </c>
      <c r="G1737" s="1" t="s">
        <v>62</v>
      </c>
      <c r="H1737" s="1" t="s">
        <v>80</v>
      </c>
      <c r="I1737" s="1">
        <v>2</v>
      </c>
      <c r="J1737" s="1">
        <v>54</v>
      </c>
      <c r="K1737" s="1">
        <v>0</v>
      </c>
      <c r="L1737" s="1">
        <v>108</v>
      </c>
      <c r="M1737" s="1" t="str">
        <f t="shared" si="54"/>
        <v>Marketplace</v>
      </c>
      <c r="N1737" s="1">
        <f t="shared" si="55"/>
        <v>267.12</v>
      </c>
    </row>
    <row r="1738" spans="1:14" x14ac:dyDescent="0.3">
      <c r="A1738" s="1" t="s">
        <v>386</v>
      </c>
      <c r="B1738" s="1" t="s">
        <v>387</v>
      </c>
      <c r="C1738" s="1" t="s">
        <v>61</v>
      </c>
      <c r="D1738" s="1" t="s">
        <v>27</v>
      </c>
      <c r="E1738" s="1" t="s">
        <v>16</v>
      </c>
      <c r="F1738" s="1" t="s">
        <v>23</v>
      </c>
      <c r="G1738" s="1" t="s">
        <v>178</v>
      </c>
      <c r="H1738" s="1" t="s">
        <v>63</v>
      </c>
      <c r="I1738" s="1">
        <v>4</v>
      </c>
      <c r="J1738" s="1">
        <v>33.39</v>
      </c>
      <c r="K1738" s="1">
        <v>0.1</v>
      </c>
      <c r="L1738" s="1">
        <v>120.2</v>
      </c>
      <c r="M1738" s="1" t="str">
        <f t="shared" si="54"/>
        <v>Retail Store</v>
      </c>
      <c r="N1738" s="1">
        <f t="shared" si="55"/>
        <v>62.01</v>
      </c>
    </row>
    <row r="1739" spans="1:14" x14ac:dyDescent="0.3">
      <c r="A1739" s="1" t="s">
        <v>384</v>
      </c>
      <c r="B1739" s="1" t="s">
        <v>385</v>
      </c>
      <c r="C1739" s="1" t="s">
        <v>14</v>
      </c>
      <c r="D1739" s="1" t="s">
        <v>15</v>
      </c>
      <c r="E1739" s="1" t="s">
        <v>28</v>
      </c>
      <c r="F1739" s="1" t="s">
        <v>17</v>
      </c>
      <c r="G1739" s="1" t="s">
        <v>189</v>
      </c>
      <c r="H1739" s="1" t="s">
        <v>31</v>
      </c>
      <c r="I1739" s="1">
        <v>2</v>
      </c>
      <c r="J1739" s="1">
        <v>279.36</v>
      </c>
      <c r="K1739" s="1">
        <v>0</v>
      </c>
      <c r="L1739" s="1">
        <v>558.72</v>
      </c>
      <c r="M1739" s="1" t="str">
        <f t="shared" si="54"/>
        <v>Online</v>
      </c>
      <c r="N1739" s="1">
        <f t="shared" si="55"/>
        <v>16.2</v>
      </c>
    </row>
    <row r="1740" spans="1:14" x14ac:dyDescent="0.3">
      <c r="A1740" s="1" t="s">
        <v>380</v>
      </c>
      <c r="B1740" s="1" t="s">
        <v>381</v>
      </c>
      <c r="C1740" s="1" t="s">
        <v>47</v>
      </c>
      <c r="D1740" s="1" t="s">
        <v>15</v>
      </c>
      <c r="E1740" s="1" t="s">
        <v>28</v>
      </c>
      <c r="F1740" s="1" t="s">
        <v>17</v>
      </c>
      <c r="G1740" s="1" t="s">
        <v>18</v>
      </c>
      <c r="H1740" s="1" t="s">
        <v>58</v>
      </c>
      <c r="I1740" s="1">
        <v>4</v>
      </c>
      <c r="J1740" s="1">
        <v>81</v>
      </c>
      <c r="K1740" s="1">
        <v>0.05</v>
      </c>
      <c r="L1740" s="1">
        <v>307.8</v>
      </c>
      <c r="M1740" s="1" t="str">
        <f t="shared" si="54"/>
        <v>Corporate Sales</v>
      </c>
      <c r="N1740" s="1">
        <f t="shared" si="55"/>
        <v>421.2</v>
      </c>
    </row>
    <row r="1741" spans="1:14" x14ac:dyDescent="0.3">
      <c r="A1741" s="1" t="s">
        <v>382</v>
      </c>
      <c r="B1741" s="1" t="s">
        <v>381</v>
      </c>
      <c r="C1741" s="1" t="s">
        <v>61</v>
      </c>
      <c r="D1741" s="1" t="s">
        <v>15</v>
      </c>
      <c r="E1741" s="1" t="s">
        <v>16</v>
      </c>
      <c r="F1741" s="1" t="s">
        <v>29</v>
      </c>
      <c r="G1741" s="1" t="s">
        <v>33</v>
      </c>
      <c r="H1741" s="1" t="s">
        <v>63</v>
      </c>
      <c r="I1741" s="1">
        <v>3</v>
      </c>
      <c r="J1741" s="1">
        <v>12.83</v>
      </c>
      <c r="K1741" s="1">
        <v>0.1</v>
      </c>
      <c r="L1741" s="1">
        <v>34.630000000000003</v>
      </c>
      <c r="M1741" s="1" t="str">
        <f t="shared" si="54"/>
        <v>Retail Store</v>
      </c>
      <c r="N1741" s="1">
        <f t="shared" si="55"/>
        <v>62.01</v>
      </c>
    </row>
    <row r="1742" spans="1:14" x14ac:dyDescent="0.3">
      <c r="A1742" s="1" t="s">
        <v>383</v>
      </c>
      <c r="B1742" s="1" t="s">
        <v>381</v>
      </c>
      <c r="C1742" s="1" t="s">
        <v>61</v>
      </c>
      <c r="D1742" s="1" t="s">
        <v>15</v>
      </c>
      <c r="E1742" s="1" t="s">
        <v>28</v>
      </c>
      <c r="F1742" s="1" t="s">
        <v>17</v>
      </c>
      <c r="G1742" s="1" t="s">
        <v>18</v>
      </c>
      <c r="H1742" s="1" t="s">
        <v>112</v>
      </c>
      <c r="I1742" s="1">
        <v>5</v>
      </c>
      <c r="J1742" s="1">
        <v>76.95</v>
      </c>
      <c r="K1742" s="1">
        <v>0.08</v>
      </c>
      <c r="L1742" s="1">
        <v>353.97</v>
      </c>
      <c r="M1742" s="1" t="str">
        <f t="shared" si="54"/>
        <v>Online</v>
      </c>
      <c r="N1742" s="1">
        <f t="shared" si="55"/>
        <v>62.01</v>
      </c>
    </row>
    <row r="1743" spans="1:14" x14ac:dyDescent="0.3">
      <c r="A1743" s="1" t="s">
        <v>372</v>
      </c>
      <c r="B1743" s="1" t="s">
        <v>373</v>
      </c>
      <c r="C1743" s="1" t="s">
        <v>47</v>
      </c>
      <c r="D1743" s="1" t="s">
        <v>15</v>
      </c>
      <c r="E1743" s="1" t="s">
        <v>28</v>
      </c>
      <c r="F1743" s="1" t="s">
        <v>29</v>
      </c>
      <c r="G1743" s="1" t="s">
        <v>55</v>
      </c>
      <c r="H1743" s="1" t="s">
        <v>58</v>
      </c>
      <c r="I1743" s="1">
        <v>3</v>
      </c>
      <c r="J1743" s="1">
        <v>34.200000000000003</v>
      </c>
      <c r="K1743" s="1">
        <v>0.15</v>
      </c>
      <c r="L1743" s="1">
        <v>87.21</v>
      </c>
      <c r="M1743" s="1" t="str">
        <f t="shared" si="54"/>
        <v>Corporate Sales</v>
      </c>
      <c r="N1743" s="1">
        <f t="shared" si="55"/>
        <v>421.2</v>
      </c>
    </row>
    <row r="1744" spans="1:14" x14ac:dyDescent="0.3">
      <c r="A1744" s="1" t="s">
        <v>374</v>
      </c>
      <c r="B1744" s="1" t="s">
        <v>373</v>
      </c>
      <c r="C1744" s="1" t="s">
        <v>14</v>
      </c>
      <c r="D1744" s="1" t="s">
        <v>15</v>
      </c>
      <c r="E1744" s="1" t="s">
        <v>16</v>
      </c>
      <c r="F1744" s="1" t="s">
        <v>17</v>
      </c>
      <c r="G1744" s="1" t="s">
        <v>18</v>
      </c>
      <c r="H1744" s="1" t="s">
        <v>19</v>
      </c>
      <c r="I1744" s="1">
        <v>3</v>
      </c>
      <c r="J1744" s="1">
        <v>76.95</v>
      </c>
      <c r="K1744" s="1">
        <v>0.15</v>
      </c>
      <c r="L1744" s="1">
        <v>196.22</v>
      </c>
      <c r="M1744" s="1" t="str">
        <f t="shared" si="54"/>
        <v>Retail Store</v>
      </c>
      <c r="N1744" s="1">
        <f t="shared" si="55"/>
        <v>16.2</v>
      </c>
    </row>
    <row r="1745" spans="1:14" x14ac:dyDescent="0.3">
      <c r="A1745" s="1" t="s">
        <v>375</v>
      </c>
      <c r="B1745" s="1" t="s">
        <v>373</v>
      </c>
      <c r="C1745" s="1" t="s">
        <v>54</v>
      </c>
      <c r="D1745" s="1" t="s">
        <v>15</v>
      </c>
      <c r="E1745" s="1" t="s">
        <v>28</v>
      </c>
      <c r="F1745" s="1" t="s">
        <v>42</v>
      </c>
      <c r="G1745" s="1" t="s">
        <v>48</v>
      </c>
      <c r="H1745" s="1" t="s">
        <v>80</v>
      </c>
      <c r="I1745" s="1">
        <v>6</v>
      </c>
      <c r="J1745" s="1">
        <v>18.72</v>
      </c>
      <c r="K1745" s="1">
        <v>0.03</v>
      </c>
      <c r="L1745" s="1">
        <v>108.95</v>
      </c>
      <c r="M1745" s="1" t="str">
        <f t="shared" si="54"/>
        <v>Marketplace</v>
      </c>
      <c r="N1745" s="1">
        <f t="shared" si="55"/>
        <v>267.12</v>
      </c>
    </row>
    <row r="1746" spans="1:14" x14ac:dyDescent="0.3">
      <c r="A1746" s="1" t="s">
        <v>376</v>
      </c>
      <c r="B1746" s="1" t="s">
        <v>373</v>
      </c>
      <c r="C1746" s="1" t="s">
        <v>14</v>
      </c>
      <c r="D1746" s="1" t="s">
        <v>27</v>
      </c>
      <c r="E1746" s="1" t="s">
        <v>16</v>
      </c>
      <c r="F1746" s="1" t="s">
        <v>23</v>
      </c>
      <c r="G1746" s="1" t="s">
        <v>24</v>
      </c>
      <c r="H1746" s="1" t="s">
        <v>31</v>
      </c>
      <c r="I1746" s="1">
        <v>3</v>
      </c>
      <c r="J1746" s="1">
        <v>22.95</v>
      </c>
      <c r="K1746" s="1">
        <v>0.15</v>
      </c>
      <c r="L1746" s="1">
        <v>58.52</v>
      </c>
      <c r="M1746" s="1" t="str">
        <f t="shared" si="54"/>
        <v>Online</v>
      </c>
      <c r="N1746" s="1">
        <f t="shared" si="55"/>
        <v>16.2</v>
      </c>
    </row>
    <row r="1747" spans="1:14" x14ac:dyDescent="0.3">
      <c r="A1747" s="1" t="s">
        <v>377</v>
      </c>
      <c r="B1747" s="1" t="s">
        <v>373</v>
      </c>
      <c r="C1747" s="1" t="s">
        <v>21</v>
      </c>
      <c r="D1747" s="1" t="s">
        <v>27</v>
      </c>
      <c r="E1747" s="1" t="s">
        <v>28</v>
      </c>
      <c r="F1747" s="1" t="s">
        <v>42</v>
      </c>
      <c r="G1747" s="1" t="s">
        <v>43</v>
      </c>
      <c r="H1747" s="1" t="s">
        <v>86</v>
      </c>
      <c r="I1747" s="1">
        <v>2</v>
      </c>
      <c r="J1747" s="1">
        <v>157.13999999999999</v>
      </c>
      <c r="K1747" s="1">
        <v>0</v>
      </c>
      <c r="L1747" s="1">
        <v>314.27999999999997</v>
      </c>
      <c r="M1747" s="1" t="str">
        <f t="shared" si="54"/>
        <v>Online</v>
      </c>
      <c r="N1747" s="1">
        <f t="shared" si="55"/>
        <v>405</v>
      </c>
    </row>
    <row r="1748" spans="1:14" x14ac:dyDescent="0.3">
      <c r="A1748" s="1" t="s">
        <v>378</v>
      </c>
      <c r="B1748" s="1" t="s">
        <v>373</v>
      </c>
      <c r="C1748" s="1" t="s">
        <v>47</v>
      </c>
      <c r="D1748" s="1" t="s">
        <v>27</v>
      </c>
      <c r="E1748" s="1" t="s">
        <v>16</v>
      </c>
      <c r="F1748" s="1" t="s">
        <v>17</v>
      </c>
      <c r="G1748" s="1" t="s">
        <v>18</v>
      </c>
      <c r="H1748" s="1" t="s">
        <v>49</v>
      </c>
      <c r="I1748" s="1">
        <v>3</v>
      </c>
      <c r="J1748" s="1">
        <v>85.86</v>
      </c>
      <c r="K1748" s="1">
        <v>0.05</v>
      </c>
      <c r="L1748" s="1">
        <v>244.7</v>
      </c>
      <c r="M1748" s="1" t="str">
        <f t="shared" si="54"/>
        <v>Retail Store</v>
      </c>
      <c r="N1748" s="1">
        <f t="shared" si="55"/>
        <v>421.2</v>
      </c>
    </row>
    <row r="1749" spans="1:14" x14ac:dyDescent="0.3">
      <c r="A1749" s="1" t="s">
        <v>379</v>
      </c>
      <c r="B1749" s="1" t="s">
        <v>373</v>
      </c>
      <c r="C1749" s="1" t="s">
        <v>61</v>
      </c>
      <c r="D1749" s="1" t="s">
        <v>15</v>
      </c>
      <c r="E1749" s="1" t="s">
        <v>28</v>
      </c>
      <c r="F1749" s="1" t="s">
        <v>17</v>
      </c>
      <c r="G1749" s="1" t="s">
        <v>18</v>
      </c>
      <c r="H1749" s="1" t="s">
        <v>112</v>
      </c>
      <c r="I1749" s="1">
        <v>2</v>
      </c>
      <c r="J1749" s="1">
        <v>81</v>
      </c>
      <c r="K1749" s="1">
        <v>0.05</v>
      </c>
      <c r="L1749" s="1">
        <v>153.9</v>
      </c>
      <c r="M1749" s="1" t="str">
        <f t="shared" si="54"/>
        <v>Online</v>
      </c>
      <c r="N1749" s="1">
        <f t="shared" si="55"/>
        <v>62.01</v>
      </c>
    </row>
    <row r="1750" spans="1:14" x14ac:dyDescent="0.3">
      <c r="A1750" s="1" t="s">
        <v>368</v>
      </c>
      <c r="B1750" s="1" t="s">
        <v>369</v>
      </c>
      <c r="C1750" s="1" t="s">
        <v>61</v>
      </c>
      <c r="D1750" s="1" t="s">
        <v>35</v>
      </c>
      <c r="E1750" s="1" t="s">
        <v>28</v>
      </c>
      <c r="F1750" s="1" t="s">
        <v>82</v>
      </c>
      <c r="G1750" s="1" t="s">
        <v>150</v>
      </c>
      <c r="H1750" s="1" t="s">
        <v>112</v>
      </c>
      <c r="I1750" s="1">
        <v>2</v>
      </c>
      <c r="J1750" s="1">
        <v>2793.6</v>
      </c>
      <c r="K1750" s="1">
        <v>0.15</v>
      </c>
      <c r="L1750" s="1">
        <v>4749.12</v>
      </c>
      <c r="M1750" s="1" t="str">
        <f t="shared" si="54"/>
        <v>Online</v>
      </c>
      <c r="N1750" s="1">
        <f t="shared" si="55"/>
        <v>62.01</v>
      </c>
    </row>
    <row r="1751" spans="1:14" x14ac:dyDescent="0.3">
      <c r="A1751" s="1" t="s">
        <v>370</v>
      </c>
      <c r="B1751" s="1" t="s">
        <v>369</v>
      </c>
      <c r="C1751" s="1" t="s">
        <v>14</v>
      </c>
      <c r="D1751" s="1" t="s">
        <v>27</v>
      </c>
      <c r="E1751" s="1" t="s">
        <v>16</v>
      </c>
      <c r="F1751" s="1" t="s">
        <v>36</v>
      </c>
      <c r="G1751" s="1" t="s">
        <v>37</v>
      </c>
      <c r="H1751" s="1" t="s">
        <v>19</v>
      </c>
      <c r="I1751" s="1">
        <v>2</v>
      </c>
      <c r="J1751" s="1">
        <v>742.05</v>
      </c>
      <c r="K1751" s="1">
        <v>0.05</v>
      </c>
      <c r="L1751" s="1">
        <v>1409.9</v>
      </c>
      <c r="M1751" s="1" t="str">
        <f t="shared" si="54"/>
        <v>Retail Store</v>
      </c>
      <c r="N1751" s="1">
        <f t="shared" si="55"/>
        <v>16.2</v>
      </c>
    </row>
    <row r="1752" spans="1:14" x14ac:dyDescent="0.3">
      <c r="A1752" s="1" t="s">
        <v>371</v>
      </c>
      <c r="B1752" s="1" t="s">
        <v>369</v>
      </c>
      <c r="C1752" s="1" t="s">
        <v>61</v>
      </c>
      <c r="D1752" s="1" t="s">
        <v>15</v>
      </c>
      <c r="E1752" s="1" t="s">
        <v>16</v>
      </c>
      <c r="F1752" s="1" t="s">
        <v>29</v>
      </c>
      <c r="G1752" s="1" t="s">
        <v>88</v>
      </c>
      <c r="H1752" s="1" t="s">
        <v>112</v>
      </c>
      <c r="I1752" s="1">
        <v>7</v>
      </c>
      <c r="J1752" s="1">
        <v>55.58</v>
      </c>
      <c r="K1752" s="1">
        <v>0.05</v>
      </c>
      <c r="L1752" s="1">
        <v>369.57</v>
      </c>
      <c r="M1752" s="1" t="str">
        <f t="shared" si="54"/>
        <v>Online</v>
      </c>
      <c r="N1752" s="1">
        <f t="shared" si="55"/>
        <v>62.01</v>
      </c>
    </row>
    <row r="1753" spans="1:14" x14ac:dyDescent="0.3">
      <c r="A1753" s="1" t="s">
        <v>359</v>
      </c>
      <c r="B1753" s="1" t="s">
        <v>360</v>
      </c>
      <c r="C1753" s="1" t="s">
        <v>61</v>
      </c>
      <c r="D1753" s="1" t="s">
        <v>15</v>
      </c>
      <c r="E1753" s="1" t="s">
        <v>16</v>
      </c>
      <c r="F1753" s="1" t="s">
        <v>42</v>
      </c>
      <c r="G1753" s="1" t="s">
        <v>43</v>
      </c>
      <c r="H1753" s="1" t="s">
        <v>63</v>
      </c>
      <c r="I1753" s="1">
        <v>5</v>
      </c>
      <c r="J1753" s="1">
        <v>162</v>
      </c>
      <c r="K1753" s="1">
        <v>0</v>
      </c>
      <c r="L1753" s="1">
        <v>810</v>
      </c>
      <c r="M1753" s="1" t="str">
        <f t="shared" si="54"/>
        <v>Retail Store</v>
      </c>
      <c r="N1753" s="1">
        <f t="shared" si="55"/>
        <v>62.01</v>
      </c>
    </row>
    <row r="1754" spans="1:14" x14ac:dyDescent="0.3">
      <c r="A1754" s="1" t="s">
        <v>361</v>
      </c>
      <c r="B1754" s="1" t="s">
        <v>360</v>
      </c>
      <c r="C1754" s="1" t="s">
        <v>21</v>
      </c>
      <c r="D1754" s="1" t="s">
        <v>27</v>
      </c>
      <c r="E1754" s="1" t="s">
        <v>16</v>
      </c>
      <c r="F1754" s="1" t="s">
        <v>82</v>
      </c>
      <c r="G1754" s="1" t="s">
        <v>85</v>
      </c>
      <c r="H1754" s="1" t="s">
        <v>44</v>
      </c>
      <c r="I1754" s="1">
        <v>2</v>
      </c>
      <c r="J1754" s="1">
        <v>1620</v>
      </c>
      <c r="K1754" s="1">
        <v>0</v>
      </c>
      <c r="L1754" s="1">
        <v>3240</v>
      </c>
      <c r="M1754" s="1" t="str">
        <f t="shared" si="54"/>
        <v>Retail Store</v>
      </c>
      <c r="N1754" s="1">
        <f t="shared" si="55"/>
        <v>405</v>
      </c>
    </row>
    <row r="1755" spans="1:14" x14ac:dyDescent="0.3">
      <c r="A1755" s="1" t="s">
        <v>362</v>
      </c>
      <c r="B1755" s="1" t="s">
        <v>360</v>
      </c>
      <c r="C1755" s="1" t="s">
        <v>61</v>
      </c>
      <c r="D1755" s="1" t="s">
        <v>35</v>
      </c>
      <c r="E1755" s="1" t="s">
        <v>16</v>
      </c>
      <c r="F1755" s="1" t="s">
        <v>82</v>
      </c>
      <c r="G1755" s="1" t="s">
        <v>83</v>
      </c>
      <c r="H1755" s="1" t="s">
        <v>73</v>
      </c>
      <c r="I1755" s="1">
        <v>5</v>
      </c>
      <c r="J1755" s="1">
        <v>3931.2</v>
      </c>
      <c r="K1755" s="1">
        <v>0.08</v>
      </c>
      <c r="L1755" s="1">
        <v>18083.52</v>
      </c>
      <c r="M1755" s="1" t="str">
        <f t="shared" si="54"/>
        <v>Online</v>
      </c>
      <c r="N1755" s="1">
        <f t="shared" si="55"/>
        <v>62.01</v>
      </c>
    </row>
    <row r="1756" spans="1:14" x14ac:dyDescent="0.3">
      <c r="A1756" s="1" t="s">
        <v>363</v>
      </c>
      <c r="B1756" s="1" t="s">
        <v>360</v>
      </c>
      <c r="C1756" s="1" t="s">
        <v>54</v>
      </c>
      <c r="D1756" s="1" t="s">
        <v>27</v>
      </c>
      <c r="E1756" s="1" t="s">
        <v>16</v>
      </c>
      <c r="F1756" s="1" t="s">
        <v>23</v>
      </c>
      <c r="G1756" s="1" t="s">
        <v>103</v>
      </c>
      <c r="H1756" s="1" t="s">
        <v>71</v>
      </c>
      <c r="I1756" s="1">
        <v>2</v>
      </c>
      <c r="J1756" s="1">
        <v>11.45</v>
      </c>
      <c r="K1756" s="1">
        <v>0</v>
      </c>
      <c r="L1756" s="1">
        <v>22.9</v>
      </c>
      <c r="M1756" s="1" t="str">
        <f t="shared" si="54"/>
        <v>Online</v>
      </c>
      <c r="N1756" s="1">
        <f t="shared" si="55"/>
        <v>267.12</v>
      </c>
    </row>
    <row r="1757" spans="1:14" x14ac:dyDescent="0.3">
      <c r="A1757" s="1" t="s">
        <v>364</v>
      </c>
      <c r="B1757" s="1" t="s">
        <v>360</v>
      </c>
      <c r="C1757" s="1" t="s">
        <v>21</v>
      </c>
      <c r="D1757" s="1" t="s">
        <v>27</v>
      </c>
      <c r="E1757" s="1" t="s">
        <v>16</v>
      </c>
      <c r="F1757" s="1" t="s">
        <v>36</v>
      </c>
      <c r="G1757" s="1" t="s">
        <v>119</v>
      </c>
      <c r="H1757" s="1" t="s">
        <v>25</v>
      </c>
      <c r="I1757" s="1">
        <v>2</v>
      </c>
      <c r="J1757" s="1">
        <v>630</v>
      </c>
      <c r="K1757" s="1">
        <v>0.05</v>
      </c>
      <c r="L1757" s="1">
        <v>1197</v>
      </c>
      <c r="M1757" s="1" t="str">
        <f t="shared" si="54"/>
        <v>Marketplace</v>
      </c>
      <c r="N1757" s="1">
        <f t="shared" si="55"/>
        <v>405</v>
      </c>
    </row>
    <row r="1758" spans="1:14" x14ac:dyDescent="0.3">
      <c r="A1758" s="1" t="s">
        <v>365</v>
      </c>
      <c r="B1758" s="1" t="s">
        <v>360</v>
      </c>
      <c r="C1758" s="1" t="s">
        <v>47</v>
      </c>
      <c r="D1758" s="1" t="s">
        <v>15</v>
      </c>
      <c r="E1758" s="1" t="s">
        <v>28</v>
      </c>
      <c r="F1758" s="1" t="s">
        <v>17</v>
      </c>
      <c r="G1758" s="1" t="s">
        <v>189</v>
      </c>
      <c r="H1758" s="1" t="s">
        <v>49</v>
      </c>
      <c r="I1758" s="1">
        <v>2</v>
      </c>
      <c r="J1758" s="1">
        <v>305.27999999999997</v>
      </c>
      <c r="K1758" s="1">
        <v>0.15</v>
      </c>
      <c r="L1758" s="1">
        <v>518.98</v>
      </c>
      <c r="M1758" s="1" t="str">
        <f t="shared" si="54"/>
        <v>Retail Store</v>
      </c>
      <c r="N1758" s="1">
        <f t="shared" si="55"/>
        <v>421.2</v>
      </c>
    </row>
    <row r="1759" spans="1:14" x14ac:dyDescent="0.3">
      <c r="A1759" s="1" t="s">
        <v>366</v>
      </c>
      <c r="B1759" s="1" t="s">
        <v>360</v>
      </c>
      <c r="C1759" s="1" t="s">
        <v>47</v>
      </c>
      <c r="D1759" s="1" t="s">
        <v>15</v>
      </c>
      <c r="E1759" s="1" t="s">
        <v>16</v>
      </c>
      <c r="F1759" s="1" t="s">
        <v>17</v>
      </c>
      <c r="G1759" s="1" t="s">
        <v>98</v>
      </c>
      <c r="H1759" s="1" t="s">
        <v>49</v>
      </c>
      <c r="I1759" s="1">
        <v>3</v>
      </c>
      <c r="J1759" s="1">
        <v>384.75</v>
      </c>
      <c r="K1759" s="1">
        <v>0.05</v>
      </c>
      <c r="L1759" s="1">
        <v>1096.54</v>
      </c>
      <c r="M1759" s="1" t="str">
        <f t="shared" si="54"/>
        <v>Retail Store</v>
      </c>
      <c r="N1759" s="1">
        <f t="shared" si="55"/>
        <v>421.2</v>
      </c>
    </row>
    <row r="1760" spans="1:14" x14ac:dyDescent="0.3">
      <c r="A1760" s="1" t="s">
        <v>367</v>
      </c>
      <c r="B1760" s="1" t="s">
        <v>360</v>
      </c>
      <c r="C1760" s="1" t="s">
        <v>54</v>
      </c>
      <c r="D1760" s="1" t="s">
        <v>15</v>
      </c>
      <c r="E1760" s="1" t="s">
        <v>16</v>
      </c>
      <c r="F1760" s="1" t="s">
        <v>17</v>
      </c>
      <c r="G1760" s="1" t="s">
        <v>98</v>
      </c>
      <c r="H1760" s="1" t="s">
        <v>71</v>
      </c>
      <c r="I1760" s="1">
        <v>4</v>
      </c>
      <c r="J1760" s="1">
        <v>392.85</v>
      </c>
      <c r="K1760" s="1">
        <v>0.05</v>
      </c>
      <c r="L1760" s="1">
        <v>1492.83</v>
      </c>
      <c r="M1760" s="1" t="str">
        <f t="shared" si="54"/>
        <v>Online</v>
      </c>
      <c r="N1760" s="1">
        <f t="shared" si="55"/>
        <v>267.12</v>
      </c>
    </row>
    <row r="1761" spans="1:14" x14ac:dyDescent="0.3">
      <c r="A1761" s="1" t="s">
        <v>353</v>
      </c>
      <c r="B1761" s="1" t="s">
        <v>354</v>
      </c>
      <c r="C1761" s="1" t="s">
        <v>47</v>
      </c>
      <c r="D1761" s="1" t="s">
        <v>35</v>
      </c>
      <c r="E1761" s="1" t="s">
        <v>16</v>
      </c>
      <c r="F1761" s="1" t="s">
        <v>29</v>
      </c>
      <c r="G1761" s="1" t="s">
        <v>30</v>
      </c>
      <c r="H1761" s="1" t="s">
        <v>49</v>
      </c>
      <c r="I1761" s="1">
        <v>6</v>
      </c>
      <c r="J1761" s="1">
        <v>47.03</v>
      </c>
      <c r="K1761" s="1">
        <v>0.05</v>
      </c>
      <c r="L1761" s="1">
        <v>268.04000000000002</v>
      </c>
      <c r="M1761" s="1" t="str">
        <f t="shared" si="54"/>
        <v>Retail Store</v>
      </c>
      <c r="N1761" s="1">
        <f t="shared" si="55"/>
        <v>421.2</v>
      </c>
    </row>
    <row r="1762" spans="1:14" x14ac:dyDescent="0.3">
      <c r="A1762" s="1" t="s">
        <v>355</v>
      </c>
      <c r="B1762" s="1" t="s">
        <v>354</v>
      </c>
      <c r="C1762" s="1" t="s">
        <v>21</v>
      </c>
      <c r="D1762" s="1" t="s">
        <v>15</v>
      </c>
      <c r="E1762" s="1" t="s">
        <v>28</v>
      </c>
      <c r="F1762" s="1" t="s">
        <v>42</v>
      </c>
      <c r="G1762" s="1" t="s">
        <v>65</v>
      </c>
      <c r="H1762" s="1" t="s">
        <v>44</v>
      </c>
      <c r="I1762" s="1">
        <v>3</v>
      </c>
      <c r="J1762" s="1">
        <v>702</v>
      </c>
      <c r="K1762" s="1">
        <v>0.15</v>
      </c>
      <c r="L1762" s="1">
        <v>1790.1</v>
      </c>
      <c r="M1762" s="1" t="str">
        <f t="shared" si="54"/>
        <v>Retail Store</v>
      </c>
      <c r="N1762" s="1">
        <f t="shared" si="55"/>
        <v>405</v>
      </c>
    </row>
    <row r="1763" spans="1:14" x14ac:dyDescent="0.3">
      <c r="A1763" s="1" t="s">
        <v>356</v>
      </c>
      <c r="B1763" s="1" t="s">
        <v>354</v>
      </c>
      <c r="C1763" s="1" t="s">
        <v>14</v>
      </c>
      <c r="D1763" s="1" t="s">
        <v>27</v>
      </c>
      <c r="E1763" s="1" t="s">
        <v>28</v>
      </c>
      <c r="F1763" s="1" t="s">
        <v>82</v>
      </c>
      <c r="G1763" s="1" t="s">
        <v>150</v>
      </c>
      <c r="H1763" s="1" t="s">
        <v>19</v>
      </c>
      <c r="I1763" s="1">
        <v>2</v>
      </c>
      <c r="J1763" s="1">
        <v>2995.2</v>
      </c>
      <c r="K1763" s="1">
        <v>0.08</v>
      </c>
      <c r="L1763" s="1">
        <v>5511.17</v>
      </c>
      <c r="M1763" s="1" t="str">
        <f t="shared" si="54"/>
        <v>Retail Store</v>
      </c>
      <c r="N1763" s="1">
        <f t="shared" si="55"/>
        <v>16.2</v>
      </c>
    </row>
    <row r="1764" spans="1:14" x14ac:dyDescent="0.3">
      <c r="A1764" s="1" t="s">
        <v>357</v>
      </c>
      <c r="B1764" s="1" t="s">
        <v>354</v>
      </c>
      <c r="C1764" s="1" t="s">
        <v>54</v>
      </c>
      <c r="D1764" s="1" t="s">
        <v>15</v>
      </c>
      <c r="E1764" s="1" t="s">
        <v>16</v>
      </c>
      <c r="F1764" s="1" t="s">
        <v>36</v>
      </c>
      <c r="G1764" s="1" t="s">
        <v>70</v>
      </c>
      <c r="H1764" s="1" t="s">
        <v>80</v>
      </c>
      <c r="I1764" s="1">
        <v>5</v>
      </c>
      <c r="J1764" s="1">
        <v>522</v>
      </c>
      <c r="K1764" s="1">
        <v>0.1</v>
      </c>
      <c r="L1764" s="1">
        <v>2349</v>
      </c>
      <c r="M1764" s="1" t="str">
        <f t="shared" si="54"/>
        <v>Marketplace</v>
      </c>
      <c r="N1764" s="1">
        <f t="shared" si="55"/>
        <v>267.12</v>
      </c>
    </row>
    <row r="1765" spans="1:14" x14ac:dyDescent="0.3">
      <c r="A1765" s="1" t="s">
        <v>358</v>
      </c>
      <c r="B1765" s="1" t="s">
        <v>354</v>
      </c>
      <c r="C1765" s="1" t="s">
        <v>14</v>
      </c>
      <c r="D1765" s="1" t="s">
        <v>15</v>
      </c>
      <c r="E1765" s="1" t="s">
        <v>28</v>
      </c>
      <c r="F1765" s="1" t="s">
        <v>29</v>
      </c>
      <c r="G1765" s="1" t="s">
        <v>51</v>
      </c>
      <c r="H1765" s="1" t="s">
        <v>31</v>
      </c>
      <c r="I1765" s="1">
        <v>3</v>
      </c>
      <c r="J1765" s="1">
        <v>40.5</v>
      </c>
      <c r="K1765" s="1">
        <v>0.08</v>
      </c>
      <c r="L1765" s="1">
        <v>111.78</v>
      </c>
      <c r="M1765" s="1" t="str">
        <f t="shared" si="54"/>
        <v>Online</v>
      </c>
      <c r="N1765" s="1">
        <f t="shared" si="55"/>
        <v>16.2</v>
      </c>
    </row>
    <row r="1766" spans="1:14" x14ac:dyDescent="0.3">
      <c r="A1766" s="1" t="s">
        <v>348</v>
      </c>
      <c r="B1766" s="1" t="s">
        <v>349</v>
      </c>
      <c r="C1766" s="1" t="s">
        <v>14</v>
      </c>
      <c r="D1766" s="1" t="s">
        <v>27</v>
      </c>
      <c r="E1766" s="1" t="s">
        <v>16</v>
      </c>
      <c r="F1766" s="1" t="s">
        <v>82</v>
      </c>
      <c r="G1766" s="1" t="s">
        <v>85</v>
      </c>
      <c r="H1766" s="1" t="s">
        <v>31</v>
      </c>
      <c r="I1766" s="1">
        <v>4</v>
      </c>
      <c r="J1766" s="1">
        <v>1652.4</v>
      </c>
      <c r="K1766" s="1">
        <v>0.03</v>
      </c>
      <c r="L1766" s="1">
        <v>6411.31</v>
      </c>
      <c r="M1766" s="1" t="str">
        <f t="shared" si="54"/>
        <v>Online</v>
      </c>
      <c r="N1766" s="1">
        <f t="shared" si="55"/>
        <v>16.2</v>
      </c>
    </row>
    <row r="1767" spans="1:14" x14ac:dyDescent="0.3">
      <c r="A1767" s="1" t="s">
        <v>350</v>
      </c>
      <c r="B1767" s="1" t="s">
        <v>349</v>
      </c>
      <c r="C1767" s="1" t="s">
        <v>61</v>
      </c>
      <c r="D1767" s="1" t="s">
        <v>22</v>
      </c>
      <c r="E1767" s="1" t="s">
        <v>16</v>
      </c>
      <c r="F1767" s="1" t="s">
        <v>42</v>
      </c>
      <c r="G1767" s="1" t="s">
        <v>43</v>
      </c>
      <c r="H1767" s="1" t="s">
        <v>112</v>
      </c>
      <c r="I1767" s="1">
        <v>4</v>
      </c>
      <c r="J1767" s="1">
        <v>168.48</v>
      </c>
      <c r="K1767" s="1">
        <v>0.15</v>
      </c>
      <c r="L1767" s="1">
        <v>572.83000000000004</v>
      </c>
      <c r="M1767" s="1" t="str">
        <f t="shared" si="54"/>
        <v>Online</v>
      </c>
      <c r="N1767" s="1">
        <f t="shared" si="55"/>
        <v>62.01</v>
      </c>
    </row>
    <row r="1768" spans="1:14" x14ac:dyDescent="0.3">
      <c r="A1768" s="1" t="s">
        <v>351</v>
      </c>
      <c r="B1768" s="1" t="s">
        <v>349</v>
      </c>
      <c r="C1768" s="1" t="s">
        <v>14</v>
      </c>
      <c r="D1768" s="1" t="s">
        <v>22</v>
      </c>
      <c r="E1768" s="1" t="s">
        <v>28</v>
      </c>
      <c r="F1768" s="1" t="s">
        <v>17</v>
      </c>
      <c r="G1768" s="1" t="s">
        <v>98</v>
      </c>
      <c r="H1768" s="1" t="s">
        <v>40</v>
      </c>
      <c r="I1768" s="1">
        <v>2</v>
      </c>
      <c r="J1768" s="1">
        <v>392.85</v>
      </c>
      <c r="K1768" s="1">
        <v>0.05</v>
      </c>
      <c r="L1768" s="1">
        <v>746.42</v>
      </c>
      <c r="M1768" s="1" t="str">
        <f t="shared" si="54"/>
        <v>Online</v>
      </c>
      <c r="N1768" s="1">
        <f t="shared" si="55"/>
        <v>16.2</v>
      </c>
    </row>
    <row r="1769" spans="1:14" x14ac:dyDescent="0.3">
      <c r="A1769" s="1" t="s">
        <v>352</v>
      </c>
      <c r="B1769" s="1" t="s">
        <v>349</v>
      </c>
      <c r="C1769" s="1" t="s">
        <v>14</v>
      </c>
      <c r="D1769" s="1" t="s">
        <v>27</v>
      </c>
      <c r="E1769" s="1" t="s">
        <v>16</v>
      </c>
      <c r="F1769" s="1" t="s">
        <v>17</v>
      </c>
      <c r="G1769" s="1" t="s">
        <v>62</v>
      </c>
      <c r="H1769" s="1" t="s">
        <v>40</v>
      </c>
      <c r="I1769" s="1">
        <v>3</v>
      </c>
      <c r="J1769" s="1">
        <v>52.38</v>
      </c>
      <c r="K1769" s="1">
        <v>0.08</v>
      </c>
      <c r="L1769" s="1">
        <v>144.57</v>
      </c>
      <c r="M1769" s="1" t="str">
        <f t="shared" si="54"/>
        <v>Online</v>
      </c>
      <c r="N1769" s="1">
        <f t="shared" si="55"/>
        <v>16.2</v>
      </c>
    </row>
    <row r="1770" spans="1:14" x14ac:dyDescent="0.3">
      <c r="A1770" s="1" t="s">
        <v>338</v>
      </c>
      <c r="B1770" s="1" t="s">
        <v>339</v>
      </c>
      <c r="C1770" s="1" t="s">
        <v>21</v>
      </c>
      <c r="D1770" s="1" t="s">
        <v>22</v>
      </c>
      <c r="E1770" s="1" t="s">
        <v>16</v>
      </c>
      <c r="F1770" s="1" t="s">
        <v>82</v>
      </c>
      <c r="G1770" s="1" t="s">
        <v>96</v>
      </c>
      <c r="H1770" s="1" t="s">
        <v>25</v>
      </c>
      <c r="I1770" s="1">
        <v>2</v>
      </c>
      <c r="J1770" s="1">
        <v>2700</v>
      </c>
      <c r="K1770" s="1">
        <v>0.05</v>
      </c>
      <c r="L1770" s="1">
        <v>5130</v>
      </c>
      <c r="M1770" s="1" t="str">
        <f t="shared" si="54"/>
        <v>Marketplace</v>
      </c>
      <c r="N1770" s="1">
        <f t="shared" si="55"/>
        <v>405</v>
      </c>
    </row>
    <row r="1771" spans="1:14" x14ac:dyDescent="0.3">
      <c r="A1771" s="1" t="s">
        <v>340</v>
      </c>
      <c r="B1771" s="1" t="s">
        <v>339</v>
      </c>
      <c r="C1771" s="1" t="s">
        <v>54</v>
      </c>
      <c r="D1771" s="1" t="s">
        <v>35</v>
      </c>
      <c r="E1771" s="1" t="s">
        <v>16</v>
      </c>
      <c r="F1771" s="1" t="s">
        <v>29</v>
      </c>
      <c r="G1771" s="1" t="s">
        <v>33</v>
      </c>
      <c r="H1771" s="1" t="s">
        <v>71</v>
      </c>
      <c r="I1771" s="1">
        <v>5</v>
      </c>
      <c r="J1771" s="1">
        <v>13.77</v>
      </c>
      <c r="K1771" s="1">
        <v>0.1</v>
      </c>
      <c r="L1771" s="1">
        <v>61.97</v>
      </c>
      <c r="M1771" s="1" t="str">
        <f t="shared" si="54"/>
        <v>Online</v>
      </c>
      <c r="N1771" s="1">
        <f t="shared" si="55"/>
        <v>267.12</v>
      </c>
    </row>
    <row r="1772" spans="1:14" x14ac:dyDescent="0.3">
      <c r="A1772" s="1" t="s">
        <v>341</v>
      </c>
      <c r="B1772" s="1" t="s">
        <v>339</v>
      </c>
      <c r="C1772" s="1" t="s">
        <v>47</v>
      </c>
      <c r="D1772" s="1" t="s">
        <v>27</v>
      </c>
      <c r="E1772" s="1" t="s">
        <v>16</v>
      </c>
      <c r="F1772" s="1" t="s">
        <v>82</v>
      </c>
      <c r="G1772" s="1" t="s">
        <v>150</v>
      </c>
      <c r="H1772" s="1" t="s">
        <v>49</v>
      </c>
      <c r="I1772" s="1">
        <v>2</v>
      </c>
      <c r="J1772" s="1">
        <v>3052.8</v>
      </c>
      <c r="K1772" s="1">
        <v>0.15</v>
      </c>
      <c r="L1772" s="1">
        <v>5189.76</v>
      </c>
      <c r="M1772" s="1" t="str">
        <f t="shared" si="54"/>
        <v>Retail Store</v>
      </c>
      <c r="N1772" s="1">
        <f t="shared" si="55"/>
        <v>421.2</v>
      </c>
    </row>
    <row r="1773" spans="1:14" x14ac:dyDescent="0.3">
      <c r="A1773" s="1" t="s">
        <v>342</v>
      </c>
      <c r="B1773" s="1" t="s">
        <v>339</v>
      </c>
      <c r="C1773" s="1" t="s">
        <v>61</v>
      </c>
      <c r="D1773" s="1" t="s">
        <v>27</v>
      </c>
      <c r="E1773" s="1" t="s">
        <v>16</v>
      </c>
      <c r="F1773" s="1" t="s">
        <v>29</v>
      </c>
      <c r="G1773" s="1" t="s">
        <v>33</v>
      </c>
      <c r="H1773" s="1" t="s">
        <v>73</v>
      </c>
      <c r="I1773" s="1">
        <v>2</v>
      </c>
      <c r="J1773" s="1">
        <v>13.5</v>
      </c>
      <c r="K1773" s="1">
        <v>0.15</v>
      </c>
      <c r="L1773" s="1">
        <v>22.95</v>
      </c>
      <c r="M1773" s="1" t="str">
        <f t="shared" si="54"/>
        <v>Online</v>
      </c>
      <c r="N1773" s="1">
        <f t="shared" si="55"/>
        <v>62.01</v>
      </c>
    </row>
    <row r="1774" spans="1:14" x14ac:dyDescent="0.3">
      <c r="A1774" s="1" t="s">
        <v>343</v>
      </c>
      <c r="B1774" s="1" t="s">
        <v>339</v>
      </c>
      <c r="C1774" s="1" t="s">
        <v>54</v>
      </c>
      <c r="D1774" s="1" t="s">
        <v>27</v>
      </c>
      <c r="E1774" s="1" t="s">
        <v>28</v>
      </c>
      <c r="F1774" s="1" t="s">
        <v>36</v>
      </c>
      <c r="G1774" s="1" t="s">
        <v>70</v>
      </c>
      <c r="H1774" s="1" t="s">
        <v>71</v>
      </c>
      <c r="I1774" s="1">
        <v>3</v>
      </c>
      <c r="J1774" s="1">
        <v>506.34</v>
      </c>
      <c r="K1774" s="1">
        <v>0.05</v>
      </c>
      <c r="L1774" s="1">
        <v>1443.07</v>
      </c>
      <c r="M1774" s="1" t="str">
        <f t="shared" si="54"/>
        <v>Online</v>
      </c>
      <c r="N1774" s="1">
        <f t="shared" si="55"/>
        <v>267.12</v>
      </c>
    </row>
    <row r="1775" spans="1:14" x14ac:dyDescent="0.3">
      <c r="A1775" s="1" t="s">
        <v>344</v>
      </c>
      <c r="B1775" s="1" t="s">
        <v>339</v>
      </c>
      <c r="C1775" s="1" t="s">
        <v>54</v>
      </c>
      <c r="D1775" s="1" t="s">
        <v>27</v>
      </c>
      <c r="E1775" s="1" t="s">
        <v>16</v>
      </c>
      <c r="F1775" s="1" t="s">
        <v>29</v>
      </c>
      <c r="G1775" s="1" t="s">
        <v>39</v>
      </c>
      <c r="H1775" s="1" t="s">
        <v>71</v>
      </c>
      <c r="I1775" s="1">
        <v>4</v>
      </c>
      <c r="J1775" s="1">
        <v>72</v>
      </c>
      <c r="K1775" s="1">
        <v>0.03</v>
      </c>
      <c r="L1775" s="1">
        <v>279.36</v>
      </c>
      <c r="M1775" s="1" t="str">
        <f t="shared" si="54"/>
        <v>Online</v>
      </c>
      <c r="N1775" s="1">
        <f t="shared" si="55"/>
        <v>267.12</v>
      </c>
    </row>
    <row r="1776" spans="1:14" x14ac:dyDescent="0.3">
      <c r="A1776" s="1" t="s">
        <v>345</v>
      </c>
      <c r="B1776" s="1" t="s">
        <v>339</v>
      </c>
      <c r="C1776" s="1" t="s">
        <v>61</v>
      </c>
      <c r="D1776" s="1" t="s">
        <v>15</v>
      </c>
      <c r="E1776" s="1" t="s">
        <v>16</v>
      </c>
      <c r="F1776" s="1" t="s">
        <v>29</v>
      </c>
      <c r="G1776" s="1" t="s">
        <v>33</v>
      </c>
      <c r="H1776" s="1" t="s">
        <v>73</v>
      </c>
      <c r="I1776" s="1">
        <v>4</v>
      </c>
      <c r="J1776" s="1">
        <v>13.77</v>
      </c>
      <c r="K1776" s="1">
        <v>0.1</v>
      </c>
      <c r="L1776" s="1">
        <v>49.57</v>
      </c>
      <c r="M1776" s="1" t="str">
        <f t="shared" si="54"/>
        <v>Online</v>
      </c>
      <c r="N1776" s="1">
        <f t="shared" si="55"/>
        <v>62.01</v>
      </c>
    </row>
    <row r="1777" spans="1:14" x14ac:dyDescent="0.3">
      <c r="A1777" s="1" t="s">
        <v>346</v>
      </c>
      <c r="B1777" s="1" t="s">
        <v>339</v>
      </c>
      <c r="C1777" s="1" t="s">
        <v>14</v>
      </c>
      <c r="D1777" s="1" t="s">
        <v>35</v>
      </c>
      <c r="E1777" s="1" t="s">
        <v>16</v>
      </c>
      <c r="F1777" s="1" t="s">
        <v>82</v>
      </c>
      <c r="G1777" s="1" t="s">
        <v>114</v>
      </c>
      <c r="H1777" s="1" t="s">
        <v>31</v>
      </c>
      <c r="I1777" s="1">
        <v>3</v>
      </c>
      <c r="J1777" s="1">
        <v>2250</v>
      </c>
      <c r="K1777" s="1">
        <v>0.05</v>
      </c>
      <c r="L1777" s="1">
        <v>6412.5</v>
      </c>
      <c r="M1777" s="1" t="str">
        <f t="shared" si="54"/>
        <v>Online</v>
      </c>
      <c r="N1777" s="1">
        <f t="shared" si="55"/>
        <v>16.2</v>
      </c>
    </row>
    <row r="1778" spans="1:14" x14ac:dyDescent="0.3">
      <c r="A1778" s="1" t="s">
        <v>347</v>
      </c>
      <c r="B1778" s="1" t="s">
        <v>339</v>
      </c>
      <c r="C1778" s="1" t="s">
        <v>47</v>
      </c>
      <c r="D1778" s="1" t="s">
        <v>22</v>
      </c>
      <c r="E1778" s="1" t="s">
        <v>16</v>
      </c>
      <c r="F1778" s="1" t="s">
        <v>29</v>
      </c>
      <c r="G1778" s="1" t="s">
        <v>39</v>
      </c>
      <c r="H1778" s="1" t="s">
        <v>78</v>
      </c>
      <c r="I1778" s="1">
        <v>8</v>
      </c>
      <c r="J1778" s="1">
        <v>68.400000000000006</v>
      </c>
      <c r="K1778" s="1">
        <v>0</v>
      </c>
      <c r="L1778" s="1">
        <v>547.20000000000005</v>
      </c>
      <c r="M1778" s="1" t="str">
        <f t="shared" si="54"/>
        <v>Retail Store</v>
      </c>
      <c r="N1778" s="1">
        <f t="shared" si="55"/>
        <v>421.2</v>
      </c>
    </row>
    <row r="1779" spans="1:14" x14ac:dyDescent="0.3">
      <c r="A1779" s="1" t="s">
        <v>331</v>
      </c>
      <c r="B1779" s="1" t="s">
        <v>332</v>
      </c>
      <c r="C1779" s="1" t="s">
        <v>61</v>
      </c>
      <c r="D1779" s="1" t="s">
        <v>15</v>
      </c>
      <c r="E1779" s="1" t="s">
        <v>16</v>
      </c>
      <c r="F1779" s="1" t="s">
        <v>42</v>
      </c>
      <c r="G1779" s="1" t="s">
        <v>43</v>
      </c>
      <c r="H1779" s="1" t="s">
        <v>73</v>
      </c>
      <c r="I1779" s="1">
        <v>8</v>
      </c>
      <c r="J1779" s="1">
        <v>168.48</v>
      </c>
      <c r="K1779" s="1">
        <v>0.2</v>
      </c>
      <c r="L1779" s="1">
        <v>1078.27</v>
      </c>
      <c r="M1779" s="1" t="str">
        <f t="shared" si="54"/>
        <v>Online</v>
      </c>
      <c r="N1779" s="1">
        <f t="shared" si="55"/>
        <v>62.01</v>
      </c>
    </row>
    <row r="1780" spans="1:14" x14ac:dyDescent="0.3">
      <c r="A1780" s="1" t="s">
        <v>333</v>
      </c>
      <c r="B1780" s="1" t="s">
        <v>332</v>
      </c>
      <c r="C1780" s="1" t="s">
        <v>21</v>
      </c>
      <c r="D1780" s="1" t="s">
        <v>15</v>
      </c>
      <c r="E1780" s="1" t="s">
        <v>16</v>
      </c>
      <c r="F1780" s="1" t="s">
        <v>17</v>
      </c>
      <c r="G1780" s="1" t="s">
        <v>98</v>
      </c>
      <c r="H1780" s="1" t="s">
        <v>44</v>
      </c>
      <c r="I1780" s="1">
        <v>6</v>
      </c>
      <c r="J1780" s="1">
        <v>405</v>
      </c>
      <c r="K1780" s="1">
        <v>0</v>
      </c>
      <c r="L1780" s="1">
        <v>2430</v>
      </c>
      <c r="M1780" s="1" t="str">
        <f t="shared" si="54"/>
        <v>Retail Store</v>
      </c>
      <c r="N1780" s="1">
        <f t="shared" si="55"/>
        <v>405</v>
      </c>
    </row>
    <row r="1781" spans="1:14" x14ac:dyDescent="0.3">
      <c r="A1781" s="1" t="s">
        <v>334</v>
      </c>
      <c r="B1781" s="1" t="s">
        <v>332</v>
      </c>
      <c r="C1781" s="1" t="s">
        <v>47</v>
      </c>
      <c r="D1781" s="1" t="s">
        <v>35</v>
      </c>
      <c r="E1781" s="1" t="s">
        <v>16</v>
      </c>
      <c r="F1781" s="1" t="s">
        <v>36</v>
      </c>
      <c r="G1781" s="1" t="s">
        <v>70</v>
      </c>
      <c r="H1781" s="1" t="s">
        <v>49</v>
      </c>
      <c r="I1781" s="1">
        <v>5</v>
      </c>
      <c r="J1781" s="1">
        <v>522</v>
      </c>
      <c r="K1781" s="1">
        <v>0.05</v>
      </c>
      <c r="L1781" s="1">
        <v>2479.5</v>
      </c>
      <c r="M1781" s="1" t="str">
        <f t="shared" si="54"/>
        <v>Retail Store</v>
      </c>
      <c r="N1781" s="1">
        <f t="shared" si="55"/>
        <v>421.2</v>
      </c>
    </row>
    <row r="1782" spans="1:14" x14ac:dyDescent="0.3">
      <c r="A1782" s="1" t="s">
        <v>335</v>
      </c>
      <c r="B1782" s="1" t="s">
        <v>332</v>
      </c>
      <c r="C1782" s="1" t="s">
        <v>61</v>
      </c>
      <c r="D1782" s="1" t="s">
        <v>22</v>
      </c>
      <c r="E1782" s="1" t="s">
        <v>16</v>
      </c>
      <c r="F1782" s="1" t="s">
        <v>36</v>
      </c>
      <c r="G1782" s="1" t="s">
        <v>119</v>
      </c>
      <c r="H1782" s="1" t="s">
        <v>63</v>
      </c>
      <c r="I1782" s="1">
        <v>3</v>
      </c>
      <c r="J1782" s="1">
        <v>642.6</v>
      </c>
      <c r="K1782" s="1">
        <v>0.1</v>
      </c>
      <c r="L1782" s="1">
        <v>1735.02</v>
      </c>
      <c r="M1782" s="1" t="str">
        <f t="shared" si="54"/>
        <v>Retail Store</v>
      </c>
      <c r="N1782" s="1">
        <f t="shared" si="55"/>
        <v>62.01</v>
      </c>
    </row>
    <row r="1783" spans="1:14" x14ac:dyDescent="0.3">
      <c r="A1783" s="1" t="s">
        <v>336</v>
      </c>
      <c r="B1783" s="1" t="s">
        <v>332</v>
      </c>
      <c r="C1783" s="1" t="s">
        <v>47</v>
      </c>
      <c r="D1783" s="1" t="s">
        <v>15</v>
      </c>
      <c r="E1783" s="1" t="s">
        <v>28</v>
      </c>
      <c r="F1783" s="1" t="s">
        <v>36</v>
      </c>
      <c r="G1783" s="1" t="s">
        <v>70</v>
      </c>
      <c r="H1783" s="1" t="s">
        <v>58</v>
      </c>
      <c r="I1783" s="1">
        <v>3</v>
      </c>
      <c r="J1783" s="1">
        <v>532.44000000000005</v>
      </c>
      <c r="K1783" s="1">
        <v>0.05</v>
      </c>
      <c r="L1783" s="1">
        <v>1517.45</v>
      </c>
      <c r="M1783" s="1" t="str">
        <f t="shared" si="54"/>
        <v>Corporate Sales</v>
      </c>
      <c r="N1783" s="1">
        <f t="shared" si="55"/>
        <v>421.2</v>
      </c>
    </row>
    <row r="1784" spans="1:14" x14ac:dyDescent="0.3">
      <c r="A1784" s="1" t="s">
        <v>337</v>
      </c>
      <c r="B1784" s="1" t="s">
        <v>332</v>
      </c>
      <c r="C1784" s="1" t="s">
        <v>61</v>
      </c>
      <c r="D1784" s="1" t="s">
        <v>35</v>
      </c>
      <c r="E1784" s="1" t="s">
        <v>16</v>
      </c>
      <c r="F1784" s="1" t="s">
        <v>82</v>
      </c>
      <c r="G1784" s="1" t="s">
        <v>114</v>
      </c>
      <c r="H1784" s="1" t="s">
        <v>63</v>
      </c>
      <c r="I1784" s="1">
        <v>3</v>
      </c>
      <c r="J1784" s="1">
        <v>2250</v>
      </c>
      <c r="K1784" s="1">
        <v>0.03</v>
      </c>
      <c r="L1784" s="1">
        <v>6547.5</v>
      </c>
      <c r="M1784" s="1" t="str">
        <f t="shared" si="54"/>
        <v>Retail Store</v>
      </c>
      <c r="N1784" s="1">
        <f t="shared" si="55"/>
        <v>62.01</v>
      </c>
    </row>
    <row r="1785" spans="1:14" x14ac:dyDescent="0.3">
      <c r="A1785" s="1" t="s">
        <v>322</v>
      </c>
      <c r="B1785" s="1" t="s">
        <v>323</v>
      </c>
      <c r="C1785" s="1" t="s">
        <v>54</v>
      </c>
      <c r="D1785" s="1" t="s">
        <v>15</v>
      </c>
      <c r="E1785" s="1" t="s">
        <v>16</v>
      </c>
      <c r="F1785" s="1" t="s">
        <v>42</v>
      </c>
      <c r="G1785" s="1" t="s">
        <v>48</v>
      </c>
      <c r="H1785" s="1" t="s">
        <v>71</v>
      </c>
      <c r="I1785" s="1">
        <v>4</v>
      </c>
      <c r="J1785" s="1">
        <v>18</v>
      </c>
      <c r="K1785" s="1">
        <v>0.05</v>
      </c>
      <c r="L1785" s="1">
        <v>68.400000000000006</v>
      </c>
      <c r="M1785" s="1" t="str">
        <f t="shared" si="54"/>
        <v>Online</v>
      </c>
      <c r="N1785" s="1">
        <f t="shared" si="55"/>
        <v>267.12</v>
      </c>
    </row>
    <row r="1786" spans="1:14" x14ac:dyDescent="0.3">
      <c r="A1786" s="1" t="s">
        <v>324</v>
      </c>
      <c r="B1786" s="1" t="s">
        <v>323</v>
      </c>
      <c r="C1786" s="1" t="s">
        <v>54</v>
      </c>
      <c r="D1786" s="1" t="s">
        <v>15</v>
      </c>
      <c r="E1786" s="1" t="s">
        <v>16</v>
      </c>
      <c r="F1786" s="1" t="s">
        <v>29</v>
      </c>
      <c r="G1786" s="1" t="s">
        <v>88</v>
      </c>
      <c r="H1786" s="1" t="s">
        <v>56</v>
      </c>
      <c r="I1786" s="1">
        <v>6</v>
      </c>
      <c r="J1786" s="1">
        <v>58.5</v>
      </c>
      <c r="K1786" s="1">
        <v>0.05</v>
      </c>
      <c r="L1786" s="1">
        <v>333.45</v>
      </c>
      <c r="M1786" s="1" t="str">
        <f t="shared" si="54"/>
        <v>Online</v>
      </c>
      <c r="N1786" s="1">
        <f t="shared" si="55"/>
        <v>267.12</v>
      </c>
    </row>
    <row r="1787" spans="1:14" x14ac:dyDescent="0.3">
      <c r="A1787" s="1" t="s">
        <v>325</v>
      </c>
      <c r="B1787" s="1" t="s">
        <v>323</v>
      </c>
      <c r="C1787" s="1" t="s">
        <v>21</v>
      </c>
      <c r="D1787" s="1" t="s">
        <v>27</v>
      </c>
      <c r="E1787" s="1" t="s">
        <v>16</v>
      </c>
      <c r="F1787" s="1" t="s">
        <v>29</v>
      </c>
      <c r="G1787" s="1" t="s">
        <v>55</v>
      </c>
      <c r="H1787" s="1" t="s">
        <v>44</v>
      </c>
      <c r="I1787" s="1">
        <v>7</v>
      </c>
      <c r="J1787" s="1">
        <v>32.49</v>
      </c>
      <c r="K1787" s="1">
        <v>0.03</v>
      </c>
      <c r="L1787" s="1">
        <v>220.61</v>
      </c>
      <c r="M1787" s="1" t="str">
        <f t="shared" si="54"/>
        <v>Retail Store</v>
      </c>
      <c r="N1787" s="1">
        <f t="shared" si="55"/>
        <v>405</v>
      </c>
    </row>
    <row r="1788" spans="1:14" x14ac:dyDescent="0.3">
      <c r="A1788" s="1" t="s">
        <v>326</v>
      </c>
      <c r="B1788" s="1" t="s">
        <v>323</v>
      </c>
      <c r="C1788" s="1" t="s">
        <v>47</v>
      </c>
      <c r="D1788" s="1" t="s">
        <v>15</v>
      </c>
      <c r="E1788" s="1" t="s">
        <v>28</v>
      </c>
      <c r="F1788" s="1" t="s">
        <v>17</v>
      </c>
      <c r="G1788" s="1" t="s">
        <v>62</v>
      </c>
      <c r="H1788" s="1" t="s">
        <v>78</v>
      </c>
      <c r="I1788" s="1">
        <v>5</v>
      </c>
      <c r="J1788" s="1">
        <v>52.38</v>
      </c>
      <c r="K1788" s="1">
        <v>0</v>
      </c>
      <c r="L1788" s="1">
        <v>261.89999999999998</v>
      </c>
      <c r="M1788" s="1" t="str">
        <f t="shared" si="54"/>
        <v>Retail Store</v>
      </c>
      <c r="N1788" s="1">
        <f t="shared" si="55"/>
        <v>421.2</v>
      </c>
    </row>
    <row r="1789" spans="1:14" x14ac:dyDescent="0.3">
      <c r="A1789" s="1" t="s">
        <v>327</v>
      </c>
      <c r="B1789" s="1" t="s">
        <v>323</v>
      </c>
      <c r="C1789" s="1" t="s">
        <v>47</v>
      </c>
      <c r="D1789" s="1" t="s">
        <v>27</v>
      </c>
      <c r="E1789" s="1" t="s">
        <v>28</v>
      </c>
      <c r="F1789" s="1" t="s">
        <v>17</v>
      </c>
      <c r="G1789" s="1" t="s">
        <v>62</v>
      </c>
      <c r="H1789" s="1" t="s">
        <v>58</v>
      </c>
      <c r="I1789" s="1">
        <v>3</v>
      </c>
      <c r="J1789" s="1">
        <v>52.38</v>
      </c>
      <c r="K1789" s="1">
        <v>0</v>
      </c>
      <c r="L1789" s="1">
        <v>157.13999999999999</v>
      </c>
      <c r="M1789" s="1" t="str">
        <f t="shared" si="54"/>
        <v>Corporate Sales</v>
      </c>
      <c r="N1789" s="1">
        <f t="shared" si="55"/>
        <v>421.2</v>
      </c>
    </row>
    <row r="1790" spans="1:14" x14ac:dyDescent="0.3">
      <c r="A1790" s="1" t="s">
        <v>328</v>
      </c>
      <c r="B1790" s="1" t="s">
        <v>323</v>
      </c>
      <c r="C1790" s="1" t="s">
        <v>21</v>
      </c>
      <c r="D1790" s="1" t="s">
        <v>15</v>
      </c>
      <c r="E1790" s="1" t="s">
        <v>16</v>
      </c>
      <c r="F1790" s="1" t="s">
        <v>29</v>
      </c>
      <c r="G1790" s="1" t="s">
        <v>51</v>
      </c>
      <c r="H1790" s="1" t="s">
        <v>44</v>
      </c>
      <c r="I1790" s="1">
        <v>4</v>
      </c>
      <c r="J1790" s="1">
        <v>42.93</v>
      </c>
      <c r="K1790" s="1">
        <v>0.05</v>
      </c>
      <c r="L1790" s="1">
        <v>163.13</v>
      </c>
      <c r="M1790" s="1" t="str">
        <f t="shared" si="54"/>
        <v>Retail Store</v>
      </c>
      <c r="N1790" s="1">
        <f t="shared" si="55"/>
        <v>405</v>
      </c>
    </row>
    <row r="1791" spans="1:14" x14ac:dyDescent="0.3">
      <c r="A1791" s="1" t="s">
        <v>329</v>
      </c>
      <c r="B1791" s="1" t="s">
        <v>323</v>
      </c>
      <c r="C1791" s="1" t="s">
        <v>14</v>
      </c>
      <c r="D1791" s="1" t="s">
        <v>35</v>
      </c>
      <c r="E1791" s="1" t="s">
        <v>16</v>
      </c>
      <c r="F1791" s="1" t="s">
        <v>36</v>
      </c>
      <c r="G1791" s="1" t="s">
        <v>70</v>
      </c>
      <c r="H1791" s="1" t="s">
        <v>40</v>
      </c>
      <c r="I1791" s="1">
        <v>3</v>
      </c>
      <c r="J1791" s="1">
        <v>522</v>
      </c>
      <c r="K1791" s="1">
        <v>0.1</v>
      </c>
      <c r="L1791" s="1">
        <v>1409.4</v>
      </c>
      <c r="M1791" s="1" t="str">
        <f t="shared" si="54"/>
        <v>Online</v>
      </c>
      <c r="N1791" s="1">
        <f t="shared" si="55"/>
        <v>16.2</v>
      </c>
    </row>
    <row r="1792" spans="1:14" x14ac:dyDescent="0.3">
      <c r="A1792" s="1" t="s">
        <v>330</v>
      </c>
      <c r="B1792" s="1" t="s">
        <v>323</v>
      </c>
      <c r="C1792" s="1" t="s">
        <v>61</v>
      </c>
      <c r="D1792" s="1" t="s">
        <v>15</v>
      </c>
      <c r="E1792" s="1" t="s">
        <v>16</v>
      </c>
      <c r="F1792" s="1" t="s">
        <v>36</v>
      </c>
      <c r="G1792" s="1" t="s">
        <v>70</v>
      </c>
      <c r="H1792" s="1" t="s">
        <v>112</v>
      </c>
      <c r="I1792" s="1">
        <v>2</v>
      </c>
      <c r="J1792" s="1">
        <v>532.44000000000005</v>
      </c>
      <c r="K1792" s="1">
        <v>0.08</v>
      </c>
      <c r="L1792" s="1">
        <v>979.69</v>
      </c>
      <c r="M1792" s="1" t="str">
        <f t="shared" si="54"/>
        <v>Online</v>
      </c>
      <c r="N1792" s="1">
        <f t="shared" si="55"/>
        <v>62.01</v>
      </c>
    </row>
    <row r="1793" spans="1:14" x14ac:dyDescent="0.3">
      <c r="A1793" s="1" t="s">
        <v>319</v>
      </c>
      <c r="B1793" s="1" t="s">
        <v>320</v>
      </c>
      <c r="C1793" s="1" t="s">
        <v>21</v>
      </c>
      <c r="D1793" s="1" t="s">
        <v>22</v>
      </c>
      <c r="E1793" s="1" t="s">
        <v>16</v>
      </c>
      <c r="F1793" s="1" t="s">
        <v>29</v>
      </c>
      <c r="G1793" s="1" t="s">
        <v>33</v>
      </c>
      <c r="H1793" s="1" t="s">
        <v>44</v>
      </c>
      <c r="I1793" s="1">
        <v>2</v>
      </c>
      <c r="J1793" s="1">
        <v>13.77</v>
      </c>
      <c r="K1793" s="1">
        <v>0.08</v>
      </c>
      <c r="L1793" s="1">
        <v>25.34</v>
      </c>
      <c r="M1793" s="1" t="str">
        <f t="shared" si="54"/>
        <v>Retail Store</v>
      </c>
      <c r="N1793" s="1">
        <f t="shared" si="55"/>
        <v>405</v>
      </c>
    </row>
    <row r="1794" spans="1:14" x14ac:dyDescent="0.3">
      <c r="A1794" s="1" t="s">
        <v>321</v>
      </c>
      <c r="B1794" s="1" t="s">
        <v>320</v>
      </c>
      <c r="C1794" s="1" t="s">
        <v>54</v>
      </c>
      <c r="D1794" s="1" t="s">
        <v>35</v>
      </c>
      <c r="E1794" s="1" t="s">
        <v>28</v>
      </c>
      <c r="F1794" s="1" t="s">
        <v>82</v>
      </c>
      <c r="G1794" s="1" t="s">
        <v>114</v>
      </c>
      <c r="H1794" s="1" t="s">
        <v>71</v>
      </c>
      <c r="I1794" s="1">
        <v>4</v>
      </c>
      <c r="J1794" s="1">
        <v>2385</v>
      </c>
      <c r="K1794" s="1">
        <v>0.1</v>
      </c>
      <c r="L1794" s="1">
        <v>8586</v>
      </c>
      <c r="M1794" s="1" t="str">
        <f t="shared" ref="M1794:M1857" si="56">INDEX(D:D,MATCH(H1794,H:H,0))</f>
        <v>Online</v>
      </c>
      <c r="N1794" s="1">
        <f t="shared" ref="N1794:N1857" si="57">VLOOKUP(C:C,C:J,8,FALSE)</f>
        <v>267.12</v>
      </c>
    </row>
    <row r="1795" spans="1:14" x14ac:dyDescent="0.3">
      <c r="A1795" s="1" t="s">
        <v>312</v>
      </c>
      <c r="B1795" s="1" t="s">
        <v>313</v>
      </c>
      <c r="C1795" s="1" t="s">
        <v>14</v>
      </c>
      <c r="D1795" s="1" t="s">
        <v>35</v>
      </c>
      <c r="E1795" s="1" t="s">
        <v>28</v>
      </c>
      <c r="F1795" s="1" t="s">
        <v>82</v>
      </c>
      <c r="G1795" s="1" t="s">
        <v>150</v>
      </c>
      <c r="H1795" s="1" t="s">
        <v>40</v>
      </c>
      <c r="I1795" s="1">
        <v>2</v>
      </c>
      <c r="J1795" s="1">
        <v>2736</v>
      </c>
      <c r="K1795" s="1">
        <v>0.1</v>
      </c>
      <c r="L1795" s="1">
        <v>4924.8</v>
      </c>
      <c r="M1795" s="1" t="str">
        <f t="shared" si="56"/>
        <v>Online</v>
      </c>
      <c r="N1795" s="1">
        <f t="shared" si="57"/>
        <v>16.2</v>
      </c>
    </row>
    <row r="1796" spans="1:14" x14ac:dyDescent="0.3">
      <c r="A1796" s="1" t="s">
        <v>314</v>
      </c>
      <c r="B1796" s="1" t="s">
        <v>313</v>
      </c>
      <c r="C1796" s="1" t="s">
        <v>61</v>
      </c>
      <c r="D1796" s="1" t="s">
        <v>27</v>
      </c>
      <c r="E1796" s="1" t="s">
        <v>16</v>
      </c>
      <c r="F1796" s="1" t="s">
        <v>82</v>
      </c>
      <c r="G1796" s="1" t="s">
        <v>85</v>
      </c>
      <c r="H1796" s="1" t="s">
        <v>73</v>
      </c>
      <c r="I1796" s="1">
        <v>2</v>
      </c>
      <c r="J1796" s="1">
        <v>1684.8</v>
      </c>
      <c r="K1796" s="1">
        <v>0.05</v>
      </c>
      <c r="L1796" s="1">
        <v>3201.12</v>
      </c>
      <c r="M1796" s="1" t="str">
        <f t="shared" si="56"/>
        <v>Online</v>
      </c>
      <c r="N1796" s="1">
        <f t="shared" si="57"/>
        <v>62.01</v>
      </c>
    </row>
    <row r="1797" spans="1:14" x14ac:dyDescent="0.3">
      <c r="A1797" s="1" t="s">
        <v>315</v>
      </c>
      <c r="B1797" s="1" t="s">
        <v>313</v>
      </c>
      <c r="C1797" s="1" t="s">
        <v>14</v>
      </c>
      <c r="D1797" s="1" t="s">
        <v>27</v>
      </c>
      <c r="E1797" s="1" t="s">
        <v>16</v>
      </c>
      <c r="F1797" s="1" t="s">
        <v>42</v>
      </c>
      <c r="G1797" s="1" t="s">
        <v>48</v>
      </c>
      <c r="H1797" s="1" t="s">
        <v>19</v>
      </c>
      <c r="I1797" s="1">
        <v>4</v>
      </c>
      <c r="J1797" s="1">
        <v>17.100000000000001</v>
      </c>
      <c r="K1797" s="1">
        <v>0.08</v>
      </c>
      <c r="L1797" s="1">
        <v>62.93</v>
      </c>
      <c r="M1797" s="1" t="str">
        <f t="shared" si="56"/>
        <v>Retail Store</v>
      </c>
      <c r="N1797" s="1">
        <f t="shared" si="57"/>
        <v>16.2</v>
      </c>
    </row>
    <row r="1798" spans="1:14" x14ac:dyDescent="0.3">
      <c r="A1798" s="1" t="s">
        <v>316</v>
      </c>
      <c r="B1798" s="1" t="s">
        <v>313</v>
      </c>
      <c r="C1798" s="1" t="s">
        <v>14</v>
      </c>
      <c r="D1798" s="1" t="s">
        <v>22</v>
      </c>
      <c r="E1798" s="1" t="s">
        <v>16</v>
      </c>
      <c r="F1798" s="1" t="s">
        <v>36</v>
      </c>
      <c r="G1798" s="1" t="s">
        <v>119</v>
      </c>
      <c r="H1798" s="1" t="s">
        <v>40</v>
      </c>
      <c r="I1798" s="1">
        <v>3</v>
      </c>
      <c r="J1798" s="1">
        <v>598.5</v>
      </c>
      <c r="K1798" s="1">
        <v>0.1</v>
      </c>
      <c r="L1798" s="1">
        <v>1615.95</v>
      </c>
      <c r="M1798" s="1" t="str">
        <f t="shared" si="56"/>
        <v>Online</v>
      </c>
      <c r="N1798" s="1">
        <f t="shared" si="57"/>
        <v>16.2</v>
      </c>
    </row>
    <row r="1799" spans="1:14" x14ac:dyDescent="0.3">
      <c r="A1799" s="1" t="s">
        <v>317</v>
      </c>
      <c r="B1799" s="1" t="s">
        <v>313</v>
      </c>
      <c r="C1799" s="1" t="s">
        <v>47</v>
      </c>
      <c r="D1799" s="1" t="s">
        <v>15</v>
      </c>
      <c r="E1799" s="1" t="s">
        <v>16</v>
      </c>
      <c r="F1799" s="1" t="s">
        <v>17</v>
      </c>
      <c r="G1799" s="1" t="s">
        <v>18</v>
      </c>
      <c r="H1799" s="1" t="s">
        <v>49</v>
      </c>
      <c r="I1799" s="1">
        <v>3</v>
      </c>
      <c r="J1799" s="1">
        <v>78.569999999999993</v>
      </c>
      <c r="K1799" s="1">
        <v>0.05</v>
      </c>
      <c r="L1799" s="1">
        <v>223.92</v>
      </c>
      <c r="M1799" s="1" t="str">
        <f t="shared" si="56"/>
        <v>Retail Store</v>
      </c>
      <c r="N1799" s="1">
        <f t="shared" si="57"/>
        <v>421.2</v>
      </c>
    </row>
    <row r="1800" spans="1:14" x14ac:dyDescent="0.3">
      <c r="A1800" s="1" t="s">
        <v>318</v>
      </c>
      <c r="B1800" s="1" t="s">
        <v>313</v>
      </c>
      <c r="C1800" s="1" t="s">
        <v>14</v>
      </c>
      <c r="D1800" s="1" t="s">
        <v>15</v>
      </c>
      <c r="E1800" s="1" t="s">
        <v>28</v>
      </c>
      <c r="F1800" s="1" t="s">
        <v>17</v>
      </c>
      <c r="G1800" s="1" t="s">
        <v>62</v>
      </c>
      <c r="H1800" s="1" t="s">
        <v>40</v>
      </c>
      <c r="I1800" s="1">
        <v>6</v>
      </c>
      <c r="J1800" s="1">
        <v>54</v>
      </c>
      <c r="K1800" s="1">
        <v>0.05</v>
      </c>
      <c r="L1800" s="1">
        <v>307.8</v>
      </c>
      <c r="M1800" s="1" t="str">
        <f t="shared" si="56"/>
        <v>Online</v>
      </c>
      <c r="N1800" s="1">
        <f t="shared" si="57"/>
        <v>16.2</v>
      </c>
    </row>
    <row r="1801" spans="1:14" x14ac:dyDescent="0.3">
      <c r="A1801" s="1" t="s">
        <v>306</v>
      </c>
      <c r="B1801" s="1" t="s">
        <v>307</v>
      </c>
      <c r="C1801" s="1" t="s">
        <v>21</v>
      </c>
      <c r="D1801" s="1" t="s">
        <v>15</v>
      </c>
      <c r="E1801" s="1" t="s">
        <v>16</v>
      </c>
      <c r="F1801" s="1" t="s">
        <v>42</v>
      </c>
      <c r="G1801" s="1" t="s">
        <v>48</v>
      </c>
      <c r="H1801" s="1" t="s">
        <v>44</v>
      </c>
      <c r="I1801" s="1">
        <v>6</v>
      </c>
      <c r="J1801" s="1">
        <v>18.36</v>
      </c>
      <c r="K1801" s="1">
        <v>0.05</v>
      </c>
      <c r="L1801" s="1">
        <v>104.65</v>
      </c>
      <c r="M1801" s="1" t="str">
        <f t="shared" si="56"/>
        <v>Retail Store</v>
      </c>
      <c r="N1801" s="1">
        <f t="shared" si="57"/>
        <v>405</v>
      </c>
    </row>
    <row r="1802" spans="1:14" x14ac:dyDescent="0.3">
      <c r="A1802" s="1" t="s">
        <v>308</v>
      </c>
      <c r="B1802" s="1" t="s">
        <v>307</v>
      </c>
      <c r="C1802" s="1" t="s">
        <v>47</v>
      </c>
      <c r="D1802" s="1" t="s">
        <v>22</v>
      </c>
      <c r="E1802" s="1" t="s">
        <v>28</v>
      </c>
      <c r="F1802" s="1" t="s">
        <v>82</v>
      </c>
      <c r="G1802" s="1" t="s">
        <v>96</v>
      </c>
      <c r="H1802" s="1" t="s">
        <v>49</v>
      </c>
      <c r="I1802" s="1">
        <v>2</v>
      </c>
      <c r="J1802" s="1">
        <v>2565</v>
      </c>
      <c r="K1802" s="1">
        <v>0.03</v>
      </c>
      <c r="L1802" s="1">
        <v>4976.1000000000004</v>
      </c>
      <c r="M1802" s="1" t="str">
        <f t="shared" si="56"/>
        <v>Retail Store</v>
      </c>
      <c r="N1802" s="1">
        <f t="shared" si="57"/>
        <v>421.2</v>
      </c>
    </row>
    <row r="1803" spans="1:14" x14ac:dyDescent="0.3">
      <c r="A1803" s="1" t="s">
        <v>309</v>
      </c>
      <c r="B1803" s="1" t="s">
        <v>307</v>
      </c>
      <c r="C1803" s="1" t="s">
        <v>47</v>
      </c>
      <c r="D1803" s="1" t="s">
        <v>22</v>
      </c>
      <c r="E1803" s="1" t="s">
        <v>28</v>
      </c>
      <c r="F1803" s="1" t="s">
        <v>42</v>
      </c>
      <c r="G1803" s="1" t="s">
        <v>67</v>
      </c>
      <c r="H1803" s="1" t="s">
        <v>49</v>
      </c>
      <c r="I1803" s="1">
        <v>2</v>
      </c>
      <c r="J1803" s="1">
        <v>252</v>
      </c>
      <c r="K1803" s="1">
        <v>0.08</v>
      </c>
      <c r="L1803" s="1">
        <v>463.68</v>
      </c>
      <c r="M1803" s="1" t="str">
        <f t="shared" si="56"/>
        <v>Retail Store</v>
      </c>
      <c r="N1803" s="1">
        <f t="shared" si="57"/>
        <v>421.2</v>
      </c>
    </row>
    <row r="1804" spans="1:14" x14ac:dyDescent="0.3">
      <c r="A1804" s="1" t="s">
        <v>310</v>
      </c>
      <c r="B1804" s="1" t="s">
        <v>307</v>
      </c>
      <c r="C1804" s="1" t="s">
        <v>14</v>
      </c>
      <c r="D1804" s="1" t="s">
        <v>27</v>
      </c>
      <c r="E1804" s="1" t="s">
        <v>16</v>
      </c>
      <c r="F1804" s="1" t="s">
        <v>29</v>
      </c>
      <c r="G1804" s="1" t="s">
        <v>33</v>
      </c>
      <c r="H1804" s="1" t="s">
        <v>40</v>
      </c>
      <c r="I1804" s="1">
        <v>5</v>
      </c>
      <c r="J1804" s="1">
        <v>13.77</v>
      </c>
      <c r="K1804" s="1">
        <v>0.1</v>
      </c>
      <c r="L1804" s="1">
        <v>61.97</v>
      </c>
      <c r="M1804" s="1" t="str">
        <f t="shared" si="56"/>
        <v>Online</v>
      </c>
      <c r="N1804" s="1">
        <f t="shared" si="57"/>
        <v>16.2</v>
      </c>
    </row>
    <row r="1805" spans="1:14" x14ac:dyDescent="0.3">
      <c r="A1805" s="1" t="s">
        <v>311</v>
      </c>
      <c r="B1805" s="1" t="s">
        <v>307</v>
      </c>
      <c r="C1805" s="1" t="s">
        <v>54</v>
      </c>
      <c r="D1805" s="1" t="s">
        <v>22</v>
      </c>
      <c r="E1805" s="1" t="s">
        <v>28</v>
      </c>
      <c r="F1805" s="1" t="s">
        <v>82</v>
      </c>
      <c r="G1805" s="1" t="s">
        <v>114</v>
      </c>
      <c r="H1805" s="1" t="s">
        <v>71</v>
      </c>
      <c r="I1805" s="1">
        <v>4</v>
      </c>
      <c r="J1805" s="1">
        <v>2182.5</v>
      </c>
      <c r="K1805" s="1">
        <v>0.03</v>
      </c>
      <c r="L1805" s="1">
        <v>8468.1</v>
      </c>
      <c r="M1805" s="1" t="str">
        <f t="shared" si="56"/>
        <v>Online</v>
      </c>
      <c r="N1805" s="1">
        <f t="shared" si="57"/>
        <v>267.12</v>
      </c>
    </row>
    <row r="1806" spans="1:14" x14ac:dyDescent="0.3">
      <c r="A1806" s="1" t="s">
        <v>301</v>
      </c>
      <c r="B1806" s="1" t="s">
        <v>302</v>
      </c>
      <c r="C1806" s="1" t="s">
        <v>61</v>
      </c>
      <c r="D1806" s="1" t="s">
        <v>35</v>
      </c>
      <c r="E1806" s="1" t="s">
        <v>16</v>
      </c>
      <c r="F1806" s="1" t="s">
        <v>42</v>
      </c>
      <c r="G1806" s="1" t="s">
        <v>48</v>
      </c>
      <c r="H1806" s="1" t="s">
        <v>112</v>
      </c>
      <c r="I1806" s="1">
        <v>13</v>
      </c>
      <c r="J1806" s="1">
        <v>18.36</v>
      </c>
      <c r="K1806" s="1">
        <v>0.1</v>
      </c>
      <c r="L1806" s="1">
        <v>214.81</v>
      </c>
      <c r="M1806" s="1" t="str">
        <f t="shared" si="56"/>
        <v>Online</v>
      </c>
      <c r="N1806" s="1">
        <f t="shared" si="57"/>
        <v>62.01</v>
      </c>
    </row>
    <row r="1807" spans="1:14" x14ac:dyDescent="0.3">
      <c r="A1807" s="1" t="s">
        <v>303</v>
      </c>
      <c r="B1807" s="1" t="s">
        <v>302</v>
      </c>
      <c r="C1807" s="1" t="s">
        <v>54</v>
      </c>
      <c r="D1807" s="1" t="s">
        <v>15</v>
      </c>
      <c r="E1807" s="1" t="s">
        <v>16</v>
      </c>
      <c r="F1807" s="1" t="s">
        <v>29</v>
      </c>
      <c r="G1807" s="1" t="s">
        <v>88</v>
      </c>
      <c r="H1807" s="1" t="s">
        <v>80</v>
      </c>
      <c r="I1807" s="1">
        <v>6</v>
      </c>
      <c r="J1807" s="1">
        <v>56.75</v>
      </c>
      <c r="K1807" s="1">
        <v>0.05</v>
      </c>
      <c r="L1807" s="1">
        <v>323.45</v>
      </c>
      <c r="M1807" s="1" t="str">
        <f t="shared" si="56"/>
        <v>Marketplace</v>
      </c>
      <c r="N1807" s="1">
        <f t="shared" si="57"/>
        <v>267.12</v>
      </c>
    </row>
    <row r="1808" spans="1:14" x14ac:dyDescent="0.3">
      <c r="A1808" s="1" t="s">
        <v>304</v>
      </c>
      <c r="B1808" s="1" t="s">
        <v>302</v>
      </c>
      <c r="C1808" s="1" t="s">
        <v>14</v>
      </c>
      <c r="D1808" s="1" t="s">
        <v>35</v>
      </c>
      <c r="E1808" s="1" t="s">
        <v>16</v>
      </c>
      <c r="F1808" s="1" t="s">
        <v>42</v>
      </c>
      <c r="G1808" s="1" t="s">
        <v>48</v>
      </c>
      <c r="H1808" s="1" t="s">
        <v>19</v>
      </c>
      <c r="I1808" s="1">
        <v>10</v>
      </c>
      <c r="J1808" s="1">
        <v>18</v>
      </c>
      <c r="K1808" s="1">
        <v>0.08</v>
      </c>
      <c r="L1808" s="1">
        <v>165.6</v>
      </c>
      <c r="M1808" s="1" t="str">
        <f t="shared" si="56"/>
        <v>Retail Store</v>
      </c>
      <c r="N1808" s="1">
        <f t="shared" si="57"/>
        <v>16.2</v>
      </c>
    </row>
    <row r="1809" spans="1:14" x14ac:dyDescent="0.3">
      <c r="A1809" s="1" t="s">
        <v>305</v>
      </c>
      <c r="B1809" s="1" t="s">
        <v>302</v>
      </c>
      <c r="C1809" s="1" t="s">
        <v>47</v>
      </c>
      <c r="D1809" s="1" t="s">
        <v>15</v>
      </c>
      <c r="E1809" s="1" t="s">
        <v>16</v>
      </c>
      <c r="F1809" s="1" t="s">
        <v>42</v>
      </c>
      <c r="G1809" s="1" t="s">
        <v>43</v>
      </c>
      <c r="H1809" s="1" t="s">
        <v>58</v>
      </c>
      <c r="I1809" s="1">
        <v>2</v>
      </c>
      <c r="J1809" s="1">
        <v>171.72</v>
      </c>
      <c r="K1809" s="1">
        <v>0.1</v>
      </c>
      <c r="L1809" s="1">
        <v>309.10000000000002</v>
      </c>
      <c r="M1809" s="1" t="str">
        <f t="shared" si="56"/>
        <v>Corporate Sales</v>
      </c>
      <c r="N1809" s="1">
        <f t="shared" si="57"/>
        <v>421.2</v>
      </c>
    </row>
    <row r="1810" spans="1:14" x14ac:dyDescent="0.3">
      <c r="A1810" s="1" t="s">
        <v>292</v>
      </c>
      <c r="B1810" s="1" t="s">
        <v>293</v>
      </c>
      <c r="C1810" s="1" t="s">
        <v>21</v>
      </c>
      <c r="D1810" s="1" t="s">
        <v>27</v>
      </c>
      <c r="E1810" s="1" t="s">
        <v>16</v>
      </c>
      <c r="F1810" s="1" t="s">
        <v>82</v>
      </c>
      <c r="G1810" s="1" t="s">
        <v>150</v>
      </c>
      <c r="H1810" s="1" t="s">
        <v>25</v>
      </c>
      <c r="I1810" s="1">
        <v>2</v>
      </c>
      <c r="J1810" s="1">
        <v>2880</v>
      </c>
      <c r="K1810" s="1">
        <v>0.08</v>
      </c>
      <c r="L1810" s="1">
        <v>5299.2</v>
      </c>
      <c r="M1810" s="1" t="str">
        <f t="shared" si="56"/>
        <v>Marketplace</v>
      </c>
      <c r="N1810" s="1">
        <f t="shared" si="57"/>
        <v>405</v>
      </c>
    </row>
    <row r="1811" spans="1:14" x14ac:dyDescent="0.3">
      <c r="A1811" s="1" t="s">
        <v>294</v>
      </c>
      <c r="B1811" s="1" t="s">
        <v>293</v>
      </c>
      <c r="C1811" s="1" t="s">
        <v>54</v>
      </c>
      <c r="D1811" s="1" t="s">
        <v>22</v>
      </c>
      <c r="E1811" s="1" t="s">
        <v>16</v>
      </c>
      <c r="F1811" s="1" t="s">
        <v>29</v>
      </c>
      <c r="G1811" s="1" t="s">
        <v>33</v>
      </c>
      <c r="H1811" s="1" t="s">
        <v>80</v>
      </c>
      <c r="I1811" s="1">
        <v>5</v>
      </c>
      <c r="J1811" s="1">
        <v>13.5</v>
      </c>
      <c r="K1811" s="1">
        <v>0.15</v>
      </c>
      <c r="L1811" s="1">
        <v>57.38</v>
      </c>
      <c r="M1811" s="1" t="str">
        <f t="shared" si="56"/>
        <v>Marketplace</v>
      </c>
      <c r="N1811" s="1">
        <f t="shared" si="57"/>
        <v>267.12</v>
      </c>
    </row>
    <row r="1812" spans="1:14" x14ac:dyDescent="0.3">
      <c r="A1812" s="1" t="s">
        <v>295</v>
      </c>
      <c r="B1812" s="1" t="s">
        <v>293</v>
      </c>
      <c r="C1812" s="1" t="s">
        <v>21</v>
      </c>
      <c r="D1812" s="1" t="s">
        <v>15</v>
      </c>
      <c r="E1812" s="1" t="s">
        <v>28</v>
      </c>
      <c r="F1812" s="1" t="s">
        <v>36</v>
      </c>
      <c r="G1812" s="1" t="s">
        <v>70</v>
      </c>
      <c r="H1812" s="1" t="s">
        <v>86</v>
      </c>
      <c r="I1812" s="1">
        <v>3</v>
      </c>
      <c r="J1812" s="1">
        <v>542.88</v>
      </c>
      <c r="K1812" s="1">
        <v>0.03</v>
      </c>
      <c r="L1812" s="1">
        <v>1579.78</v>
      </c>
      <c r="M1812" s="1" t="str">
        <f t="shared" si="56"/>
        <v>Online</v>
      </c>
      <c r="N1812" s="1">
        <f t="shared" si="57"/>
        <v>405</v>
      </c>
    </row>
    <row r="1813" spans="1:14" x14ac:dyDescent="0.3">
      <c r="A1813" s="1" t="s">
        <v>296</v>
      </c>
      <c r="B1813" s="1" t="s">
        <v>293</v>
      </c>
      <c r="C1813" s="1" t="s">
        <v>54</v>
      </c>
      <c r="D1813" s="1" t="s">
        <v>15</v>
      </c>
      <c r="E1813" s="1" t="s">
        <v>28</v>
      </c>
      <c r="F1813" s="1" t="s">
        <v>17</v>
      </c>
      <c r="G1813" s="1" t="s">
        <v>98</v>
      </c>
      <c r="H1813" s="1" t="s">
        <v>80</v>
      </c>
      <c r="I1813" s="1">
        <v>6</v>
      </c>
      <c r="J1813" s="1">
        <v>392.85</v>
      </c>
      <c r="K1813" s="1">
        <v>0.05</v>
      </c>
      <c r="L1813" s="1">
        <v>2239.25</v>
      </c>
      <c r="M1813" s="1" t="str">
        <f t="shared" si="56"/>
        <v>Marketplace</v>
      </c>
      <c r="N1813" s="1">
        <f t="shared" si="57"/>
        <v>267.12</v>
      </c>
    </row>
    <row r="1814" spans="1:14" x14ac:dyDescent="0.3">
      <c r="A1814" s="1" t="s">
        <v>297</v>
      </c>
      <c r="B1814" s="1" t="s">
        <v>293</v>
      </c>
      <c r="C1814" s="1" t="s">
        <v>21</v>
      </c>
      <c r="D1814" s="1" t="s">
        <v>15</v>
      </c>
      <c r="E1814" s="1" t="s">
        <v>16</v>
      </c>
      <c r="F1814" s="1" t="s">
        <v>36</v>
      </c>
      <c r="G1814" s="1" t="s">
        <v>119</v>
      </c>
      <c r="H1814" s="1" t="s">
        <v>44</v>
      </c>
      <c r="I1814" s="1">
        <v>5</v>
      </c>
      <c r="J1814" s="1">
        <v>630</v>
      </c>
      <c r="K1814" s="1">
        <v>0.05</v>
      </c>
      <c r="L1814" s="1">
        <v>2992.5</v>
      </c>
      <c r="M1814" s="1" t="str">
        <f t="shared" si="56"/>
        <v>Retail Store</v>
      </c>
      <c r="N1814" s="1">
        <f t="shared" si="57"/>
        <v>405</v>
      </c>
    </row>
    <row r="1815" spans="1:14" x14ac:dyDescent="0.3">
      <c r="A1815" s="1" t="s">
        <v>298</v>
      </c>
      <c r="B1815" s="1" t="s">
        <v>293</v>
      </c>
      <c r="C1815" s="1" t="s">
        <v>14</v>
      </c>
      <c r="D1815" s="1" t="s">
        <v>22</v>
      </c>
      <c r="E1815" s="1" t="s">
        <v>16</v>
      </c>
      <c r="F1815" s="1" t="s">
        <v>36</v>
      </c>
      <c r="G1815" s="1" t="s">
        <v>37</v>
      </c>
      <c r="H1815" s="1" t="s">
        <v>40</v>
      </c>
      <c r="I1815" s="1">
        <v>2</v>
      </c>
      <c r="J1815" s="1">
        <v>795.6</v>
      </c>
      <c r="K1815" s="1">
        <v>0.08</v>
      </c>
      <c r="L1815" s="1">
        <v>1463.9</v>
      </c>
      <c r="M1815" s="1" t="str">
        <f t="shared" si="56"/>
        <v>Online</v>
      </c>
      <c r="N1815" s="1">
        <f t="shared" si="57"/>
        <v>16.2</v>
      </c>
    </row>
    <row r="1816" spans="1:14" x14ac:dyDescent="0.3">
      <c r="A1816" s="1" t="s">
        <v>299</v>
      </c>
      <c r="B1816" s="1" t="s">
        <v>293</v>
      </c>
      <c r="C1816" s="1" t="s">
        <v>47</v>
      </c>
      <c r="D1816" s="1" t="s">
        <v>27</v>
      </c>
      <c r="E1816" s="1" t="s">
        <v>28</v>
      </c>
      <c r="F1816" s="1" t="s">
        <v>29</v>
      </c>
      <c r="G1816" s="1" t="s">
        <v>55</v>
      </c>
      <c r="H1816" s="1" t="s">
        <v>49</v>
      </c>
      <c r="I1816" s="1">
        <v>4</v>
      </c>
      <c r="J1816" s="1">
        <v>32.49</v>
      </c>
      <c r="K1816" s="1">
        <v>0</v>
      </c>
      <c r="L1816" s="1">
        <v>129.96</v>
      </c>
      <c r="M1816" s="1" t="str">
        <f t="shared" si="56"/>
        <v>Retail Store</v>
      </c>
      <c r="N1816" s="1">
        <f t="shared" si="57"/>
        <v>421.2</v>
      </c>
    </row>
    <row r="1817" spans="1:14" x14ac:dyDescent="0.3">
      <c r="A1817" s="1" t="s">
        <v>300</v>
      </c>
      <c r="B1817" s="1" t="s">
        <v>293</v>
      </c>
      <c r="C1817" s="1" t="s">
        <v>54</v>
      </c>
      <c r="D1817" s="1" t="s">
        <v>27</v>
      </c>
      <c r="E1817" s="1" t="s">
        <v>28</v>
      </c>
      <c r="F1817" s="1" t="s">
        <v>82</v>
      </c>
      <c r="G1817" s="1" t="s">
        <v>96</v>
      </c>
      <c r="H1817" s="1" t="s">
        <v>71</v>
      </c>
      <c r="I1817" s="1">
        <v>4</v>
      </c>
      <c r="J1817" s="1">
        <v>2808</v>
      </c>
      <c r="K1817" s="1">
        <v>0.03</v>
      </c>
      <c r="L1817" s="1">
        <v>10895.04</v>
      </c>
      <c r="M1817" s="1" t="str">
        <f t="shared" si="56"/>
        <v>Online</v>
      </c>
      <c r="N1817" s="1">
        <f t="shared" si="57"/>
        <v>267.12</v>
      </c>
    </row>
    <row r="1818" spans="1:14" x14ac:dyDescent="0.3">
      <c r="A1818" s="1" t="s">
        <v>286</v>
      </c>
      <c r="B1818" s="1" t="s">
        <v>287</v>
      </c>
      <c r="C1818" s="1" t="s">
        <v>54</v>
      </c>
      <c r="D1818" s="1" t="s">
        <v>15</v>
      </c>
      <c r="E1818" s="1" t="s">
        <v>28</v>
      </c>
      <c r="F1818" s="1" t="s">
        <v>29</v>
      </c>
      <c r="G1818" s="1" t="s">
        <v>30</v>
      </c>
      <c r="H1818" s="1" t="s">
        <v>80</v>
      </c>
      <c r="I1818" s="1">
        <v>2</v>
      </c>
      <c r="J1818" s="1">
        <v>52.47</v>
      </c>
      <c r="K1818" s="1">
        <v>0.1</v>
      </c>
      <c r="L1818" s="1">
        <v>94.45</v>
      </c>
      <c r="M1818" s="1" t="str">
        <f t="shared" si="56"/>
        <v>Marketplace</v>
      </c>
      <c r="N1818" s="1">
        <f t="shared" si="57"/>
        <v>267.12</v>
      </c>
    </row>
    <row r="1819" spans="1:14" x14ac:dyDescent="0.3">
      <c r="A1819" s="1" t="s">
        <v>288</v>
      </c>
      <c r="B1819" s="1" t="s">
        <v>287</v>
      </c>
      <c r="C1819" s="1" t="s">
        <v>14</v>
      </c>
      <c r="D1819" s="1" t="s">
        <v>22</v>
      </c>
      <c r="E1819" s="1" t="s">
        <v>28</v>
      </c>
      <c r="F1819" s="1" t="s">
        <v>29</v>
      </c>
      <c r="G1819" s="1" t="s">
        <v>51</v>
      </c>
      <c r="H1819" s="1" t="s">
        <v>19</v>
      </c>
      <c r="I1819" s="1">
        <v>5</v>
      </c>
      <c r="J1819" s="1">
        <v>40.5</v>
      </c>
      <c r="K1819" s="1">
        <v>0.05</v>
      </c>
      <c r="L1819" s="1">
        <v>192.38</v>
      </c>
      <c r="M1819" s="1" t="str">
        <f t="shared" si="56"/>
        <v>Retail Store</v>
      </c>
      <c r="N1819" s="1">
        <f t="shared" si="57"/>
        <v>16.2</v>
      </c>
    </row>
    <row r="1820" spans="1:14" x14ac:dyDescent="0.3">
      <c r="A1820" s="1" t="s">
        <v>289</v>
      </c>
      <c r="B1820" s="1" t="s">
        <v>287</v>
      </c>
      <c r="C1820" s="1" t="s">
        <v>54</v>
      </c>
      <c r="D1820" s="1" t="s">
        <v>35</v>
      </c>
      <c r="E1820" s="1" t="s">
        <v>16</v>
      </c>
      <c r="F1820" s="1" t="s">
        <v>82</v>
      </c>
      <c r="G1820" s="1" t="s">
        <v>83</v>
      </c>
      <c r="H1820" s="1" t="s">
        <v>71</v>
      </c>
      <c r="I1820" s="1">
        <v>2</v>
      </c>
      <c r="J1820" s="1">
        <v>3931.2</v>
      </c>
      <c r="K1820" s="1">
        <v>0.1</v>
      </c>
      <c r="L1820" s="1">
        <v>7076.16</v>
      </c>
      <c r="M1820" s="1" t="str">
        <f t="shared" si="56"/>
        <v>Online</v>
      </c>
      <c r="N1820" s="1">
        <f t="shared" si="57"/>
        <v>267.12</v>
      </c>
    </row>
    <row r="1821" spans="1:14" x14ac:dyDescent="0.3">
      <c r="A1821" s="1" t="s">
        <v>290</v>
      </c>
      <c r="B1821" s="1" t="s">
        <v>287</v>
      </c>
      <c r="C1821" s="1" t="s">
        <v>61</v>
      </c>
      <c r="D1821" s="1" t="s">
        <v>15</v>
      </c>
      <c r="E1821" s="1" t="s">
        <v>16</v>
      </c>
      <c r="F1821" s="1" t="s">
        <v>82</v>
      </c>
      <c r="G1821" s="1" t="s">
        <v>96</v>
      </c>
      <c r="H1821" s="1" t="s">
        <v>112</v>
      </c>
      <c r="I1821" s="1">
        <v>2</v>
      </c>
      <c r="J1821" s="1">
        <v>2700</v>
      </c>
      <c r="K1821" s="1">
        <v>0</v>
      </c>
      <c r="L1821" s="1">
        <v>5400</v>
      </c>
      <c r="M1821" s="1" t="str">
        <f t="shared" si="56"/>
        <v>Online</v>
      </c>
      <c r="N1821" s="1">
        <f t="shared" si="57"/>
        <v>62.01</v>
      </c>
    </row>
    <row r="1822" spans="1:14" x14ac:dyDescent="0.3">
      <c r="A1822" s="1" t="s">
        <v>291</v>
      </c>
      <c r="B1822" s="1" t="s">
        <v>287</v>
      </c>
      <c r="C1822" s="1" t="s">
        <v>47</v>
      </c>
      <c r="D1822" s="1" t="s">
        <v>15</v>
      </c>
      <c r="E1822" s="1" t="s">
        <v>16</v>
      </c>
      <c r="F1822" s="1" t="s">
        <v>42</v>
      </c>
      <c r="G1822" s="1" t="s">
        <v>65</v>
      </c>
      <c r="H1822" s="1" t="s">
        <v>49</v>
      </c>
      <c r="I1822" s="1">
        <v>7</v>
      </c>
      <c r="J1822" s="1">
        <v>675</v>
      </c>
      <c r="K1822" s="1">
        <v>0.05</v>
      </c>
      <c r="L1822" s="1">
        <v>4488.75</v>
      </c>
      <c r="M1822" s="1" t="str">
        <f t="shared" si="56"/>
        <v>Retail Store</v>
      </c>
      <c r="N1822" s="1">
        <f t="shared" si="57"/>
        <v>421.2</v>
      </c>
    </row>
    <row r="1823" spans="1:14" x14ac:dyDescent="0.3">
      <c r="A1823" s="1" t="s">
        <v>281</v>
      </c>
      <c r="B1823" s="1" t="s">
        <v>282</v>
      </c>
      <c r="C1823" s="1" t="s">
        <v>14</v>
      </c>
      <c r="D1823" s="1" t="s">
        <v>22</v>
      </c>
      <c r="E1823" s="1" t="s">
        <v>16</v>
      </c>
      <c r="F1823" s="1" t="s">
        <v>17</v>
      </c>
      <c r="G1823" s="1" t="s">
        <v>18</v>
      </c>
      <c r="H1823" s="1" t="s">
        <v>19</v>
      </c>
      <c r="I1823" s="1">
        <v>3</v>
      </c>
      <c r="J1823" s="1">
        <v>81</v>
      </c>
      <c r="K1823" s="1">
        <v>0.15</v>
      </c>
      <c r="L1823" s="1">
        <v>206.55</v>
      </c>
      <c r="M1823" s="1" t="str">
        <f t="shared" si="56"/>
        <v>Retail Store</v>
      </c>
      <c r="N1823" s="1">
        <f t="shared" si="57"/>
        <v>16.2</v>
      </c>
    </row>
    <row r="1824" spans="1:14" x14ac:dyDescent="0.3">
      <c r="A1824" s="1" t="s">
        <v>283</v>
      </c>
      <c r="B1824" s="1" t="s">
        <v>282</v>
      </c>
      <c r="C1824" s="1" t="s">
        <v>21</v>
      </c>
      <c r="D1824" s="1" t="s">
        <v>35</v>
      </c>
      <c r="E1824" s="1" t="s">
        <v>28</v>
      </c>
      <c r="F1824" s="1" t="s">
        <v>29</v>
      </c>
      <c r="G1824" s="1" t="s">
        <v>30</v>
      </c>
      <c r="H1824" s="1" t="s">
        <v>25</v>
      </c>
      <c r="I1824" s="1">
        <v>3</v>
      </c>
      <c r="J1824" s="1">
        <v>49.5</v>
      </c>
      <c r="K1824" s="1">
        <v>0.05</v>
      </c>
      <c r="L1824" s="1">
        <v>141.08000000000001</v>
      </c>
      <c r="M1824" s="1" t="str">
        <f t="shared" si="56"/>
        <v>Marketplace</v>
      </c>
      <c r="N1824" s="1">
        <f t="shared" si="57"/>
        <v>405</v>
      </c>
    </row>
    <row r="1825" spans="1:14" x14ac:dyDescent="0.3">
      <c r="A1825" s="1" t="s">
        <v>284</v>
      </c>
      <c r="B1825" s="1" t="s">
        <v>282</v>
      </c>
      <c r="C1825" s="1" t="s">
        <v>14</v>
      </c>
      <c r="D1825" s="1" t="s">
        <v>15</v>
      </c>
      <c r="E1825" s="1" t="s">
        <v>28</v>
      </c>
      <c r="F1825" s="1" t="s">
        <v>29</v>
      </c>
      <c r="G1825" s="1" t="s">
        <v>33</v>
      </c>
      <c r="H1825" s="1" t="s">
        <v>40</v>
      </c>
      <c r="I1825" s="1">
        <v>3</v>
      </c>
      <c r="J1825" s="1">
        <v>13.77</v>
      </c>
      <c r="K1825" s="1">
        <v>0</v>
      </c>
      <c r="L1825" s="1">
        <v>41.31</v>
      </c>
      <c r="M1825" s="1" t="str">
        <f t="shared" si="56"/>
        <v>Online</v>
      </c>
      <c r="N1825" s="1">
        <f t="shared" si="57"/>
        <v>16.2</v>
      </c>
    </row>
    <row r="1826" spans="1:14" x14ac:dyDescent="0.3">
      <c r="A1826" s="1" t="s">
        <v>285</v>
      </c>
      <c r="B1826" s="1" t="s">
        <v>282</v>
      </c>
      <c r="C1826" s="1" t="s">
        <v>14</v>
      </c>
      <c r="D1826" s="1" t="s">
        <v>27</v>
      </c>
      <c r="E1826" s="1" t="s">
        <v>16</v>
      </c>
      <c r="F1826" s="1" t="s">
        <v>23</v>
      </c>
      <c r="G1826" s="1" t="s">
        <v>142</v>
      </c>
      <c r="H1826" s="1" t="s">
        <v>19</v>
      </c>
      <c r="I1826" s="1">
        <v>4</v>
      </c>
      <c r="J1826" s="1">
        <v>16.52</v>
      </c>
      <c r="K1826" s="1">
        <v>0.08</v>
      </c>
      <c r="L1826" s="1">
        <v>60.81</v>
      </c>
      <c r="M1826" s="1" t="str">
        <f t="shared" si="56"/>
        <v>Retail Store</v>
      </c>
      <c r="N1826" s="1">
        <f t="shared" si="57"/>
        <v>16.2</v>
      </c>
    </row>
    <row r="1827" spans="1:14" x14ac:dyDescent="0.3">
      <c r="A1827" s="1" t="s">
        <v>278</v>
      </c>
      <c r="B1827" s="1" t="s">
        <v>279</v>
      </c>
      <c r="C1827" s="1" t="s">
        <v>54</v>
      </c>
      <c r="D1827" s="1" t="s">
        <v>27</v>
      </c>
      <c r="E1827" s="1" t="s">
        <v>28</v>
      </c>
      <c r="F1827" s="1" t="s">
        <v>36</v>
      </c>
      <c r="G1827" s="1" t="s">
        <v>70</v>
      </c>
      <c r="H1827" s="1" t="s">
        <v>80</v>
      </c>
      <c r="I1827" s="1">
        <v>3</v>
      </c>
      <c r="J1827" s="1">
        <v>553.32000000000005</v>
      </c>
      <c r="K1827" s="1">
        <v>0.15</v>
      </c>
      <c r="L1827" s="1">
        <v>1410.97</v>
      </c>
      <c r="M1827" s="1" t="str">
        <f t="shared" si="56"/>
        <v>Marketplace</v>
      </c>
      <c r="N1827" s="1">
        <f t="shared" si="57"/>
        <v>267.12</v>
      </c>
    </row>
    <row r="1828" spans="1:14" x14ac:dyDescent="0.3">
      <c r="A1828" s="1" t="s">
        <v>280</v>
      </c>
      <c r="B1828" s="1" t="s">
        <v>279</v>
      </c>
      <c r="C1828" s="1" t="s">
        <v>54</v>
      </c>
      <c r="D1828" s="1" t="s">
        <v>35</v>
      </c>
      <c r="E1828" s="1" t="s">
        <v>16</v>
      </c>
      <c r="F1828" s="1" t="s">
        <v>36</v>
      </c>
      <c r="G1828" s="1" t="s">
        <v>70</v>
      </c>
      <c r="H1828" s="1" t="s">
        <v>56</v>
      </c>
      <c r="I1828" s="1">
        <v>2</v>
      </c>
      <c r="J1828" s="1">
        <v>522</v>
      </c>
      <c r="K1828" s="1">
        <v>0.08</v>
      </c>
      <c r="L1828" s="1">
        <v>960.48</v>
      </c>
      <c r="M1828" s="1" t="str">
        <f t="shared" si="56"/>
        <v>Online</v>
      </c>
      <c r="N1828" s="1">
        <f t="shared" si="57"/>
        <v>267.12</v>
      </c>
    </row>
    <row r="1829" spans="1:14" x14ac:dyDescent="0.3">
      <c r="A1829" s="1" t="s">
        <v>275</v>
      </c>
      <c r="B1829" s="1" t="s">
        <v>276</v>
      </c>
      <c r="C1829" s="1" t="s">
        <v>54</v>
      </c>
      <c r="D1829" s="1" t="s">
        <v>15</v>
      </c>
      <c r="E1829" s="1" t="s">
        <v>28</v>
      </c>
      <c r="F1829" s="1" t="s">
        <v>82</v>
      </c>
      <c r="G1829" s="1" t="s">
        <v>150</v>
      </c>
      <c r="H1829" s="1" t="s">
        <v>56</v>
      </c>
      <c r="I1829" s="1">
        <v>2</v>
      </c>
      <c r="J1829" s="1">
        <v>2793.6</v>
      </c>
      <c r="K1829" s="1">
        <v>0</v>
      </c>
      <c r="L1829" s="1">
        <v>5587.2</v>
      </c>
      <c r="M1829" s="1" t="str">
        <f t="shared" si="56"/>
        <v>Online</v>
      </c>
      <c r="N1829" s="1">
        <f t="shared" si="57"/>
        <v>267.12</v>
      </c>
    </row>
    <row r="1830" spans="1:14" x14ac:dyDescent="0.3">
      <c r="A1830" s="1" t="s">
        <v>277</v>
      </c>
      <c r="B1830" s="1" t="s">
        <v>276</v>
      </c>
      <c r="C1830" s="1" t="s">
        <v>54</v>
      </c>
      <c r="D1830" s="1" t="s">
        <v>22</v>
      </c>
      <c r="E1830" s="1" t="s">
        <v>16</v>
      </c>
      <c r="F1830" s="1" t="s">
        <v>29</v>
      </c>
      <c r="G1830" s="1" t="s">
        <v>51</v>
      </c>
      <c r="H1830" s="1" t="s">
        <v>80</v>
      </c>
      <c r="I1830" s="1">
        <v>6</v>
      </c>
      <c r="J1830" s="1">
        <v>39.29</v>
      </c>
      <c r="K1830" s="1">
        <v>0.1</v>
      </c>
      <c r="L1830" s="1">
        <v>212.14</v>
      </c>
      <c r="M1830" s="1" t="str">
        <f t="shared" si="56"/>
        <v>Marketplace</v>
      </c>
      <c r="N1830" s="1">
        <f t="shared" si="57"/>
        <v>267.12</v>
      </c>
    </row>
    <row r="1831" spans="1:14" x14ac:dyDescent="0.3">
      <c r="A1831" s="1" t="s">
        <v>265</v>
      </c>
      <c r="B1831" s="1" t="s">
        <v>266</v>
      </c>
      <c r="C1831" s="1" t="s">
        <v>61</v>
      </c>
      <c r="D1831" s="1" t="s">
        <v>15</v>
      </c>
      <c r="E1831" s="1" t="s">
        <v>16</v>
      </c>
      <c r="F1831" s="1" t="s">
        <v>82</v>
      </c>
      <c r="G1831" s="1" t="s">
        <v>83</v>
      </c>
      <c r="H1831" s="1" t="s">
        <v>63</v>
      </c>
      <c r="I1831" s="1">
        <v>3</v>
      </c>
      <c r="J1831" s="1">
        <v>3780</v>
      </c>
      <c r="K1831" s="1">
        <v>0.05</v>
      </c>
      <c r="L1831" s="1">
        <v>10773</v>
      </c>
      <c r="M1831" s="1" t="str">
        <f t="shared" si="56"/>
        <v>Retail Store</v>
      </c>
      <c r="N1831" s="1">
        <f t="shared" si="57"/>
        <v>62.01</v>
      </c>
    </row>
    <row r="1832" spans="1:14" x14ac:dyDescent="0.3">
      <c r="A1832" s="1" t="s">
        <v>267</v>
      </c>
      <c r="B1832" s="1" t="s">
        <v>266</v>
      </c>
      <c r="C1832" s="1" t="s">
        <v>61</v>
      </c>
      <c r="D1832" s="1" t="s">
        <v>27</v>
      </c>
      <c r="E1832" s="1" t="s">
        <v>16</v>
      </c>
      <c r="F1832" s="1" t="s">
        <v>29</v>
      </c>
      <c r="G1832" s="1" t="s">
        <v>51</v>
      </c>
      <c r="H1832" s="1" t="s">
        <v>73</v>
      </c>
      <c r="I1832" s="1">
        <v>2</v>
      </c>
      <c r="J1832" s="1">
        <v>40.5</v>
      </c>
      <c r="K1832" s="1">
        <v>0</v>
      </c>
      <c r="L1832" s="1">
        <v>81</v>
      </c>
      <c r="M1832" s="1" t="str">
        <f t="shared" si="56"/>
        <v>Online</v>
      </c>
      <c r="N1832" s="1">
        <f t="shared" si="57"/>
        <v>62.01</v>
      </c>
    </row>
    <row r="1833" spans="1:14" x14ac:dyDescent="0.3">
      <c r="A1833" s="1" t="s">
        <v>268</v>
      </c>
      <c r="B1833" s="1" t="s">
        <v>266</v>
      </c>
      <c r="C1833" s="1" t="s">
        <v>61</v>
      </c>
      <c r="D1833" s="1" t="s">
        <v>27</v>
      </c>
      <c r="E1833" s="1" t="s">
        <v>16</v>
      </c>
      <c r="F1833" s="1" t="s">
        <v>36</v>
      </c>
      <c r="G1833" s="1" t="s">
        <v>119</v>
      </c>
      <c r="H1833" s="1" t="s">
        <v>73</v>
      </c>
      <c r="I1833" s="1">
        <v>2</v>
      </c>
      <c r="J1833" s="1">
        <v>642.6</v>
      </c>
      <c r="K1833" s="1">
        <v>0.05</v>
      </c>
      <c r="L1833" s="1">
        <v>1220.94</v>
      </c>
      <c r="M1833" s="1" t="str">
        <f t="shared" si="56"/>
        <v>Online</v>
      </c>
      <c r="N1833" s="1">
        <f t="shared" si="57"/>
        <v>62.01</v>
      </c>
    </row>
    <row r="1834" spans="1:14" x14ac:dyDescent="0.3">
      <c r="A1834" s="1" t="s">
        <v>269</v>
      </c>
      <c r="B1834" s="1" t="s">
        <v>266</v>
      </c>
      <c r="C1834" s="1" t="s">
        <v>61</v>
      </c>
      <c r="D1834" s="1" t="s">
        <v>22</v>
      </c>
      <c r="E1834" s="1" t="s">
        <v>16</v>
      </c>
      <c r="F1834" s="1" t="s">
        <v>29</v>
      </c>
      <c r="G1834" s="1" t="s">
        <v>55</v>
      </c>
      <c r="H1834" s="1" t="s">
        <v>112</v>
      </c>
      <c r="I1834" s="1">
        <v>2</v>
      </c>
      <c r="J1834" s="1">
        <v>34.200000000000003</v>
      </c>
      <c r="K1834" s="1">
        <v>0</v>
      </c>
      <c r="L1834" s="1">
        <v>68.400000000000006</v>
      </c>
      <c r="M1834" s="1" t="str">
        <f t="shared" si="56"/>
        <v>Online</v>
      </c>
      <c r="N1834" s="1">
        <f t="shared" si="57"/>
        <v>62.01</v>
      </c>
    </row>
    <row r="1835" spans="1:14" x14ac:dyDescent="0.3">
      <c r="A1835" s="1" t="s">
        <v>270</v>
      </c>
      <c r="B1835" s="1" t="s">
        <v>266</v>
      </c>
      <c r="C1835" s="1" t="s">
        <v>54</v>
      </c>
      <c r="D1835" s="1" t="s">
        <v>15</v>
      </c>
      <c r="E1835" s="1" t="s">
        <v>28</v>
      </c>
      <c r="F1835" s="1" t="s">
        <v>36</v>
      </c>
      <c r="G1835" s="1" t="s">
        <v>37</v>
      </c>
      <c r="H1835" s="1" t="s">
        <v>71</v>
      </c>
      <c r="I1835" s="1">
        <v>5</v>
      </c>
      <c r="J1835" s="1">
        <v>726.75</v>
      </c>
      <c r="K1835" s="1">
        <v>0</v>
      </c>
      <c r="L1835" s="1">
        <v>3633.75</v>
      </c>
      <c r="M1835" s="1" t="str">
        <f t="shared" si="56"/>
        <v>Online</v>
      </c>
      <c r="N1835" s="1">
        <f t="shared" si="57"/>
        <v>267.12</v>
      </c>
    </row>
    <row r="1836" spans="1:14" x14ac:dyDescent="0.3">
      <c r="A1836" s="1" t="s">
        <v>271</v>
      </c>
      <c r="B1836" s="1" t="s">
        <v>266</v>
      </c>
      <c r="C1836" s="1" t="s">
        <v>21</v>
      </c>
      <c r="D1836" s="1" t="s">
        <v>27</v>
      </c>
      <c r="E1836" s="1" t="s">
        <v>28</v>
      </c>
      <c r="F1836" s="1" t="s">
        <v>17</v>
      </c>
      <c r="G1836" s="1" t="s">
        <v>62</v>
      </c>
      <c r="H1836" s="1" t="s">
        <v>25</v>
      </c>
      <c r="I1836" s="1">
        <v>8</v>
      </c>
      <c r="J1836" s="1">
        <v>54</v>
      </c>
      <c r="K1836" s="1">
        <v>0.05</v>
      </c>
      <c r="L1836" s="1">
        <v>410.4</v>
      </c>
      <c r="M1836" s="1" t="str">
        <f t="shared" si="56"/>
        <v>Marketplace</v>
      </c>
      <c r="N1836" s="1">
        <f t="shared" si="57"/>
        <v>405</v>
      </c>
    </row>
    <row r="1837" spans="1:14" x14ac:dyDescent="0.3">
      <c r="A1837" s="1" t="s">
        <v>272</v>
      </c>
      <c r="B1837" s="1" t="s">
        <v>266</v>
      </c>
      <c r="C1837" s="1" t="s">
        <v>47</v>
      </c>
      <c r="D1837" s="1" t="s">
        <v>15</v>
      </c>
      <c r="E1837" s="1" t="s">
        <v>16</v>
      </c>
      <c r="F1837" s="1" t="s">
        <v>17</v>
      </c>
      <c r="G1837" s="1" t="s">
        <v>62</v>
      </c>
      <c r="H1837" s="1" t="s">
        <v>58</v>
      </c>
      <c r="I1837" s="1">
        <v>8</v>
      </c>
      <c r="J1837" s="1">
        <v>51.3</v>
      </c>
      <c r="K1837" s="1">
        <v>0</v>
      </c>
      <c r="L1837" s="1">
        <v>410.4</v>
      </c>
      <c r="M1837" s="1" t="str">
        <f t="shared" si="56"/>
        <v>Corporate Sales</v>
      </c>
      <c r="N1837" s="1">
        <f t="shared" si="57"/>
        <v>421.2</v>
      </c>
    </row>
    <row r="1838" spans="1:14" x14ac:dyDescent="0.3">
      <c r="A1838" s="1" t="s">
        <v>273</v>
      </c>
      <c r="B1838" s="1" t="s">
        <v>266</v>
      </c>
      <c r="C1838" s="1" t="s">
        <v>54</v>
      </c>
      <c r="D1838" s="1" t="s">
        <v>22</v>
      </c>
      <c r="E1838" s="1" t="s">
        <v>16</v>
      </c>
      <c r="F1838" s="1" t="s">
        <v>36</v>
      </c>
      <c r="G1838" s="1" t="s">
        <v>119</v>
      </c>
      <c r="H1838" s="1" t="s">
        <v>71</v>
      </c>
      <c r="I1838" s="1">
        <v>2</v>
      </c>
      <c r="J1838" s="1">
        <v>642.6</v>
      </c>
      <c r="K1838" s="1">
        <v>0.05</v>
      </c>
      <c r="L1838" s="1">
        <v>1220.94</v>
      </c>
      <c r="M1838" s="1" t="str">
        <f t="shared" si="56"/>
        <v>Online</v>
      </c>
      <c r="N1838" s="1">
        <f t="shared" si="57"/>
        <v>267.12</v>
      </c>
    </row>
    <row r="1839" spans="1:14" x14ac:dyDescent="0.3">
      <c r="A1839" s="1" t="s">
        <v>274</v>
      </c>
      <c r="B1839" s="1" t="s">
        <v>266</v>
      </c>
      <c r="C1839" s="1" t="s">
        <v>54</v>
      </c>
      <c r="D1839" s="1" t="s">
        <v>15</v>
      </c>
      <c r="E1839" s="1" t="s">
        <v>28</v>
      </c>
      <c r="F1839" s="1" t="s">
        <v>82</v>
      </c>
      <c r="G1839" s="1" t="s">
        <v>150</v>
      </c>
      <c r="H1839" s="1" t="s">
        <v>80</v>
      </c>
      <c r="I1839" s="1">
        <v>2</v>
      </c>
      <c r="J1839" s="1">
        <v>3052.8</v>
      </c>
      <c r="K1839" s="1">
        <v>0.05</v>
      </c>
      <c r="L1839" s="1">
        <v>5800.32</v>
      </c>
      <c r="M1839" s="1" t="str">
        <f t="shared" si="56"/>
        <v>Marketplace</v>
      </c>
      <c r="N1839" s="1">
        <f t="shared" si="57"/>
        <v>267.12</v>
      </c>
    </row>
    <row r="1840" spans="1:14" x14ac:dyDescent="0.3">
      <c r="A1840" s="1" t="s">
        <v>263</v>
      </c>
      <c r="B1840" s="1" t="s">
        <v>264</v>
      </c>
      <c r="C1840" s="1" t="s">
        <v>14</v>
      </c>
      <c r="D1840" s="1" t="s">
        <v>15</v>
      </c>
      <c r="E1840" s="1" t="s">
        <v>16</v>
      </c>
      <c r="F1840" s="1" t="s">
        <v>17</v>
      </c>
      <c r="G1840" s="1" t="s">
        <v>189</v>
      </c>
      <c r="H1840" s="1" t="s">
        <v>19</v>
      </c>
      <c r="I1840" s="1">
        <v>6</v>
      </c>
      <c r="J1840" s="1">
        <v>288</v>
      </c>
      <c r="K1840" s="1">
        <v>0.03</v>
      </c>
      <c r="L1840" s="1">
        <v>1676.16</v>
      </c>
      <c r="M1840" s="1" t="str">
        <f t="shared" si="56"/>
        <v>Retail Store</v>
      </c>
      <c r="N1840" s="1">
        <f t="shared" si="57"/>
        <v>16.2</v>
      </c>
    </row>
    <row r="1841" spans="1:14" x14ac:dyDescent="0.3">
      <c r="A1841" s="1" t="s">
        <v>258</v>
      </c>
      <c r="B1841" s="1" t="s">
        <v>259</v>
      </c>
      <c r="C1841" s="1" t="s">
        <v>61</v>
      </c>
      <c r="D1841" s="1" t="s">
        <v>15</v>
      </c>
      <c r="E1841" s="1" t="s">
        <v>16</v>
      </c>
      <c r="F1841" s="1" t="s">
        <v>29</v>
      </c>
      <c r="G1841" s="1" t="s">
        <v>30</v>
      </c>
      <c r="H1841" s="1" t="s">
        <v>63</v>
      </c>
      <c r="I1841" s="1">
        <v>2</v>
      </c>
      <c r="J1841" s="1">
        <v>49.5</v>
      </c>
      <c r="K1841" s="1">
        <v>0.1</v>
      </c>
      <c r="L1841" s="1">
        <v>89.1</v>
      </c>
      <c r="M1841" s="1" t="str">
        <f t="shared" si="56"/>
        <v>Retail Store</v>
      </c>
      <c r="N1841" s="1">
        <f t="shared" si="57"/>
        <v>62.01</v>
      </c>
    </row>
    <row r="1842" spans="1:14" x14ac:dyDescent="0.3">
      <c r="A1842" s="1" t="s">
        <v>260</v>
      </c>
      <c r="B1842" s="1" t="s">
        <v>259</v>
      </c>
      <c r="C1842" s="1" t="s">
        <v>54</v>
      </c>
      <c r="D1842" s="1" t="s">
        <v>15</v>
      </c>
      <c r="E1842" s="1" t="s">
        <v>16</v>
      </c>
      <c r="F1842" s="1" t="s">
        <v>17</v>
      </c>
      <c r="G1842" s="1" t="s">
        <v>18</v>
      </c>
      <c r="H1842" s="1" t="s">
        <v>71</v>
      </c>
      <c r="I1842" s="1">
        <v>4</v>
      </c>
      <c r="J1842" s="1">
        <v>84.24</v>
      </c>
      <c r="K1842" s="1">
        <v>0.2</v>
      </c>
      <c r="L1842" s="1">
        <v>269.57</v>
      </c>
      <c r="M1842" s="1" t="str">
        <f t="shared" si="56"/>
        <v>Online</v>
      </c>
      <c r="N1842" s="1">
        <f t="shared" si="57"/>
        <v>267.12</v>
      </c>
    </row>
    <row r="1843" spans="1:14" x14ac:dyDescent="0.3">
      <c r="A1843" s="1" t="s">
        <v>261</v>
      </c>
      <c r="B1843" s="1" t="s">
        <v>259</v>
      </c>
      <c r="C1843" s="1" t="s">
        <v>54</v>
      </c>
      <c r="D1843" s="1" t="s">
        <v>15</v>
      </c>
      <c r="E1843" s="1" t="s">
        <v>16</v>
      </c>
      <c r="F1843" s="1" t="s">
        <v>29</v>
      </c>
      <c r="G1843" s="1" t="s">
        <v>55</v>
      </c>
      <c r="H1843" s="1" t="s">
        <v>56</v>
      </c>
      <c r="I1843" s="1">
        <v>5</v>
      </c>
      <c r="J1843" s="1">
        <v>34.880000000000003</v>
      </c>
      <c r="K1843" s="1">
        <v>0.03</v>
      </c>
      <c r="L1843" s="1">
        <v>169.19</v>
      </c>
      <c r="M1843" s="1" t="str">
        <f t="shared" si="56"/>
        <v>Online</v>
      </c>
      <c r="N1843" s="1">
        <f t="shared" si="57"/>
        <v>267.12</v>
      </c>
    </row>
    <row r="1844" spans="1:14" x14ac:dyDescent="0.3">
      <c r="A1844" s="1" t="s">
        <v>262</v>
      </c>
      <c r="B1844" s="1" t="s">
        <v>259</v>
      </c>
      <c r="C1844" s="1" t="s">
        <v>54</v>
      </c>
      <c r="D1844" s="1" t="s">
        <v>35</v>
      </c>
      <c r="E1844" s="1" t="s">
        <v>16</v>
      </c>
      <c r="F1844" s="1" t="s">
        <v>29</v>
      </c>
      <c r="G1844" s="1" t="s">
        <v>33</v>
      </c>
      <c r="H1844" s="1" t="s">
        <v>71</v>
      </c>
      <c r="I1844" s="1">
        <v>8</v>
      </c>
      <c r="J1844" s="1">
        <v>13.5</v>
      </c>
      <c r="K1844" s="1">
        <v>0.1</v>
      </c>
      <c r="L1844" s="1">
        <v>97.2</v>
      </c>
      <c r="M1844" s="1" t="str">
        <f t="shared" si="56"/>
        <v>Online</v>
      </c>
      <c r="N1844" s="1">
        <f t="shared" si="57"/>
        <v>267.12</v>
      </c>
    </row>
    <row r="1845" spans="1:14" x14ac:dyDescent="0.3">
      <c r="A1845" s="1" t="s">
        <v>255</v>
      </c>
      <c r="B1845" s="1" t="s">
        <v>256</v>
      </c>
      <c r="C1845" s="1" t="s">
        <v>21</v>
      </c>
      <c r="D1845" s="1" t="s">
        <v>15</v>
      </c>
      <c r="E1845" s="1" t="s">
        <v>16</v>
      </c>
      <c r="F1845" s="1" t="s">
        <v>29</v>
      </c>
      <c r="G1845" s="1" t="s">
        <v>39</v>
      </c>
      <c r="H1845" s="1" t="s">
        <v>44</v>
      </c>
      <c r="I1845" s="1">
        <v>5</v>
      </c>
      <c r="J1845" s="1">
        <v>72</v>
      </c>
      <c r="K1845" s="1">
        <v>0.03</v>
      </c>
      <c r="L1845" s="1">
        <v>349.2</v>
      </c>
      <c r="M1845" s="1" t="str">
        <f t="shared" si="56"/>
        <v>Retail Store</v>
      </c>
      <c r="N1845" s="1">
        <f t="shared" si="57"/>
        <v>405</v>
      </c>
    </row>
    <row r="1846" spans="1:14" x14ac:dyDescent="0.3">
      <c r="A1846" s="1" t="s">
        <v>257</v>
      </c>
      <c r="B1846" s="1" t="s">
        <v>256</v>
      </c>
      <c r="C1846" s="1" t="s">
        <v>21</v>
      </c>
      <c r="D1846" s="1" t="s">
        <v>22</v>
      </c>
      <c r="E1846" s="1" t="s">
        <v>16</v>
      </c>
      <c r="F1846" s="1" t="s">
        <v>17</v>
      </c>
      <c r="G1846" s="1" t="s">
        <v>98</v>
      </c>
      <c r="H1846" s="1" t="s">
        <v>86</v>
      </c>
      <c r="I1846" s="1">
        <v>2</v>
      </c>
      <c r="J1846" s="1">
        <v>405</v>
      </c>
      <c r="K1846" s="1">
        <v>0.05</v>
      </c>
      <c r="L1846" s="1">
        <v>769.5</v>
      </c>
      <c r="M1846" s="1" t="str">
        <f t="shared" si="56"/>
        <v>Online</v>
      </c>
      <c r="N1846" s="1">
        <f t="shared" si="57"/>
        <v>405</v>
      </c>
    </row>
    <row r="1847" spans="1:14" x14ac:dyDescent="0.3">
      <c r="A1847" s="1" t="s">
        <v>251</v>
      </c>
      <c r="B1847" s="1" t="s">
        <v>252</v>
      </c>
      <c r="C1847" s="1" t="s">
        <v>47</v>
      </c>
      <c r="D1847" s="1" t="s">
        <v>35</v>
      </c>
      <c r="E1847" s="1" t="s">
        <v>16</v>
      </c>
      <c r="F1847" s="1" t="s">
        <v>36</v>
      </c>
      <c r="G1847" s="1" t="s">
        <v>119</v>
      </c>
      <c r="H1847" s="1" t="s">
        <v>58</v>
      </c>
      <c r="I1847" s="1">
        <v>3</v>
      </c>
      <c r="J1847" s="1">
        <v>598.5</v>
      </c>
      <c r="K1847" s="1">
        <v>0</v>
      </c>
      <c r="L1847" s="1">
        <v>1795.5</v>
      </c>
      <c r="M1847" s="1" t="str">
        <f t="shared" si="56"/>
        <v>Corporate Sales</v>
      </c>
      <c r="N1847" s="1">
        <f t="shared" si="57"/>
        <v>421.2</v>
      </c>
    </row>
    <row r="1848" spans="1:14" x14ac:dyDescent="0.3">
      <c r="A1848" s="1" t="s">
        <v>253</v>
      </c>
      <c r="B1848" s="1" t="s">
        <v>252</v>
      </c>
      <c r="C1848" s="1" t="s">
        <v>61</v>
      </c>
      <c r="D1848" s="1" t="s">
        <v>35</v>
      </c>
      <c r="E1848" s="1" t="s">
        <v>28</v>
      </c>
      <c r="F1848" s="1" t="s">
        <v>82</v>
      </c>
      <c r="G1848" s="1" t="s">
        <v>83</v>
      </c>
      <c r="H1848" s="1" t="s">
        <v>112</v>
      </c>
      <c r="I1848" s="1">
        <v>2</v>
      </c>
      <c r="J1848" s="1">
        <v>3855.6</v>
      </c>
      <c r="K1848" s="1">
        <v>0.05</v>
      </c>
      <c r="L1848" s="1">
        <v>7325.64</v>
      </c>
      <c r="M1848" s="1" t="str">
        <f t="shared" si="56"/>
        <v>Online</v>
      </c>
      <c r="N1848" s="1">
        <f t="shared" si="57"/>
        <v>62.01</v>
      </c>
    </row>
    <row r="1849" spans="1:14" x14ac:dyDescent="0.3">
      <c r="A1849" s="1" t="s">
        <v>254</v>
      </c>
      <c r="B1849" s="1" t="s">
        <v>252</v>
      </c>
      <c r="C1849" s="1" t="s">
        <v>21</v>
      </c>
      <c r="D1849" s="1" t="s">
        <v>27</v>
      </c>
      <c r="E1849" s="1" t="s">
        <v>16</v>
      </c>
      <c r="F1849" s="1" t="s">
        <v>82</v>
      </c>
      <c r="G1849" s="1" t="s">
        <v>150</v>
      </c>
      <c r="H1849" s="1" t="s">
        <v>25</v>
      </c>
      <c r="I1849" s="1">
        <v>2</v>
      </c>
      <c r="J1849" s="1">
        <v>2995.2</v>
      </c>
      <c r="K1849" s="1">
        <v>0.03</v>
      </c>
      <c r="L1849" s="1">
        <v>5810.69</v>
      </c>
      <c r="M1849" s="1" t="str">
        <f t="shared" si="56"/>
        <v>Marketplace</v>
      </c>
      <c r="N1849" s="1">
        <f t="shared" si="57"/>
        <v>405</v>
      </c>
    </row>
    <row r="1850" spans="1:14" x14ac:dyDescent="0.3">
      <c r="A1850" s="1" t="s">
        <v>246</v>
      </c>
      <c r="B1850" s="1" t="s">
        <v>247</v>
      </c>
      <c r="C1850" s="1" t="s">
        <v>14</v>
      </c>
      <c r="D1850" s="1" t="s">
        <v>27</v>
      </c>
      <c r="E1850" s="1" t="s">
        <v>16</v>
      </c>
      <c r="F1850" s="1" t="s">
        <v>29</v>
      </c>
      <c r="G1850" s="1" t="s">
        <v>88</v>
      </c>
      <c r="H1850" s="1" t="s">
        <v>19</v>
      </c>
      <c r="I1850" s="1">
        <v>2</v>
      </c>
      <c r="J1850" s="1">
        <v>62.01</v>
      </c>
      <c r="K1850" s="1">
        <v>0.08</v>
      </c>
      <c r="L1850" s="1">
        <v>114.1</v>
      </c>
      <c r="M1850" s="1" t="str">
        <f t="shared" si="56"/>
        <v>Retail Store</v>
      </c>
      <c r="N1850" s="1">
        <f t="shared" si="57"/>
        <v>16.2</v>
      </c>
    </row>
    <row r="1851" spans="1:14" x14ac:dyDescent="0.3">
      <c r="A1851" s="1" t="s">
        <v>248</v>
      </c>
      <c r="B1851" s="1" t="s">
        <v>247</v>
      </c>
      <c r="C1851" s="1" t="s">
        <v>61</v>
      </c>
      <c r="D1851" s="1" t="s">
        <v>22</v>
      </c>
      <c r="E1851" s="1" t="s">
        <v>28</v>
      </c>
      <c r="F1851" s="1" t="s">
        <v>29</v>
      </c>
      <c r="G1851" s="1" t="s">
        <v>33</v>
      </c>
      <c r="H1851" s="1" t="s">
        <v>112</v>
      </c>
      <c r="I1851" s="1">
        <v>5</v>
      </c>
      <c r="J1851" s="1">
        <v>13.5</v>
      </c>
      <c r="K1851" s="1">
        <v>0.03</v>
      </c>
      <c r="L1851" s="1">
        <v>65.48</v>
      </c>
      <c r="M1851" s="1" t="str">
        <f t="shared" si="56"/>
        <v>Online</v>
      </c>
      <c r="N1851" s="1">
        <f t="shared" si="57"/>
        <v>62.01</v>
      </c>
    </row>
    <row r="1852" spans="1:14" x14ac:dyDescent="0.3">
      <c r="A1852" s="1" t="s">
        <v>249</v>
      </c>
      <c r="B1852" s="1" t="s">
        <v>247</v>
      </c>
      <c r="C1852" s="1" t="s">
        <v>54</v>
      </c>
      <c r="D1852" s="1" t="s">
        <v>15</v>
      </c>
      <c r="E1852" s="1" t="s">
        <v>28</v>
      </c>
      <c r="F1852" s="1" t="s">
        <v>17</v>
      </c>
      <c r="G1852" s="1" t="s">
        <v>98</v>
      </c>
      <c r="H1852" s="1" t="s">
        <v>71</v>
      </c>
      <c r="I1852" s="1">
        <v>2</v>
      </c>
      <c r="J1852" s="1">
        <v>405</v>
      </c>
      <c r="K1852" s="1">
        <v>0</v>
      </c>
      <c r="L1852" s="1">
        <v>810</v>
      </c>
      <c r="M1852" s="1" t="str">
        <f t="shared" si="56"/>
        <v>Online</v>
      </c>
      <c r="N1852" s="1">
        <f t="shared" si="57"/>
        <v>267.12</v>
      </c>
    </row>
    <row r="1853" spans="1:14" x14ac:dyDescent="0.3">
      <c r="A1853" s="1" t="s">
        <v>250</v>
      </c>
      <c r="B1853" s="1" t="s">
        <v>247</v>
      </c>
      <c r="C1853" s="1" t="s">
        <v>54</v>
      </c>
      <c r="D1853" s="1" t="s">
        <v>35</v>
      </c>
      <c r="E1853" s="1" t="s">
        <v>16</v>
      </c>
      <c r="F1853" s="1" t="s">
        <v>42</v>
      </c>
      <c r="G1853" s="1" t="s">
        <v>65</v>
      </c>
      <c r="H1853" s="1" t="s">
        <v>80</v>
      </c>
      <c r="I1853" s="1">
        <v>7</v>
      </c>
      <c r="J1853" s="1">
        <v>654.75</v>
      </c>
      <c r="K1853" s="1">
        <v>0.05</v>
      </c>
      <c r="L1853" s="1">
        <v>4354.09</v>
      </c>
      <c r="M1853" s="1" t="str">
        <f t="shared" si="56"/>
        <v>Marketplace</v>
      </c>
      <c r="N1853" s="1">
        <f t="shared" si="57"/>
        <v>267.12</v>
      </c>
    </row>
    <row r="1854" spans="1:14" x14ac:dyDescent="0.3">
      <c r="A1854" s="1" t="s">
        <v>240</v>
      </c>
      <c r="B1854" s="1" t="s">
        <v>241</v>
      </c>
      <c r="C1854" s="1" t="s">
        <v>47</v>
      </c>
      <c r="D1854" s="1" t="s">
        <v>15</v>
      </c>
      <c r="E1854" s="1" t="s">
        <v>16</v>
      </c>
      <c r="F1854" s="1" t="s">
        <v>29</v>
      </c>
      <c r="G1854" s="1" t="s">
        <v>88</v>
      </c>
      <c r="H1854" s="1" t="s">
        <v>78</v>
      </c>
      <c r="I1854" s="1">
        <v>2</v>
      </c>
      <c r="J1854" s="1">
        <v>55.58</v>
      </c>
      <c r="K1854" s="1">
        <v>0.08</v>
      </c>
      <c r="L1854" s="1">
        <v>102.26</v>
      </c>
      <c r="M1854" s="1" t="str">
        <f t="shared" si="56"/>
        <v>Retail Store</v>
      </c>
      <c r="N1854" s="1">
        <f t="shared" si="57"/>
        <v>421.2</v>
      </c>
    </row>
    <row r="1855" spans="1:14" x14ac:dyDescent="0.3">
      <c r="A1855" s="1" t="s">
        <v>242</v>
      </c>
      <c r="B1855" s="1" t="s">
        <v>241</v>
      </c>
      <c r="C1855" s="1" t="s">
        <v>14</v>
      </c>
      <c r="D1855" s="1" t="s">
        <v>15</v>
      </c>
      <c r="E1855" s="1" t="s">
        <v>16</v>
      </c>
      <c r="F1855" s="1" t="s">
        <v>36</v>
      </c>
      <c r="G1855" s="1" t="s">
        <v>119</v>
      </c>
      <c r="H1855" s="1" t="s">
        <v>40</v>
      </c>
      <c r="I1855" s="1">
        <v>3</v>
      </c>
      <c r="J1855" s="1">
        <v>630</v>
      </c>
      <c r="K1855" s="1">
        <v>0.05</v>
      </c>
      <c r="L1855" s="1">
        <v>1795.5</v>
      </c>
      <c r="M1855" s="1" t="str">
        <f t="shared" si="56"/>
        <v>Online</v>
      </c>
      <c r="N1855" s="1">
        <f t="shared" si="57"/>
        <v>16.2</v>
      </c>
    </row>
    <row r="1856" spans="1:14" x14ac:dyDescent="0.3">
      <c r="A1856" s="1" t="s">
        <v>243</v>
      </c>
      <c r="B1856" s="1" t="s">
        <v>241</v>
      </c>
      <c r="C1856" s="1" t="s">
        <v>47</v>
      </c>
      <c r="D1856" s="1" t="s">
        <v>27</v>
      </c>
      <c r="E1856" s="1" t="s">
        <v>28</v>
      </c>
      <c r="F1856" s="1" t="s">
        <v>82</v>
      </c>
      <c r="G1856" s="1" t="s">
        <v>85</v>
      </c>
      <c r="H1856" s="1" t="s">
        <v>78</v>
      </c>
      <c r="I1856" s="1">
        <v>2</v>
      </c>
      <c r="J1856" s="1">
        <v>1571.4</v>
      </c>
      <c r="K1856" s="1">
        <v>0.08</v>
      </c>
      <c r="L1856" s="1">
        <v>2891.38</v>
      </c>
      <c r="M1856" s="1" t="str">
        <f t="shared" si="56"/>
        <v>Retail Store</v>
      </c>
      <c r="N1856" s="1">
        <f t="shared" si="57"/>
        <v>421.2</v>
      </c>
    </row>
    <row r="1857" spans="1:14" x14ac:dyDescent="0.3">
      <c r="A1857" s="1" t="s">
        <v>244</v>
      </c>
      <c r="B1857" s="1" t="s">
        <v>241</v>
      </c>
      <c r="C1857" s="1" t="s">
        <v>47</v>
      </c>
      <c r="D1857" s="1" t="s">
        <v>22</v>
      </c>
      <c r="E1857" s="1" t="s">
        <v>16</v>
      </c>
      <c r="F1857" s="1" t="s">
        <v>17</v>
      </c>
      <c r="G1857" s="1" t="s">
        <v>62</v>
      </c>
      <c r="H1857" s="1" t="s">
        <v>78</v>
      </c>
      <c r="I1857" s="1">
        <v>3</v>
      </c>
      <c r="J1857" s="1">
        <v>56.16</v>
      </c>
      <c r="K1857" s="1">
        <v>0.08</v>
      </c>
      <c r="L1857" s="1">
        <v>155</v>
      </c>
      <c r="M1857" s="1" t="str">
        <f t="shared" si="56"/>
        <v>Retail Store</v>
      </c>
      <c r="N1857" s="1">
        <f t="shared" si="57"/>
        <v>421.2</v>
      </c>
    </row>
    <row r="1858" spans="1:14" x14ac:dyDescent="0.3">
      <c r="A1858" s="1" t="s">
        <v>245</v>
      </c>
      <c r="B1858" s="1" t="s">
        <v>241</v>
      </c>
      <c r="C1858" s="1" t="s">
        <v>21</v>
      </c>
      <c r="D1858" s="1" t="s">
        <v>15</v>
      </c>
      <c r="E1858" s="1" t="s">
        <v>16</v>
      </c>
      <c r="F1858" s="1" t="s">
        <v>29</v>
      </c>
      <c r="G1858" s="1" t="s">
        <v>33</v>
      </c>
      <c r="H1858" s="1" t="s">
        <v>44</v>
      </c>
      <c r="I1858" s="1">
        <v>5</v>
      </c>
      <c r="J1858" s="1">
        <v>14.31</v>
      </c>
      <c r="K1858" s="1">
        <v>0.2</v>
      </c>
      <c r="L1858" s="1">
        <v>57.24</v>
      </c>
      <c r="M1858" s="1" t="str">
        <f t="shared" ref="M1858:M1921" si="58">INDEX(D:D,MATCH(H1858,H:H,0))</f>
        <v>Retail Store</v>
      </c>
      <c r="N1858" s="1">
        <f t="shared" ref="N1858:N1921" si="59">VLOOKUP(C:C,C:J,8,FALSE)</f>
        <v>405</v>
      </c>
    </row>
    <row r="1859" spans="1:14" x14ac:dyDescent="0.3">
      <c r="A1859" s="1" t="s">
        <v>234</v>
      </c>
      <c r="B1859" s="1" t="s">
        <v>235</v>
      </c>
      <c r="C1859" s="1" t="s">
        <v>14</v>
      </c>
      <c r="D1859" s="1" t="s">
        <v>15</v>
      </c>
      <c r="E1859" s="1" t="s">
        <v>28</v>
      </c>
      <c r="F1859" s="1" t="s">
        <v>29</v>
      </c>
      <c r="G1859" s="1" t="s">
        <v>88</v>
      </c>
      <c r="H1859" s="1" t="s">
        <v>19</v>
      </c>
      <c r="I1859" s="1">
        <v>2</v>
      </c>
      <c r="J1859" s="1">
        <v>59.67</v>
      </c>
      <c r="K1859" s="1">
        <v>0</v>
      </c>
      <c r="L1859" s="1">
        <v>119.34</v>
      </c>
      <c r="M1859" s="1" t="str">
        <f t="shared" si="58"/>
        <v>Retail Store</v>
      </c>
      <c r="N1859" s="1">
        <f t="shared" si="59"/>
        <v>16.2</v>
      </c>
    </row>
    <row r="1860" spans="1:14" x14ac:dyDescent="0.3">
      <c r="A1860" s="1" t="s">
        <v>236</v>
      </c>
      <c r="B1860" s="1" t="s">
        <v>235</v>
      </c>
      <c r="C1860" s="1" t="s">
        <v>21</v>
      </c>
      <c r="D1860" s="1" t="s">
        <v>27</v>
      </c>
      <c r="E1860" s="1" t="s">
        <v>28</v>
      </c>
      <c r="F1860" s="1" t="s">
        <v>17</v>
      </c>
      <c r="G1860" s="1" t="s">
        <v>62</v>
      </c>
      <c r="H1860" s="1" t="s">
        <v>44</v>
      </c>
      <c r="I1860" s="1">
        <v>2</v>
      </c>
      <c r="J1860" s="1">
        <v>54</v>
      </c>
      <c r="K1860" s="1">
        <v>0.05</v>
      </c>
      <c r="L1860" s="1">
        <v>102.6</v>
      </c>
      <c r="M1860" s="1" t="str">
        <f t="shared" si="58"/>
        <v>Retail Store</v>
      </c>
      <c r="N1860" s="1">
        <f t="shared" si="59"/>
        <v>405</v>
      </c>
    </row>
    <row r="1861" spans="1:14" x14ac:dyDescent="0.3">
      <c r="A1861" s="1" t="s">
        <v>237</v>
      </c>
      <c r="B1861" s="1" t="s">
        <v>235</v>
      </c>
      <c r="C1861" s="1" t="s">
        <v>61</v>
      </c>
      <c r="D1861" s="1" t="s">
        <v>15</v>
      </c>
      <c r="E1861" s="1" t="s">
        <v>28</v>
      </c>
      <c r="F1861" s="1" t="s">
        <v>17</v>
      </c>
      <c r="G1861" s="1" t="s">
        <v>62</v>
      </c>
      <c r="H1861" s="1" t="s">
        <v>63</v>
      </c>
      <c r="I1861" s="1">
        <v>6</v>
      </c>
      <c r="J1861" s="1">
        <v>55.08</v>
      </c>
      <c r="K1861" s="1">
        <v>0</v>
      </c>
      <c r="L1861" s="1">
        <v>330.48</v>
      </c>
      <c r="M1861" s="1" t="str">
        <f t="shared" si="58"/>
        <v>Retail Store</v>
      </c>
      <c r="N1861" s="1">
        <f t="shared" si="59"/>
        <v>62.01</v>
      </c>
    </row>
    <row r="1862" spans="1:14" x14ac:dyDescent="0.3">
      <c r="A1862" s="1" t="s">
        <v>238</v>
      </c>
      <c r="B1862" s="1" t="s">
        <v>235</v>
      </c>
      <c r="C1862" s="1" t="s">
        <v>14</v>
      </c>
      <c r="D1862" s="1" t="s">
        <v>35</v>
      </c>
      <c r="E1862" s="1" t="s">
        <v>16</v>
      </c>
      <c r="F1862" s="1" t="s">
        <v>82</v>
      </c>
      <c r="G1862" s="1" t="s">
        <v>114</v>
      </c>
      <c r="H1862" s="1" t="s">
        <v>19</v>
      </c>
      <c r="I1862" s="1">
        <v>2</v>
      </c>
      <c r="J1862" s="1">
        <v>2250</v>
      </c>
      <c r="K1862" s="1">
        <v>0</v>
      </c>
      <c r="L1862" s="1">
        <v>4500</v>
      </c>
      <c r="M1862" s="1" t="str">
        <f t="shared" si="58"/>
        <v>Retail Store</v>
      </c>
      <c r="N1862" s="1">
        <f t="shared" si="59"/>
        <v>16.2</v>
      </c>
    </row>
    <row r="1863" spans="1:14" x14ac:dyDescent="0.3">
      <c r="A1863" s="1" t="s">
        <v>239</v>
      </c>
      <c r="B1863" s="1" t="s">
        <v>235</v>
      </c>
      <c r="C1863" s="1" t="s">
        <v>21</v>
      </c>
      <c r="D1863" s="1" t="s">
        <v>15</v>
      </c>
      <c r="E1863" s="1" t="s">
        <v>16</v>
      </c>
      <c r="F1863" s="1" t="s">
        <v>82</v>
      </c>
      <c r="G1863" s="1" t="s">
        <v>83</v>
      </c>
      <c r="H1863" s="1" t="s">
        <v>25</v>
      </c>
      <c r="I1863" s="1">
        <v>2</v>
      </c>
      <c r="J1863" s="1">
        <v>3591</v>
      </c>
      <c r="K1863" s="1">
        <v>0.05</v>
      </c>
      <c r="L1863" s="1">
        <v>6822.9</v>
      </c>
      <c r="M1863" s="1" t="str">
        <f t="shared" si="58"/>
        <v>Marketplace</v>
      </c>
      <c r="N1863" s="1">
        <f t="shared" si="59"/>
        <v>405</v>
      </c>
    </row>
    <row r="1864" spans="1:14" x14ac:dyDescent="0.3">
      <c r="A1864" s="1" t="s">
        <v>227</v>
      </c>
      <c r="B1864" s="1" t="s">
        <v>228</v>
      </c>
      <c r="C1864" s="1" t="s">
        <v>61</v>
      </c>
      <c r="D1864" s="1" t="s">
        <v>27</v>
      </c>
      <c r="E1864" s="1" t="s">
        <v>28</v>
      </c>
      <c r="F1864" s="1" t="s">
        <v>17</v>
      </c>
      <c r="G1864" s="1" t="s">
        <v>189</v>
      </c>
      <c r="H1864" s="1" t="s">
        <v>73</v>
      </c>
      <c r="I1864" s="1">
        <v>5</v>
      </c>
      <c r="J1864" s="1">
        <v>279.36</v>
      </c>
      <c r="K1864" s="1">
        <v>0.08</v>
      </c>
      <c r="L1864" s="1">
        <v>1285.06</v>
      </c>
      <c r="M1864" s="1" t="str">
        <f t="shared" si="58"/>
        <v>Online</v>
      </c>
      <c r="N1864" s="1">
        <f t="shared" si="59"/>
        <v>62.01</v>
      </c>
    </row>
    <row r="1865" spans="1:14" x14ac:dyDescent="0.3">
      <c r="A1865" s="1" t="s">
        <v>229</v>
      </c>
      <c r="B1865" s="1" t="s">
        <v>228</v>
      </c>
      <c r="C1865" s="1" t="s">
        <v>54</v>
      </c>
      <c r="D1865" s="1" t="s">
        <v>27</v>
      </c>
      <c r="E1865" s="1" t="s">
        <v>16</v>
      </c>
      <c r="F1865" s="1" t="s">
        <v>29</v>
      </c>
      <c r="G1865" s="1" t="s">
        <v>55</v>
      </c>
      <c r="H1865" s="1" t="s">
        <v>80</v>
      </c>
      <c r="I1865" s="1">
        <v>9</v>
      </c>
      <c r="J1865" s="1">
        <v>35.57</v>
      </c>
      <c r="K1865" s="1">
        <v>0.08</v>
      </c>
      <c r="L1865" s="1">
        <v>294.5</v>
      </c>
      <c r="M1865" s="1" t="str">
        <f t="shared" si="58"/>
        <v>Marketplace</v>
      </c>
      <c r="N1865" s="1">
        <f t="shared" si="59"/>
        <v>267.12</v>
      </c>
    </row>
    <row r="1866" spans="1:14" x14ac:dyDescent="0.3">
      <c r="A1866" s="1" t="s">
        <v>230</v>
      </c>
      <c r="B1866" s="1" t="s">
        <v>228</v>
      </c>
      <c r="C1866" s="1" t="s">
        <v>14</v>
      </c>
      <c r="D1866" s="1" t="s">
        <v>15</v>
      </c>
      <c r="E1866" s="1" t="s">
        <v>28</v>
      </c>
      <c r="F1866" s="1" t="s">
        <v>23</v>
      </c>
      <c r="G1866" s="1" t="s">
        <v>103</v>
      </c>
      <c r="H1866" s="1" t="s">
        <v>31</v>
      </c>
      <c r="I1866" s="1">
        <v>2</v>
      </c>
      <c r="J1866" s="1">
        <v>11.02</v>
      </c>
      <c r="K1866" s="1">
        <v>0.08</v>
      </c>
      <c r="L1866" s="1">
        <v>20.27</v>
      </c>
      <c r="M1866" s="1" t="str">
        <f t="shared" si="58"/>
        <v>Online</v>
      </c>
      <c r="N1866" s="1">
        <f t="shared" si="59"/>
        <v>16.2</v>
      </c>
    </row>
    <row r="1867" spans="1:14" x14ac:dyDescent="0.3">
      <c r="A1867" s="1" t="s">
        <v>231</v>
      </c>
      <c r="B1867" s="1" t="s">
        <v>228</v>
      </c>
      <c r="C1867" s="1" t="s">
        <v>61</v>
      </c>
      <c r="D1867" s="1" t="s">
        <v>15</v>
      </c>
      <c r="E1867" s="1" t="s">
        <v>28</v>
      </c>
      <c r="F1867" s="1" t="s">
        <v>29</v>
      </c>
      <c r="G1867" s="1" t="s">
        <v>88</v>
      </c>
      <c r="H1867" s="1" t="s">
        <v>73</v>
      </c>
      <c r="I1867" s="1">
        <v>3</v>
      </c>
      <c r="J1867" s="1">
        <v>58.5</v>
      </c>
      <c r="K1867" s="1">
        <v>0</v>
      </c>
      <c r="L1867" s="1">
        <v>175.5</v>
      </c>
      <c r="M1867" s="1" t="str">
        <f t="shared" si="58"/>
        <v>Online</v>
      </c>
      <c r="N1867" s="1">
        <f t="shared" si="59"/>
        <v>62.01</v>
      </c>
    </row>
    <row r="1868" spans="1:14" x14ac:dyDescent="0.3">
      <c r="A1868" s="1" t="s">
        <v>232</v>
      </c>
      <c r="B1868" s="1" t="s">
        <v>228</v>
      </c>
      <c r="C1868" s="1" t="s">
        <v>54</v>
      </c>
      <c r="D1868" s="1" t="s">
        <v>15</v>
      </c>
      <c r="E1868" s="1" t="s">
        <v>16</v>
      </c>
      <c r="F1868" s="1" t="s">
        <v>17</v>
      </c>
      <c r="G1868" s="1" t="s">
        <v>18</v>
      </c>
      <c r="H1868" s="1" t="s">
        <v>56</v>
      </c>
      <c r="I1868" s="1">
        <v>3</v>
      </c>
      <c r="J1868" s="1">
        <v>85.86</v>
      </c>
      <c r="K1868" s="1">
        <v>0.08</v>
      </c>
      <c r="L1868" s="1">
        <v>236.97</v>
      </c>
      <c r="M1868" s="1" t="str">
        <f t="shared" si="58"/>
        <v>Online</v>
      </c>
      <c r="N1868" s="1">
        <f t="shared" si="59"/>
        <v>267.12</v>
      </c>
    </row>
    <row r="1869" spans="1:14" x14ac:dyDescent="0.3">
      <c r="A1869" s="1" t="s">
        <v>233</v>
      </c>
      <c r="B1869" s="1" t="s">
        <v>228</v>
      </c>
      <c r="C1869" s="1" t="s">
        <v>54</v>
      </c>
      <c r="D1869" s="1" t="s">
        <v>27</v>
      </c>
      <c r="E1869" s="1" t="s">
        <v>28</v>
      </c>
      <c r="F1869" s="1" t="s">
        <v>42</v>
      </c>
      <c r="G1869" s="1" t="s">
        <v>67</v>
      </c>
      <c r="H1869" s="1" t="s">
        <v>80</v>
      </c>
      <c r="I1869" s="1">
        <v>6</v>
      </c>
      <c r="J1869" s="1">
        <v>252</v>
      </c>
      <c r="K1869" s="1">
        <v>0.05</v>
      </c>
      <c r="L1869" s="1">
        <v>1436.4</v>
      </c>
      <c r="M1869" s="1" t="str">
        <f t="shared" si="58"/>
        <v>Marketplace</v>
      </c>
      <c r="N1869" s="1">
        <f t="shared" si="59"/>
        <v>267.12</v>
      </c>
    </row>
    <row r="1870" spans="1:14" x14ac:dyDescent="0.3">
      <c r="A1870" s="1" t="s">
        <v>221</v>
      </c>
      <c r="B1870" s="1" t="s">
        <v>222</v>
      </c>
      <c r="C1870" s="1" t="s">
        <v>14</v>
      </c>
      <c r="D1870" s="1" t="s">
        <v>15</v>
      </c>
      <c r="E1870" s="1" t="s">
        <v>28</v>
      </c>
      <c r="F1870" s="1" t="s">
        <v>82</v>
      </c>
      <c r="G1870" s="1" t="s">
        <v>96</v>
      </c>
      <c r="H1870" s="1" t="s">
        <v>40</v>
      </c>
      <c r="I1870" s="1">
        <v>4</v>
      </c>
      <c r="J1870" s="1">
        <v>2700</v>
      </c>
      <c r="K1870" s="1">
        <v>0</v>
      </c>
      <c r="L1870" s="1">
        <v>10800</v>
      </c>
      <c r="M1870" s="1" t="str">
        <f t="shared" si="58"/>
        <v>Online</v>
      </c>
      <c r="N1870" s="1">
        <f t="shared" si="59"/>
        <v>16.2</v>
      </c>
    </row>
    <row r="1871" spans="1:14" x14ac:dyDescent="0.3">
      <c r="A1871" s="1" t="s">
        <v>223</v>
      </c>
      <c r="B1871" s="1" t="s">
        <v>222</v>
      </c>
      <c r="C1871" s="1" t="s">
        <v>54</v>
      </c>
      <c r="D1871" s="1" t="s">
        <v>15</v>
      </c>
      <c r="E1871" s="1" t="s">
        <v>16</v>
      </c>
      <c r="F1871" s="1" t="s">
        <v>17</v>
      </c>
      <c r="G1871" s="1" t="s">
        <v>18</v>
      </c>
      <c r="H1871" s="1" t="s">
        <v>56</v>
      </c>
      <c r="I1871" s="1">
        <v>3</v>
      </c>
      <c r="J1871" s="1">
        <v>85.86</v>
      </c>
      <c r="K1871" s="1">
        <v>0.08</v>
      </c>
      <c r="L1871" s="1">
        <v>236.97</v>
      </c>
      <c r="M1871" s="1" t="str">
        <f t="shared" si="58"/>
        <v>Online</v>
      </c>
      <c r="N1871" s="1">
        <f t="shared" si="59"/>
        <v>267.12</v>
      </c>
    </row>
    <row r="1872" spans="1:14" x14ac:dyDescent="0.3">
      <c r="A1872" s="1" t="s">
        <v>224</v>
      </c>
      <c r="B1872" s="1" t="s">
        <v>222</v>
      </c>
      <c r="C1872" s="1" t="s">
        <v>21</v>
      </c>
      <c r="D1872" s="1" t="s">
        <v>15</v>
      </c>
      <c r="E1872" s="1" t="s">
        <v>16</v>
      </c>
      <c r="F1872" s="1" t="s">
        <v>17</v>
      </c>
      <c r="G1872" s="1" t="s">
        <v>98</v>
      </c>
      <c r="H1872" s="1" t="s">
        <v>44</v>
      </c>
      <c r="I1872" s="1">
        <v>3</v>
      </c>
      <c r="J1872" s="1">
        <v>392.85</v>
      </c>
      <c r="K1872" s="1">
        <v>0.1</v>
      </c>
      <c r="L1872" s="1">
        <v>1060.7</v>
      </c>
      <c r="M1872" s="1" t="str">
        <f t="shared" si="58"/>
        <v>Retail Store</v>
      </c>
      <c r="N1872" s="1">
        <f t="shared" si="59"/>
        <v>405</v>
      </c>
    </row>
    <row r="1873" spans="1:14" x14ac:dyDescent="0.3">
      <c r="A1873" s="1" t="s">
        <v>225</v>
      </c>
      <c r="B1873" s="1" t="s">
        <v>222</v>
      </c>
      <c r="C1873" s="1" t="s">
        <v>54</v>
      </c>
      <c r="D1873" s="1" t="s">
        <v>15</v>
      </c>
      <c r="E1873" s="1" t="s">
        <v>16</v>
      </c>
      <c r="F1873" s="1" t="s">
        <v>42</v>
      </c>
      <c r="G1873" s="1" t="s">
        <v>65</v>
      </c>
      <c r="H1873" s="1" t="s">
        <v>71</v>
      </c>
      <c r="I1873" s="1">
        <v>6</v>
      </c>
      <c r="J1873" s="1">
        <v>688.5</v>
      </c>
      <c r="K1873" s="1">
        <v>0</v>
      </c>
      <c r="L1873" s="1">
        <v>4131</v>
      </c>
      <c r="M1873" s="1" t="str">
        <f t="shared" si="58"/>
        <v>Online</v>
      </c>
      <c r="N1873" s="1">
        <f t="shared" si="59"/>
        <v>267.12</v>
      </c>
    </row>
    <row r="1874" spans="1:14" x14ac:dyDescent="0.3">
      <c r="A1874" s="1" t="s">
        <v>226</v>
      </c>
      <c r="B1874" s="1" t="s">
        <v>222</v>
      </c>
      <c r="C1874" s="1" t="s">
        <v>14</v>
      </c>
      <c r="D1874" s="1" t="s">
        <v>35</v>
      </c>
      <c r="E1874" s="1" t="s">
        <v>16</v>
      </c>
      <c r="F1874" s="1" t="s">
        <v>36</v>
      </c>
      <c r="G1874" s="1" t="s">
        <v>70</v>
      </c>
      <c r="H1874" s="1" t="s">
        <v>40</v>
      </c>
      <c r="I1874" s="1">
        <v>3</v>
      </c>
      <c r="J1874" s="1">
        <v>532.44000000000005</v>
      </c>
      <c r="K1874" s="1">
        <v>0.15</v>
      </c>
      <c r="L1874" s="1">
        <v>1357.72</v>
      </c>
      <c r="M1874" s="1" t="str">
        <f t="shared" si="58"/>
        <v>Online</v>
      </c>
      <c r="N1874" s="1">
        <f t="shared" si="59"/>
        <v>16.2</v>
      </c>
    </row>
    <row r="1875" spans="1:14" x14ac:dyDescent="0.3">
      <c r="A1875" s="1" t="s">
        <v>216</v>
      </c>
      <c r="B1875" s="1" t="s">
        <v>217</v>
      </c>
      <c r="C1875" s="1" t="s">
        <v>54</v>
      </c>
      <c r="D1875" s="1" t="s">
        <v>27</v>
      </c>
      <c r="E1875" s="1" t="s">
        <v>16</v>
      </c>
      <c r="F1875" s="1" t="s">
        <v>82</v>
      </c>
      <c r="G1875" s="1" t="s">
        <v>150</v>
      </c>
      <c r="H1875" s="1" t="s">
        <v>56</v>
      </c>
      <c r="I1875" s="1">
        <v>2</v>
      </c>
      <c r="J1875" s="1">
        <v>2793.6</v>
      </c>
      <c r="K1875" s="1">
        <v>0.05</v>
      </c>
      <c r="L1875" s="1">
        <v>5307.84</v>
      </c>
      <c r="M1875" s="1" t="str">
        <f t="shared" si="58"/>
        <v>Online</v>
      </c>
      <c r="N1875" s="1">
        <f t="shared" si="59"/>
        <v>267.12</v>
      </c>
    </row>
    <row r="1876" spans="1:14" x14ac:dyDescent="0.3">
      <c r="A1876" s="1" t="s">
        <v>218</v>
      </c>
      <c r="B1876" s="1" t="s">
        <v>217</v>
      </c>
      <c r="C1876" s="1" t="s">
        <v>21</v>
      </c>
      <c r="D1876" s="1" t="s">
        <v>27</v>
      </c>
      <c r="E1876" s="1" t="s">
        <v>16</v>
      </c>
      <c r="F1876" s="1" t="s">
        <v>23</v>
      </c>
      <c r="G1876" s="1" t="s">
        <v>142</v>
      </c>
      <c r="H1876" s="1" t="s">
        <v>44</v>
      </c>
      <c r="I1876" s="1">
        <v>3</v>
      </c>
      <c r="J1876" s="1">
        <v>15.71</v>
      </c>
      <c r="K1876" s="1">
        <v>0.15</v>
      </c>
      <c r="L1876" s="1">
        <v>40.07</v>
      </c>
      <c r="M1876" s="1" t="str">
        <f t="shared" si="58"/>
        <v>Retail Store</v>
      </c>
      <c r="N1876" s="1">
        <f t="shared" si="59"/>
        <v>405</v>
      </c>
    </row>
    <row r="1877" spans="1:14" x14ac:dyDescent="0.3">
      <c r="A1877" s="1" t="s">
        <v>219</v>
      </c>
      <c r="B1877" s="1" t="s">
        <v>217</v>
      </c>
      <c r="C1877" s="1" t="s">
        <v>54</v>
      </c>
      <c r="D1877" s="1" t="s">
        <v>22</v>
      </c>
      <c r="E1877" s="1" t="s">
        <v>16</v>
      </c>
      <c r="F1877" s="1" t="s">
        <v>17</v>
      </c>
      <c r="G1877" s="1" t="s">
        <v>189</v>
      </c>
      <c r="H1877" s="1" t="s">
        <v>80</v>
      </c>
      <c r="I1877" s="1">
        <v>2</v>
      </c>
      <c r="J1877" s="1">
        <v>305.27999999999997</v>
      </c>
      <c r="K1877" s="1">
        <v>0.15</v>
      </c>
      <c r="L1877" s="1">
        <v>518.98</v>
      </c>
      <c r="M1877" s="1" t="str">
        <f t="shared" si="58"/>
        <v>Marketplace</v>
      </c>
      <c r="N1877" s="1">
        <f t="shared" si="59"/>
        <v>267.12</v>
      </c>
    </row>
    <row r="1878" spans="1:14" x14ac:dyDescent="0.3">
      <c r="A1878" s="1" t="s">
        <v>220</v>
      </c>
      <c r="B1878" s="1" t="s">
        <v>217</v>
      </c>
      <c r="C1878" s="1" t="s">
        <v>54</v>
      </c>
      <c r="D1878" s="1" t="s">
        <v>15</v>
      </c>
      <c r="E1878" s="1" t="s">
        <v>28</v>
      </c>
      <c r="F1878" s="1" t="s">
        <v>36</v>
      </c>
      <c r="G1878" s="1" t="s">
        <v>37</v>
      </c>
      <c r="H1878" s="1" t="s">
        <v>71</v>
      </c>
      <c r="I1878" s="1">
        <v>2</v>
      </c>
      <c r="J1878" s="1">
        <v>742.05</v>
      </c>
      <c r="K1878" s="1">
        <v>0</v>
      </c>
      <c r="L1878" s="1">
        <v>1484.1</v>
      </c>
      <c r="M1878" s="1" t="str">
        <f t="shared" si="58"/>
        <v>Online</v>
      </c>
      <c r="N1878" s="1">
        <f t="shared" si="59"/>
        <v>267.12</v>
      </c>
    </row>
    <row r="1879" spans="1:14" x14ac:dyDescent="0.3">
      <c r="A1879" s="1" t="s">
        <v>211</v>
      </c>
      <c r="B1879" s="1" t="s">
        <v>212</v>
      </c>
      <c r="C1879" s="1" t="s">
        <v>54</v>
      </c>
      <c r="D1879" s="1" t="s">
        <v>15</v>
      </c>
      <c r="E1879" s="1" t="s">
        <v>16</v>
      </c>
      <c r="F1879" s="1" t="s">
        <v>17</v>
      </c>
      <c r="G1879" s="1" t="s">
        <v>62</v>
      </c>
      <c r="H1879" s="1" t="s">
        <v>80</v>
      </c>
      <c r="I1879" s="1">
        <v>4</v>
      </c>
      <c r="J1879" s="1">
        <v>57.24</v>
      </c>
      <c r="K1879" s="1">
        <v>0.05</v>
      </c>
      <c r="L1879" s="1">
        <v>217.51</v>
      </c>
      <c r="M1879" s="1" t="str">
        <f t="shared" si="58"/>
        <v>Marketplace</v>
      </c>
      <c r="N1879" s="1">
        <f t="shared" si="59"/>
        <v>267.12</v>
      </c>
    </row>
    <row r="1880" spans="1:14" x14ac:dyDescent="0.3">
      <c r="A1880" s="1" t="s">
        <v>213</v>
      </c>
      <c r="B1880" s="1" t="s">
        <v>212</v>
      </c>
      <c r="C1880" s="1" t="s">
        <v>54</v>
      </c>
      <c r="D1880" s="1" t="s">
        <v>27</v>
      </c>
      <c r="E1880" s="1" t="s">
        <v>16</v>
      </c>
      <c r="F1880" s="1" t="s">
        <v>36</v>
      </c>
      <c r="G1880" s="1" t="s">
        <v>70</v>
      </c>
      <c r="H1880" s="1" t="s">
        <v>56</v>
      </c>
      <c r="I1880" s="1">
        <v>3</v>
      </c>
      <c r="J1880" s="1">
        <v>542.88</v>
      </c>
      <c r="K1880" s="1">
        <v>0.1</v>
      </c>
      <c r="L1880" s="1">
        <v>1465.78</v>
      </c>
      <c r="M1880" s="1" t="str">
        <f t="shared" si="58"/>
        <v>Online</v>
      </c>
      <c r="N1880" s="1">
        <f t="shared" si="59"/>
        <v>267.12</v>
      </c>
    </row>
    <row r="1881" spans="1:14" x14ac:dyDescent="0.3">
      <c r="A1881" s="1" t="s">
        <v>214</v>
      </c>
      <c r="B1881" s="1" t="s">
        <v>212</v>
      </c>
      <c r="C1881" s="1" t="s">
        <v>47</v>
      </c>
      <c r="D1881" s="1" t="s">
        <v>15</v>
      </c>
      <c r="E1881" s="1" t="s">
        <v>16</v>
      </c>
      <c r="F1881" s="1" t="s">
        <v>42</v>
      </c>
      <c r="G1881" s="1" t="s">
        <v>65</v>
      </c>
      <c r="H1881" s="1" t="s">
        <v>58</v>
      </c>
      <c r="I1881" s="1">
        <v>5</v>
      </c>
      <c r="J1881" s="1">
        <v>675</v>
      </c>
      <c r="K1881" s="1">
        <v>0.05</v>
      </c>
      <c r="L1881" s="1">
        <v>3206.25</v>
      </c>
      <c r="M1881" s="1" t="str">
        <f t="shared" si="58"/>
        <v>Corporate Sales</v>
      </c>
      <c r="N1881" s="1">
        <f t="shared" si="59"/>
        <v>421.2</v>
      </c>
    </row>
    <row r="1882" spans="1:14" x14ac:dyDescent="0.3">
      <c r="A1882" s="1" t="s">
        <v>215</v>
      </c>
      <c r="B1882" s="1" t="s">
        <v>212</v>
      </c>
      <c r="C1882" s="1" t="s">
        <v>47</v>
      </c>
      <c r="D1882" s="1" t="s">
        <v>35</v>
      </c>
      <c r="E1882" s="1" t="s">
        <v>28</v>
      </c>
      <c r="F1882" s="1" t="s">
        <v>82</v>
      </c>
      <c r="G1882" s="1" t="s">
        <v>96</v>
      </c>
      <c r="H1882" s="1" t="s">
        <v>78</v>
      </c>
      <c r="I1882" s="1">
        <v>2</v>
      </c>
      <c r="J1882" s="1">
        <v>2700</v>
      </c>
      <c r="K1882" s="1">
        <v>0.05</v>
      </c>
      <c r="L1882" s="1">
        <v>5130</v>
      </c>
      <c r="M1882" s="1" t="str">
        <f t="shared" si="58"/>
        <v>Retail Store</v>
      </c>
      <c r="N1882" s="1">
        <f t="shared" si="59"/>
        <v>421.2</v>
      </c>
    </row>
    <row r="1883" spans="1:14" x14ac:dyDescent="0.3">
      <c r="A1883" s="1" t="s">
        <v>205</v>
      </c>
      <c r="B1883" s="1" t="s">
        <v>206</v>
      </c>
      <c r="C1883" s="1" t="s">
        <v>61</v>
      </c>
      <c r="D1883" s="1" t="s">
        <v>27</v>
      </c>
      <c r="E1883" s="1" t="s">
        <v>28</v>
      </c>
      <c r="F1883" s="1" t="s">
        <v>82</v>
      </c>
      <c r="G1883" s="1" t="s">
        <v>96</v>
      </c>
      <c r="H1883" s="1" t="s">
        <v>73</v>
      </c>
      <c r="I1883" s="1">
        <v>3</v>
      </c>
      <c r="J1883" s="1">
        <v>2808</v>
      </c>
      <c r="K1883" s="1">
        <v>0.05</v>
      </c>
      <c r="L1883" s="1">
        <v>8002.8</v>
      </c>
      <c r="M1883" s="1" t="str">
        <f t="shared" si="58"/>
        <v>Online</v>
      </c>
      <c r="N1883" s="1">
        <f t="shared" si="59"/>
        <v>62.01</v>
      </c>
    </row>
    <row r="1884" spans="1:14" x14ac:dyDescent="0.3">
      <c r="A1884" s="1" t="s">
        <v>207</v>
      </c>
      <c r="B1884" s="1" t="s">
        <v>206</v>
      </c>
      <c r="C1884" s="1" t="s">
        <v>54</v>
      </c>
      <c r="D1884" s="1" t="s">
        <v>35</v>
      </c>
      <c r="E1884" s="1" t="s">
        <v>16</v>
      </c>
      <c r="F1884" s="1" t="s">
        <v>82</v>
      </c>
      <c r="G1884" s="1" t="s">
        <v>96</v>
      </c>
      <c r="H1884" s="1" t="s">
        <v>56</v>
      </c>
      <c r="I1884" s="1">
        <v>2</v>
      </c>
      <c r="J1884" s="1">
        <v>2565</v>
      </c>
      <c r="K1884" s="1">
        <v>0.1</v>
      </c>
      <c r="L1884" s="1">
        <v>4617</v>
      </c>
      <c r="M1884" s="1" t="str">
        <f t="shared" si="58"/>
        <v>Online</v>
      </c>
      <c r="N1884" s="1">
        <f t="shared" si="59"/>
        <v>267.12</v>
      </c>
    </row>
    <row r="1885" spans="1:14" x14ac:dyDescent="0.3">
      <c r="A1885" s="1" t="s">
        <v>208</v>
      </c>
      <c r="B1885" s="1" t="s">
        <v>206</v>
      </c>
      <c r="C1885" s="1" t="s">
        <v>14</v>
      </c>
      <c r="D1885" s="1" t="s">
        <v>35</v>
      </c>
      <c r="E1885" s="1" t="s">
        <v>28</v>
      </c>
      <c r="F1885" s="1" t="s">
        <v>36</v>
      </c>
      <c r="G1885" s="1" t="s">
        <v>77</v>
      </c>
      <c r="H1885" s="1" t="s">
        <v>40</v>
      </c>
      <c r="I1885" s="1">
        <v>6</v>
      </c>
      <c r="J1885" s="1">
        <v>1309.5</v>
      </c>
      <c r="K1885" s="1">
        <v>0.03</v>
      </c>
      <c r="L1885" s="1">
        <v>7621.29</v>
      </c>
      <c r="M1885" s="1" t="str">
        <f t="shared" si="58"/>
        <v>Online</v>
      </c>
      <c r="N1885" s="1">
        <f t="shared" si="59"/>
        <v>16.2</v>
      </c>
    </row>
    <row r="1886" spans="1:14" x14ac:dyDescent="0.3">
      <c r="A1886" s="1" t="s">
        <v>209</v>
      </c>
      <c r="B1886" s="1" t="s">
        <v>206</v>
      </c>
      <c r="C1886" s="1" t="s">
        <v>14</v>
      </c>
      <c r="D1886" s="1" t="s">
        <v>15</v>
      </c>
      <c r="E1886" s="1" t="s">
        <v>16</v>
      </c>
      <c r="F1886" s="1" t="s">
        <v>23</v>
      </c>
      <c r="G1886" s="1" t="s">
        <v>178</v>
      </c>
      <c r="H1886" s="1" t="s">
        <v>31</v>
      </c>
      <c r="I1886" s="1">
        <v>3</v>
      </c>
      <c r="J1886" s="1">
        <v>31.5</v>
      </c>
      <c r="K1886" s="1">
        <v>0.1</v>
      </c>
      <c r="L1886" s="1">
        <v>85.05</v>
      </c>
      <c r="M1886" s="1" t="str">
        <f t="shared" si="58"/>
        <v>Online</v>
      </c>
      <c r="N1886" s="1">
        <f t="shared" si="59"/>
        <v>16.2</v>
      </c>
    </row>
    <row r="1887" spans="1:14" x14ac:dyDescent="0.3">
      <c r="A1887" s="1" t="s">
        <v>210</v>
      </c>
      <c r="B1887" s="1" t="s">
        <v>206</v>
      </c>
      <c r="C1887" s="1" t="s">
        <v>61</v>
      </c>
      <c r="D1887" s="1" t="s">
        <v>35</v>
      </c>
      <c r="E1887" s="1" t="s">
        <v>16</v>
      </c>
      <c r="F1887" s="1" t="s">
        <v>17</v>
      </c>
      <c r="G1887" s="1" t="s">
        <v>189</v>
      </c>
      <c r="H1887" s="1" t="s">
        <v>112</v>
      </c>
      <c r="I1887" s="1">
        <v>3</v>
      </c>
      <c r="J1887" s="1">
        <v>288</v>
      </c>
      <c r="K1887" s="1">
        <v>0.08</v>
      </c>
      <c r="L1887" s="1">
        <v>794.88</v>
      </c>
      <c r="M1887" s="1" t="str">
        <f t="shared" si="58"/>
        <v>Online</v>
      </c>
      <c r="N1887" s="1">
        <f t="shared" si="59"/>
        <v>62.01</v>
      </c>
    </row>
    <row r="1888" spans="1:14" x14ac:dyDescent="0.3">
      <c r="A1888" s="1" t="s">
        <v>199</v>
      </c>
      <c r="B1888" s="1" t="s">
        <v>200</v>
      </c>
      <c r="C1888" s="1" t="s">
        <v>21</v>
      </c>
      <c r="D1888" s="1" t="s">
        <v>15</v>
      </c>
      <c r="E1888" s="1" t="s">
        <v>16</v>
      </c>
      <c r="F1888" s="1" t="s">
        <v>36</v>
      </c>
      <c r="G1888" s="1" t="s">
        <v>37</v>
      </c>
      <c r="H1888" s="1" t="s">
        <v>86</v>
      </c>
      <c r="I1888" s="1">
        <v>6</v>
      </c>
      <c r="J1888" s="1">
        <v>726.75</v>
      </c>
      <c r="K1888" s="1">
        <v>0.05</v>
      </c>
      <c r="L1888" s="1">
        <v>4142.4799999999996</v>
      </c>
      <c r="M1888" s="1" t="str">
        <f t="shared" si="58"/>
        <v>Online</v>
      </c>
      <c r="N1888" s="1">
        <f t="shared" si="59"/>
        <v>405</v>
      </c>
    </row>
    <row r="1889" spans="1:14" x14ac:dyDescent="0.3">
      <c r="A1889" s="1" t="s">
        <v>201</v>
      </c>
      <c r="B1889" s="1" t="s">
        <v>200</v>
      </c>
      <c r="C1889" s="1" t="s">
        <v>21</v>
      </c>
      <c r="D1889" s="1" t="s">
        <v>27</v>
      </c>
      <c r="E1889" s="1" t="s">
        <v>16</v>
      </c>
      <c r="F1889" s="1" t="s">
        <v>29</v>
      </c>
      <c r="G1889" s="1" t="s">
        <v>39</v>
      </c>
      <c r="H1889" s="1" t="s">
        <v>44</v>
      </c>
      <c r="I1889" s="1">
        <v>4</v>
      </c>
      <c r="J1889" s="1">
        <v>74.88</v>
      </c>
      <c r="K1889" s="1">
        <v>0.05</v>
      </c>
      <c r="L1889" s="1">
        <v>284.54000000000002</v>
      </c>
      <c r="M1889" s="1" t="str">
        <f t="shared" si="58"/>
        <v>Retail Store</v>
      </c>
      <c r="N1889" s="1">
        <f t="shared" si="59"/>
        <v>405</v>
      </c>
    </row>
    <row r="1890" spans="1:14" x14ac:dyDescent="0.3">
      <c r="A1890" s="1" t="s">
        <v>202</v>
      </c>
      <c r="B1890" s="1" t="s">
        <v>200</v>
      </c>
      <c r="C1890" s="1" t="s">
        <v>14</v>
      </c>
      <c r="D1890" s="1" t="s">
        <v>22</v>
      </c>
      <c r="E1890" s="1" t="s">
        <v>16</v>
      </c>
      <c r="F1890" s="1" t="s">
        <v>82</v>
      </c>
      <c r="G1890" s="1" t="s">
        <v>114</v>
      </c>
      <c r="H1890" s="1" t="s">
        <v>40</v>
      </c>
      <c r="I1890" s="1">
        <v>4</v>
      </c>
      <c r="J1890" s="1">
        <v>2182.5</v>
      </c>
      <c r="K1890" s="1">
        <v>0.08</v>
      </c>
      <c r="L1890" s="1">
        <v>8031.6</v>
      </c>
      <c r="M1890" s="1" t="str">
        <f t="shared" si="58"/>
        <v>Online</v>
      </c>
      <c r="N1890" s="1">
        <f t="shared" si="59"/>
        <v>16.2</v>
      </c>
    </row>
    <row r="1891" spans="1:14" x14ac:dyDescent="0.3">
      <c r="A1891" s="1" t="s">
        <v>203</v>
      </c>
      <c r="B1891" s="1" t="s">
        <v>200</v>
      </c>
      <c r="C1891" s="1" t="s">
        <v>21</v>
      </c>
      <c r="D1891" s="1" t="s">
        <v>15</v>
      </c>
      <c r="E1891" s="1" t="s">
        <v>28</v>
      </c>
      <c r="F1891" s="1" t="s">
        <v>29</v>
      </c>
      <c r="G1891" s="1" t="s">
        <v>51</v>
      </c>
      <c r="H1891" s="1" t="s">
        <v>86</v>
      </c>
      <c r="I1891" s="1">
        <v>5</v>
      </c>
      <c r="J1891" s="1">
        <v>41.31</v>
      </c>
      <c r="K1891" s="1">
        <v>0.1</v>
      </c>
      <c r="L1891" s="1">
        <v>185.9</v>
      </c>
      <c r="M1891" s="1" t="str">
        <f t="shared" si="58"/>
        <v>Online</v>
      </c>
      <c r="N1891" s="1">
        <f t="shared" si="59"/>
        <v>405</v>
      </c>
    </row>
    <row r="1892" spans="1:14" x14ac:dyDescent="0.3">
      <c r="A1892" s="1" t="s">
        <v>204</v>
      </c>
      <c r="B1892" s="1" t="s">
        <v>200</v>
      </c>
      <c r="C1892" s="1" t="s">
        <v>61</v>
      </c>
      <c r="D1892" s="1" t="s">
        <v>22</v>
      </c>
      <c r="E1892" s="1" t="s">
        <v>16</v>
      </c>
      <c r="F1892" s="1" t="s">
        <v>36</v>
      </c>
      <c r="G1892" s="1" t="s">
        <v>37</v>
      </c>
      <c r="H1892" s="1" t="s">
        <v>112</v>
      </c>
      <c r="I1892" s="1">
        <v>4</v>
      </c>
      <c r="J1892" s="1">
        <v>726.75</v>
      </c>
      <c r="K1892" s="1">
        <v>0.2</v>
      </c>
      <c r="L1892" s="1">
        <v>2325.6</v>
      </c>
      <c r="M1892" s="1" t="str">
        <f t="shared" si="58"/>
        <v>Online</v>
      </c>
      <c r="N1892" s="1">
        <f t="shared" si="59"/>
        <v>62.01</v>
      </c>
    </row>
    <row r="1893" spans="1:14" x14ac:dyDescent="0.3">
      <c r="A1893" s="1" t="s">
        <v>185</v>
      </c>
      <c r="B1893" s="1" t="s">
        <v>186</v>
      </c>
      <c r="C1893" s="1" t="s">
        <v>61</v>
      </c>
      <c r="D1893" s="1" t="s">
        <v>27</v>
      </c>
      <c r="E1893" s="1" t="s">
        <v>16</v>
      </c>
      <c r="F1893" s="1" t="s">
        <v>82</v>
      </c>
      <c r="G1893" s="1" t="s">
        <v>150</v>
      </c>
      <c r="H1893" s="1" t="s">
        <v>112</v>
      </c>
      <c r="I1893" s="1">
        <v>2</v>
      </c>
      <c r="J1893" s="1">
        <v>3052.8</v>
      </c>
      <c r="K1893" s="1">
        <v>0.05</v>
      </c>
      <c r="L1893" s="1">
        <v>5800.32</v>
      </c>
      <c r="M1893" s="1" t="str">
        <f t="shared" si="58"/>
        <v>Online</v>
      </c>
      <c r="N1893" s="1">
        <f t="shared" si="59"/>
        <v>62.01</v>
      </c>
    </row>
    <row r="1894" spans="1:14" x14ac:dyDescent="0.3">
      <c r="A1894" s="1" t="s">
        <v>187</v>
      </c>
      <c r="B1894" s="1" t="s">
        <v>186</v>
      </c>
      <c r="C1894" s="1" t="s">
        <v>21</v>
      </c>
      <c r="D1894" s="1" t="s">
        <v>27</v>
      </c>
      <c r="E1894" s="1" t="s">
        <v>16</v>
      </c>
      <c r="F1894" s="1" t="s">
        <v>36</v>
      </c>
      <c r="G1894" s="1" t="s">
        <v>37</v>
      </c>
      <c r="H1894" s="1" t="s">
        <v>86</v>
      </c>
      <c r="I1894" s="1">
        <v>4</v>
      </c>
      <c r="J1894" s="1">
        <v>795.6</v>
      </c>
      <c r="K1894" s="1">
        <v>0.05</v>
      </c>
      <c r="L1894" s="1">
        <v>3023.28</v>
      </c>
      <c r="M1894" s="1" t="str">
        <f t="shared" si="58"/>
        <v>Online</v>
      </c>
      <c r="N1894" s="1">
        <f t="shared" si="59"/>
        <v>405</v>
      </c>
    </row>
    <row r="1895" spans="1:14" x14ac:dyDescent="0.3">
      <c r="A1895" s="1" t="s">
        <v>188</v>
      </c>
      <c r="B1895" s="1" t="s">
        <v>186</v>
      </c>
      <c r="C1895" s="1" t="s">
        <v>61</v>
      </c>
      <c r="D1895" s="1" t="s">
        <v>15</v>
      </c>
      <c r="E1895" s="1" t="s">
        <v>16</v>
      </c>
      <c r="F1895" s="1" t="s">
        <v>17</v>
      </c>
      <c r="G1895" s="1" t="s">
        <v>189</v>
      </c>
      <c r="H1895" s="1" t="s">
        <v>63</v>
      </c>
      <c r="I1895" s="1">
        <v>2</v>
      </c>
      <c r="J1895" s="1">
        <v>288</v>
      </c>
      <c r="K1895" s="1">
        <v>0</v>
      </c>
      <c r="L1895" s="1">
        <v>576</v>
      </c>
      <c r="M1895" s="1" t="str">
        <f t="shared" si="58"/>
        <v>Retail Store</v>
      </c>
      <c r="N1895" s="1">
        <f t="shared" si="59"/>
        <v>62.01</v>
      </c>
    </row>
    <row r="1896" spans="1:14" x14ac:dyDescent="0.3">
      <c r="A1896" s="1" t="s">
        <v>190</v>
      </c>
      <c r="B1896" s="1" t="s">
        <v>186</v>
      </c>
      <c r="C1896" s="1" t="s">
        <v>47</v>
      </c>
      <c r="D1896" s="1" t="s">
        <v>27</v>
      </c>
      <c r="E1896" s="1" t="s">
        <v>28</v>
      </c>
      <c r="F1896" s="1" t="s">
        <v>29</v>
      </c>
      <c r="G1896" s="1" t="s">
        <v>88</v>
      </c>
      <c r="H1896" s="1" t="s">
        <v>58</v>
      </c>
      <c r="I1896" s="1">
        <v>5</v>
      </c>
      <c r="J1896" s="1">
        <v>56.75</v>
      </c>
      <c r="K1896" s="1">
        <v>0.1</v>
      </c>
      <c r="L1896" s="1">
        <v>255.35</v>
      </c>
      <c r="M1896" s="1" t="str">
        <f t="shared" si="58"/>
        <v>Corporate Sales</v>
      </c>
      <c r="N1896" s="1">
        <f t="shared" si="59"/>
        <v>421.2</v>
      </c>
    </row>
    <row r="1897" spans="1:14" x14ac:dyDescent="0.3">
      <c r="A1897" s="1" t="s">
        <v>191</v>
      </c>
      <c r="B1897" s="1" t="s">
        <v>186</v>
      </c>
      <c r="C1897" s="1" t="s">
        <v>54</v>
      </c>
      <c r="D1897" s="1" t="s">
        <v>15</v>
      </c>
      <c r="E1897" s="1" t="s">
        <v>16</v>
      </c>
      <c r="F1897" s="1" t="s">
        <v>82</v>
      </c>
      <c r="G1897" s="1" t="s">
        <v>83</v>
      </c>
      <c r="H1897" s="1" t="s">
        <v>80</v>
      </c>
      <c r="I1897" s="1">
        <v>2</v>
      </c>
      <c r="J1897" s="1">
        <v>3666.6</v>
      </c>
      <c r="K1897" s="1">
        <v>0.2</v>
      </c>
      <c r="L1897" s="1">
        <v>5866.56</v>
      </c>
      <c r="M1897" s="1" t="str">
        <f t="shared" si="58"/>
        <v>Marketplace</v>
      </c>
      <c r="N1897" s="1">
        <f t="shared" si="59"/>
        <v>267.12</v>
      </c>
    </row>
    <row r="1898" spans="1:14" x14ac:dyDescent="0.3">
      <c r="A1898" s="1" t="s">
        <v>192</v>
      </c>
      <c r="B1898" s="1" t="s">
        <v>186</v>
      </c>
      <c r="C1898" s="1" t="s">
        <v>54</v>
      </c>
      <c r="D1898" s="1" t="s">
        <v>15</v>
      </c>
      <c r="E1898" s="1" t="s">
        <v>16</v>
      </c>
      <c r="F1898" s="1" t="s">
        <v>17</v>
      </c>
      <c r="G1898" s="1" t="s">
        <v>98</v>
      </c>
      <c r="H1898" s="1" t="s">
        <v>71</v>
      </c>
      <c r="I1898" s="1">
        <v>7</v>
      </c>
      <c r="J1898" s="1">
        <v>429.3</v>
      </c>
      <c r="K1898" s="1">
        <v>0.1</v>
      </c>
      <c r="L1898" s="1">
        <v>2704.59</v>
      </c>
      <c r="M1898" s="1" t="str">
        <f t="shared" si="58"/>
        <v>Online</v>
      </c>
      <c r="N1898" s="1">
        <f t="shared" si="59"/>
        <v>267.12</v>
      </c>
    </row>
    <row r="1899" spans="1:14" x14ac:dyDescent="0.3">
      <c r="A1899" s="1" t="s">
        <v>193</v>
      </c>
      <c r="B1899" s="1" t="s">
        <v>186</v>
      </c>
      <c r="C1899" s="1" t="s">
        <v>54</v>
      </c>
      <c r="D1899" s="1" t="s">
        <v>35</v>
      </c>
      <c r="E1899" s="1" t="s">
        <v>28</v>
      </c>
      <c r="F1899" s="1" t="s">
        <v>17</v>
      </c>
      <c r="G1899" s="1" t="s">
        <v>98</v>
      </c>
      <c r="H1899" s="1" t="s">
        <v>80</v>
      </c>
      <c r="I1899" s="1">
        <v>16</v>
      </c>
      <c r="J1899" s="1">
        <v>429.3</v>
      </c>
      <c r="K1899" s="1">
        <v>0.08</v>
      </c>
      <c r="L1899" s="1">
        <v>6319.3</v>
      </c>
      <c r="M1899" s="1" t="str">
        <f t="shared" si="58"/>
        <v>Marketplace</v>
      </c>
      <c r="N1899" s="1">
        <f t="shared" si="59"/>
        <v>267.12</v>
      </c>
    </row>
    <row r="1900" spans="1:14" x14ac:dyDescent="0.3">
      <c r="A1900" s="1" t="s">
        <v>194</v>
      </c>
      <c r="B1900" s="1" t="s">
        <v>186</v>
      </c>
      <c r="C1900" s="1" t="s">
        <v>54</v>
      </c>
      <c r="D1900" s="1" t="s">
        <v>22</v>
      </c>
      <c r="E1900" s="1" t="s">
        <v>16</v>
      </c>
      <c r="F1900" s="1" t="s">
        <v>29</v>
      </c>
      <c r="G1900" s="1" t="s">
        <v>88</v>
      </c>
      <c r="H1900" s="1" t="s">
        <v>80</v>
      </c>
      <c r="I1900" s="1">
        <v>6</v>
      </c>
      <c r="J1900" s="1">
        <v>58.5</v>
      </c>
      <c r="K1900" s="1">
        <v>0.05</v>
      </c>
      <c r="L1900" s="1">
        <v>333.45</v>
      </c>
      <c r="M1900" s="1" t="str">
        <f t="shared" si="58"/>
        <v>Marketplace</v>
      </c>
      <c r="N1900" s="1">
        <f t="shared" si="59"/>
        <v>267.12</v>
      </c>
    </row>
    <row r="1901" spans="1:14" x14ac:dyDescent="0.3">
      <c r="A1901" s="1" t="s">
        <v>195</v>
      </c>
      <c r="B1901" s="1" t="s">
        <v>186</v>
      </c>
      <c r="C1901" s="1" t="s">
        <v>54</v>
      </c>
      <c r="D1901" s="1" t="s">
        <v>22</v>
      </c>
      <c r="E1901" s="1" t="s">
        <v>16</v>
      </c>
      <c r="F1901" s="1" t="s">
        <v>42</v>
      </c>
      <c r="G1901" s="1" t="s">
        <v>67</v>
      </c>
      <c r="H1901" s="1" t="s">
        <v>56</v>
      </c>
      <c r="I1901" s="1">
        <v>5</v>
      </c>
      <c r="J1901" s="1">
        <v>252</v>
      </c>
      <c r="K1901" s="1">
        <v>0.08</v>
      </c>
      <c r="L1901" s="1">
        <v>1159.2</v>
      </c>
      <c r="M1901" s="1" t="str">
        <f t="shared" si="58"/>
        <v>Online</v>
      </c>
      <c r="N1901" s="1">
        <f t="shared" si="59"/>
        <v>267.12</v>
      </c>
    </row>
    <row r="1902" spans="1:14" x14ac:dyDescent="0.3">
      <c r="A1902" s="1" t="s">
        <v>196</v>
      </c>
      <c r="B1902" s="1" t="s">
        <v>186</v>
      </c>
      <c r="C1902" s="1" t="s">
        <v>54</v>
      </c>
      <c r="D1902" s="1" t="s">
        <v>35</v>
      </c>
      <c r="E1902" s="1" t="s">
        <v>16</v>
      </c>
      <c r="F1902" s="1" t="s">
        <v>29</v>
      </c>
      <c r="G1902" s="1" t="s">
        <v>55</v>
      </c>
      <c r="H1902" s="1" t="s">
        <v>56</v>
      </c>
      <c r="I1902" s="1">
        <v>8</v>
      </c>
      <c r="J1902" s="1">
        <v>34.200000000000003</v>
      </c>
      <c r="K1902" s="1">
        <v>0.1</v>
      </c>
      <c r="L1902" s="1">
        <v>246.24</v>
      </c>
      <c r="M1902" s="1" t="str">
        <f t="shared" si="58"/>
        <v>Online</v>
      </c>
      <c r="N1902" s="1">
        <f t="shared" si="59"/>
        <v>267.12</v>
      </c>
    </row>
    <row r="1903" spans="1:14" x14ac:dyDescent="0.3">
      <c r="A1903" s="1" t="s">
        <v>197</v>
      </c>
      <c r="B1903" s="1" t="s">
        <v>186</v>
      </c>
      <c r="C1903" s="1" t="s">
        <v>47</v>
      </c>
      <c r="D1903" s="1" t="s">
        <v>22</v>
      </c>
      <c r="E1903" s="1" t="s">
        <v>16</v>
      </c>
      <c r="F1903" s="1" t="s">
        <v>17</v>
      </c>
      <c r="G1903" s="1" t="s">
        <v>18</v>
      </c>
      <c r="H1903" s="1" t="s">
        <v>58</v>
      </c>
      <c r="I1903" s="1">
        <v>2</v>
      </c>
      <c r="J1903" s="1">
        <v>85.86</v>
      </c>
      <c r="K1903" s="1">
        <v>0.05</v>
      </c>
      <c r="L1903" s="1">
        <v>163.13</v>
      </c>
      <c r="M1903" s="1" t="str">
        <f t="shared" si="58"/>
        <v>Corporate Sales</v>
      </c>
      <c r="N1903" s="1">
        <f t="shared" si="59"/>
        <v>421.2</v>
      </c>
    </row>
    <row r="1904" spans="1:14" x14ac:dyDescent="0.3">
      <c r="A1904" s="1" t="s">
        <v>198</v>
      </c>
      <c r="B1904" s="1" t="s">
        <v>186</v>
      </c>
      <c r="C1904" s="1" t="s">
        <v>61</v>
      </c>
      <c r="D1904" s="1" t="s">
        <v>35</v>
      </c>
      <c r="E1904" s="1" t="s">
        <v>16</v>
      </c>
      <c r="F1904" s="1" t="s">
        <v>82</v>
      </c>
      <c r="G1904" s="1" t="s">
        <v>83</v>
      </c>
      <c r="H1904" s="1" t="s">
        <v>73</v>
      </c>
      <c r="I1904" s="1">
        <v>3</v>
      </c>
      <c r="J1904" s="1">
        <v>3780</v>
      </c>
      <c r="K1904" s="1">
        <v>0.03</v>
      </c>
      <c r="L1904" s="1">
        <v>10999.8</v>
      </c>
      <c r="M1904" s="1" t="str">
        <f t="shared" si="58"/>
        <v>Online</v>
      </c>
      <c r="N1904" s="1">
        <f t="shared" si="59"/>
        <v>62.01</v>
      </c>
    </row>
    <row r="1905" spans="1:14" x14ac:dyDescent="0.3">
      <c r="A1905" s="1" t="s">
        <v>180</v>
      </c>
      <c r="B1905" s="1" t="s">
        <v>181</v>
      </c>
      <c r="C1905" s="1" t="s">
        <v>47</v>
      </c>
      <c r="D1905" s="1" t="s">
        <v>27</v>
      </c>
      <c r="E1905" s="1" t="s">
        <v>28</v>
      </c>
      <c r="F1905" s="1" t="s">
        <v>29</v>
      </c>
      <c r="G1905" s="1" t="s">
        <v>39</v>
      </c>
      <c r="H1905" s="1" t="s">
        <v>58</v>
      </c>
      <c r="I1905" s="1">
        <v>3</v>
      </c>
      <c r="J1905" s="1">
        <v>73.44</v>
      </c>
      <c r="K1905" s="1">
        <v>0.03</v>
      </c>
      <c r="L1905" s="1">
        <v>213.71</v>
      </c>
      <c r="M1905" s="1" t="str">
        <f t="shared" si="58"/>
        <v>Corporate Sales</v>
      </c>
      <c r="N1905" s="1">
        <f t="shared" si="59"/>
        <v>421.2</v>
      </c>
    </row>
    <row r="1906" spans="1:14" x14ac:dyDescent="0.3">
      <c r="A1906" s="1" t="s">
        <v>182</v>
      </c>
      <c r="B1906" s="1" t="s">
        <v>181</v>
      </c>
      <c r="C1906" s="1" t="s">
        <v>47</v>
      </c>
      <c r="D1906" s="1" t="s">
        <v>35</v>
      </c>
      <c r="E1906" s="1" t="s">
        <v>16</v>
      </c>
      <c r="F1906" s="1" t="s">
        <v>42</v>
      </c>
      <c r="G1906" s="1" t="s">
        <v>67</v>
      </c>
      <c r="H1906" s="1" t="s">
        <v>49</v>
      </c>
      <c r="I1906" s="1">
        <v>11</v>
      </c>
      <c r="J1906" s="1">
        <v>244.44</v>
      </c>
      <c r="K1906" s="1">
        <v>0</v>
      </c>
      <c r="L1906" s="1">
        <v>2688.84</v>
      </c>
      <c r="M1906" s="1" t="str">
        <f t="shared" si="58"/>
        <v>Retail Store</v>
      </c>
      <c r="N1906" s="1">
        <f t="shared" si="59"/>
        <v>421.2</v>
      </c>
    </row>
    <row r="1907" spans="1:14" x14ac:dyDescent="0.3">
      <c r="A1907" s="1" t="s">
        <v>183</v>
      </c>
      <c r="B1907" s="1" t="s">
        <v>181</v>
      </c>
      <c r="C1907" s="1" t="s">
        <v>54</v>
      </c>
      <c r="D1907" s="1" t="s">
        <v>35</v>
      </c>
      <c r="E1907" s="1" t="s">
        <v>16</v>
      </c>
      <c r="F1907" s="1" t="s">
        <v>82</v>
      </c>
      <c r="G1907" s="1" t="s">
        <v>85</v>
      </c>
      <c r="H1907" s="1" t="s">
        <v>71</v>
      </c>
      <c r="I1907" s="1">
        <v>3</v>
      </c>
      <c r="J1907" s="1">
        <v>1620</v>
      </c>
      <c r="K1907" s="1">
        <v>0.03</v>
      </c>
      <c r="L1907" s="1">
        <v>4714.2</v>
      </c>
      <c r="M1907" s="1" t="str">
        <f t="shared" si="58"/>
        <v>Online</v>
      </c>
      <c r="N1907" s="1">
        <f t="shared" si="59"/>
        <v>267.12</v>
      </c>
    </row>
    <row r="1908" spans="1:14" x14ac:dyDescent="0.3">
      <c r="A1908" s="1" t="s">
        <v>184</v>
      </c>
      <c r="B1908" s="1" t="s">
        <v>181</v>
      </c>
      <c r="C1908" s="1" t="s">
        <v>21</v>
      </c>
      <c r="D1908" s="1" t="s">
        <v>22</v>
      </c>
      <c r="E1908" s="1" t="s">
        <v>16</v>
      </c>
      <c r="F1908" s="1" t="s">
        <v>17</v>
      </c>
      <c r="G1908" s="1" t="s">
        <v>62</v>
      </c>
      <c r="H1908" s="1" t="s">
        <v>25</v>
      </c>
      <c r="I1908" s="1">
        <v>3</v>
      </c>
      <c r="J1908" s="1">
        <v>56.16</v>
      </c>
      <c r="K1908" s="1">
        <v>0.05</v>
      </c>
      <c r="L1908" s="1">
        <v>160.06</v>
      </c>
      <c r="M1908" s="1" t="str">
        <f t="shared" si="58"/>
        <v>Marketplace</v>
      </c>
      <c r="N1908" s="1">
        <f t="shared" si="59"/>
        <v>405</v>
      </c>
    </row>
    <row r="1909" spans="1:14" x14ac:dyDescent="0.3">
      <c r="A1909" s="1" t="s">
        <v>168</v>
      </c>
      <c r="B1909" s="1" t="s">
        <v>169</v>
      </c>
      <c r="C1909" s="1" t="s">
        <v>14</v>
      </c>
      <c r="D1909" s="1" t="s">
        <v>15</v>
      </c>
      <c r="E1909" s="1" t="s">
        <v>16</v>
      </c>
      <c r="F1909" s="1" t="s">
        <v>29</v>
      </c>
      <c r="G1909" s="1" t="s">
        <v>30</v>
      </c>
      <c r="H1909" s="1" t="s">
        <v>31</v>
      </c>
      <c r="I1909" s="1">
        <v>3</v>
      </c>
      <c r="J1909" s="1">
        <v>49.5</v>
      </c>
      <c r="K1909" s="1">
        <v>0.03</v>
      </c>
      <c r="L1909" s="1">
        <v>144.05000000000001</v>
      </c>
      <c r="M1909" s="1" t="str">
        <f t="shared" si="58"/>
        <v>Online</v>
      </c>
      <c r="N1909" s="1">
        <f t="shared" si="59"/>
        <v>16.2</v>
      </c>
    </row>
    <row r="1910" spans="1:14" x14ac:dyDescent="0.3">
      <c r="A1910" s="1" t="s">
        <v>170</v>
      </c>
      <c r="B1910" s="1" t="s">
        <v>169</v>
      </c>
      <c r="C1910" s="1" t="s">
        <v>61</v>
      </c>
      <c r="D1910" s="1" t="s">
        <v>27</v>
      </c>
      <c r="E1910" s="1" t="s">
        <v>28</v>
      </c>
      <c r="F1910" s="1" t="s">
        <v>82</v>
      </c>
      <c r="G1910" s="1" t="s">
        <v>85</v>
      </c>
      <c r="H1910" s="1" t="s">
        <v>73</v>
      </c>
      <c r="I1910" s="1">
        <v>2</v>
      </c>
      <c r="J1910" s="1">
        <v>1717.2</v>
      </c>
      <c r="K1910" s="1">
        <v>0.05</v>
      </c>
      <c r="L1910" s="1">
        <v>3262.68</v>
      </c>
      <c r="M1910" s="1" t="str">
        <f t="shared" si="58"/>
        <v>Online</v>
      </c>
      <c r="N1910" s="1">
        <f t="shared" si="59"/>
        <v>62.01</v>
      </c>
    </row>
    <row r="1911" spans="1:14" x14ac:dyDescent="0.3">
      <c r="A1911" s="1" t="s">
        <v>171</v>
      </c>
      <c r="B1911" s="1" t="s">
        <v>169</v>
      </c>
      <c r="C1911" s="1" t="s">
        <v>21</v>
      </c>
      <c r="D1911" s="1" t="s">
        <v>35</v>
      </c>
      <c r="E1911" s="1" t="s">
        <v>16</v>
      </c>
      <c r="F1911" s="1" t="s">
        <v>36</v>
      </c>
      <c r="G1911" s="1" t="s">
        <v>70</v>
      </c>
      <c r="H1911" s="1" t="s">
        <v>86</v>
      </c>
      <c r="I1911" s="1">
        <v>2</v>
      </c>
      <c r="J1911" s="1">
        <v>522</v>
      </c>
      <c r="K1911" s="1">
        <v>0.15</v>
      </c>
      <c r="L1911" s="1">
        <v>887.4</v>
      </c>
      <c r="M1911" s="1" t="str">
        <f t="shared" si="58"/>
        <v>Online</v>
      </c>
      <c r="N1911" s="1">
        <f t="shared" si="59"/>
        <v>405</v>
      </c>
    </row>
    <row r="1912" spans="1:14" x14ac:dyDescent="0.3">
      <c r="A1912" s="1" t="s">
        <v>172</v>
      </c>
      <c r="B1912" s="1" t="s">
        <v>169</v>
      </c>
      <c r="C1912" s="1" t="s">
        <v>54</v>
      </c>
      <c r="D1912" s="1" t="s">
        <v>35</v>
      </c>
      <c r="E1912" s="1" t="s">
        <v>28</v>
      </c>
      <c r="F1912" s="1" t="s">
        <v>23</v>
      </c>
      <c r="G1912" s="1" t="s">
        <v>103</v>
      </c>
      <c r="H1912" s="1" t="s">
        <v>80</v>
      </c>
      <c r="I1912" s="1">
        <v>6</v>
      </c>
      <c r="J1912" s="1">
        <v>10.8</v>
      </c>
      <c r="K1912" s="1">
        <v>0.05</v>
      </c>
      <c r="L1912" s="1">
        <v>61.56</v>
      </c>
      <c r="M1912" s="1" t="str">
        <f t="shared" si="58"/>
        <v>Marketplace</v>
      </c>
      <c r="N1912" s="1">
        <f t="shared" si="59"/>
        <v>267.12</v>
      </c>
    </row>
    <row r="1913" spans="1:14" x14ac:dyDescent="0.3">
      <c r="A1913" s="1" t="s">
        <v>173</v>
      </c>
      <c r="B1913" s="1" t="s">
        <v>169</v>
      </c>
      <c r="C1913" s="1" t="s">
        <v>54</v>
      </c>
      <c r="D1913" s="1" t="s">
        <v>22</v>
      </c>
      <c r="E1913" s="1" t="s">
        <v>16</v>
      </c>
      <c r="F1913" s="1" t="s">
        <v>36</v>
      </c>
      <c r="G1913" s="1" t="s">
        <v>37</v>
      </c>
      <c r="H1913" s="1" t="s">
        <v>56</v>
      </c>
      <c r="I1913" s="1">
        <v>4</v>
      </c>
      <c r="J1913" s="1">
        <v>726.75</v>
      </c>
      <c r="K1913" s="1">
        <v>0.08</v>
      </c>
      <c r="L1913" s="1">
        <v>2674.44</v>
      </c>
      <c r="M1913" s="1" t="str">
        <f t="shared" si="58"/>
        <v>Online</v>
      </c>
      <c r="N1913" s="1">
        <f t="shared" si="59"/>
        <v>267.12</v>
      </c>
    </row>
    <row r="1914" spans="1:14" x14ac:dyDescent="0.3">
      <c r="A1914" s="1" t="s">
        <v>174</v>
      </c>
      <c r="B1914" s="1" t="s">
        <v>169</v>
      </c>
      <c r="C1914" s="1" t="s">
        <v>14</v>
      </c>
      <c r="D1914" s="1" t="s">
        <v>27</v>
      </c>
      <c r="E1914" s="1" t="s">
        <v>16</v>
      </c>
      <c r="F1914" s="1" t="s">
        <v>23</v>
      </c>
      <c r="G1914" s="1" t="s">
        <v>142</v>
      </c>
      <c r="H1914" s="1" t="s">
        <v>31</v>
      </c>
      <c r="I1914" s="1">
        <v>5</v>
      </c>
      <c r="J1914" s="1">
        <v>16.850000000000001</v>
      </c>
      <c r="K1914" s="1">
        <v>0.08</v>
      </c>
      <c r="L1914" s="1">
        <v>77.5</v>
      </c>
      <c r="M1914" s="1" t="str">
        <f t="shared" si="58"/>
        <v>Online</v>
      </c>
      <c r="N1914" s="1">
        <f t="shared" si="59"/>
        <v>16.2</v>
      </c>
    </row>
    <row r="1915" spans="1:14" x14ac:dyDescent="0.3">
      <c r="A1915" s="1" t="s">
        <v>175</v>
      </c>
      <c r="B1915" s="1" t="s">
        <v>169</v>
      </c>
      <c r="C1915" s="1" t="s">
        <v>61</v>
      </c>
      <c r="D1915" s="1" t="s">
        <v>27</v>
      </c>
      <c r="E1915" s="1" t="s">
        <v>28</v>
      </c>
      <c r="F1915" s="1" t="s">
        <v>23</v>
      </c>
      <c r="G1915" s="1" t="s">
        <v>116</v>
      </c>
      <c r="H1915" s="1" t="s">
        <v>73</v>
      </c>
      <c r="I1915" s="1">
        <v>5</v>
      </c>
      <c r="J1915" s="1">
        <v>7.49</v>
      </c>
      <c r="K1915" s="1">
        <v>0.05</v>
      </c>
      <c r="L1915" s="1">
        <v>35.57</v>
      </c>
      <c r="M1915" s="1" t="str">
        <f t="shared" si="58"/>
        <v>Online</v>
      </c>
      <c r="N1915" s="1">
        <f t="shared" si="59"/>
        <v>62.01</v>
      </c>
    </row>
    <row r="1916" spans="1:14" x14ac:dyDescent="0.3">
      <c r="A1916" s="1" t="s">
        <v>176</v>
      </c>
      <c r="B1916" s="1" t="s">
        <v>169</v>
      </c>
      <c r="C1916" s="1" t="s">
        <v>47</v>
      </c>
      <c r="D1916" s="1" t="s">
        <v>22</v>
      </c>
      <c r="E1916" s="1" t="s">
        <v>16</v>
      </c>
      <c r="F1916" s="1" t="s">
        <v>17</v>
      </c>
      <c r="G1916" s="1" t="s">
        <v>18</v>
      </c>
      <c r="H1916" s="1" t="s">
        <v>78</v>
      </c>
      <c r="I1916" s="1">
        <v>4</v>
      </c>
      <c r="J1916" s="1">
        <v>81</v>
      </c>
      <c r="K1916" s="1">
        <v>0.2</v>
      </c>
      <c r="L1916" s="1">
        <v>259.2</v>
      </c>
      <c r="M1916" s="1" t="str">
        <f t="shared" si="58"/>
        <v>Retail Store</v>
      </c>
      <c r="N1916" s="1">
        <f t="shared" si="59"/>
        <v>421.2</v>
      </c>
    </row>
    <row r="1917" spans="1:14" x14ac:dyDescent="0.3">
      <c r="A1917" s="1" t="s">
        <v>177</v>
      </c>
      <c r="B1917" s="1" t="s">
        <v>169</v>
      </c>
      <c r="C1917" s="1" t="s">
        <v>54</v>
      </c>
      <c r="D1917" s="1" t="s">
        <v>15</v>
      </c>
      <c r="E1917" s="1" t="s">
        <v>16</v>
      </c>
      <c r="F1917" s="1" t="s">
        <v>23</v>
      </c>
      <c r="G1917" s="1" t="s">
        <v>178</v>
      </c>
      <c r="H1917" s="1" t="s">
        <v>56</v>
      </c>
      <c r="I1917" s="1">
        <v>4</v>
      </c>
      <c r="J1917" s="1">
        <v>31.5</v>
      </c>
      <c r="K1917" s="1">
        <v>0.2</v>
      </c>
      <c r="L1917" s="1">
        <v>100.8</v>
      </c>
      <c r="M1917" s="1" t="str">
        <f t="shared" si="58"/>
        <v>Online</v>
      </c>
      <c r="N1917" s="1">
        <f t="shared" si="59"/>
        <v>267.12</v>
      </c>
    </row>
    <row r="1918" spans="1:14" x14ac:dyDescent="0.3">
      <c r="A1918" s="1" t="s">
        <v>179</v>
      </c>
      <c r="B1918" s="1" t="s">
        <v>169</v>
      </c>
      <c r="C1918" s="1" t="s">
        <v>54</v>
      </c>
      <c r="D1918" s="1" t="s">
        <v>27</v>
      </c>
      <c r="E1918" s="1" t="s">
        <v>28</v>
      </c>
      <c r="F1918" s="1" t="s">
        <v>23</v>
      </c>
      <c r="G1918" s="1" t="s">
        <v>178</v>
      </c>
      <c r="H1918" s="1" t="s">
        <v>71</v>
      </c>
      <c r="I1918" s="1">
        <v>5</v>
      </c>
      <c r="J1918" s="1">
        <v>31.5</v>
      </c>
      <c r="K1918" s="1">
        <v>0.08</v>
      </c>
      <c r="L1918" s="1">
        <v>144.9</v>
      </c>
      <c r="M1918" s="1" t="str">
        <f t="shared" si="58"/>
        <v>Online</v>
      </c>
      <c r="N1918" s="1">
        <f t="shared" si="59"/>
        <v>267.12</v>
      </c>
    </row>
    <row r="1919" spans="1:14" x14ac:dyDescent="0.3">
      <c r="A1919" s="1" t="s">
        <v>165</v>
      </c>
      <c r="B1919" s="1" t="s">
        <v>166</v>
      </c>
      <c r="C1919" s="1" t="s">
        <v>21</v>
      </c>
      <c r="D1919" s="1" t="s">
        <v>15</v>
      </c>
      <c r="E1919" s="1" t="s">
        <v>16</v>
      </c>
      <c r="F1919" s="1" t="s">
        <v>42</v>
      </c>
      <c r="G1919" s="1" t="s">
        <v>43</v>
      </c>
      <c r="H1919" s="1" t="s">
        <v>44</v>
      </c>
      <c r="I1919" s="1">
        <v>8</v>
      </c>
      <c r="J1919" s="1">
        <v>162</v>
      </c>
      <c r="K1919" s="1">
        <v>0.1</v>
      </c>
      <c r="L1919" s="1">
        <v>1166.4000000000001</v>
      </c>
      <c r="M1919" s="1" t="str">
        <f t="shared" si="58"/>
        <v>Retail Store</v>
      </c>
      <c r="N1919" s="1">
        <f t="shared" si="59"/>
        <v>405</v>
      </c>
    </row>
    <row r="1920" spans="1:14" x14ac:dyDescent="0.3">
      <c r="A1920" s="1" t="s">
        <v>167</v>
      </c>
      <c r="B1920" s="1" t="s">
        <v>166</v>
      </c>
      <c r="C1920" s="1" t="s">
        <v>54</v>
      </c>
      <c r="D1920" s="1" t="s">
        <v>15</v>
      </c>
      <c r="E1920" s="1" t="s">
        <v>28</v>
      </c>
      <c r="F1920" s="1" t="s">
        <v>23</v>
      </c>
      <c r="G1920" s="1" t="s">
        <v>103</v>
      </c>
      <c r="H1920" s="1" t="s">
        <v>56</v>
      </c>
      <c r="I1920" s="1">
        <v>4</v>
      </c>
      <c r="J1920" s="1">
        <v>11.02</v>
      </c>
      <c r="K1920" s="1">
        <v>0.1</v>
      </c>
      <c r="L1920" s="1">
        <v>39.659999999999997</v>
      </c>
      <c r="M1920" s="1" t="str">
        <f t="shared" si="58"/>
        <v>Online</v>
      </c>
      <c r="N1920" s="1">
        <f t="shared" si="59"/>
        <v>267.12</v>
      </c>
    </row>
    <row r="1921" spans="1:14" x14ac:dyDescent="0.3">
      <c r="A1921" s="1" t="s">
        <v>161</v>
      </c>
      <c r="B1921" s="1" t="s">
        <v>162</v>
      </c>
      <c r="C1921" s="1" t="s">
        <v>14</v>
      </c>
      <c r="D1921" s="1" t="s">
        <v>22</v>
      </c>
      <c r="E1921" s="1" t="s">
        <v>28</v>
      </c>
      <c r="F1921" s="1" t="s">
        <v>29</v>
      </c>
      <c r="G1921" s="1" t="s">
        <v>30</v>
      </c>
      <c r="H1921" s="1" t="s">
        <v>31</v>
      </c>
      <c r="I1921" s="1">
        <v>2</v>
      </c>
      <c r="J1921" s="1">
        <v>49.5</v>
      </c>
      <c r="K1921" s="1">
        <v>0.05</v>
      </c>
      <c r="L1921" s="1">
        <v>94.05</v>
      </c>
      <c r="M1921" s="1" t="str">
        <f t="shared" si="58"/>
        <v>Online</v>
      </c>
      <c r="N1921" s="1">
        <f t="shared" si="59"/>
        <v>16.2</v>
      </c>
    </row>
    <row r="1922" spans="1:14" x14ac:dyDescent="0.3">
      <c r="A1922" s="1" t="s">
        <v>163</v>
      </c>
      <c r="B1922" s="1" t="s">
        <v>162</v>
      </c>
      <c r="C1922" s="1" t="s">
        <v>61</v>
      </c>
      <c r="D1922" s="1" t="s">
        <v>15</v>
      </c>
      <c r="E1922" s="1" t="s">
        <v>16</v>
      </c>
      <c r="F1922" s="1" t="s">
        <v>36</v>
      </c>
      <c r="G1922" s="1" t="s">
        <v>70</v>
      </c>
      <c r="H1922" s="1" t="s">
        <v>73</v>
      </c>
      <c r="I1922" s="1">
        <v>4</v>
      </c>
      <c r="J1922" s="1">
        <v>542.88</v>
      </c>
      <c r="K1922" s="1">
        <v>0</v>
      </c>
      <c r="L1922" s="1">
        <v>2171.52</v>
      </c>
      <c r="M1922" s="1" t="str">
        <f t="shared" ref="M1922:M1985" si="60">INDEX(D:D,MATCH(H1922,H:H,0))</f>
        <v>Online</v>
      </c>
      <c r="N1922" s="1">
        <f t="shared" ref="N1922:N1985" si="61">VLOOKUP(C:C,C:J,8,FALSE)</f>
        <v>62.01</v>
      </c>
    </row>
    <row r="1923" spans="1:14" x14ac:dyDescent="0.3">
      <c r="A1923" s="1" t="s">
        <v>164</v>
      </c>
      <c r="B1923" s="1" t="s">
        <v>162</v>
      </c>
      <c r="C1923" s="1" t="s">
        <v>54</v>
      </c>
      <c r="D1923" s="1" t="s">
        <v>15</v>
      </c>
      <c r="E1923" s="1" t="s">
        <v>28</v>
      </c>
      <c r="F1923" s="1" t="s">
        <v>23</v>
      </c>
      <c r="G1923" s="1" t="s">
        <v>24</v>
      </c>
      <c r="H1923" s="1" t="s">
        <v>56</v>
      </c>
      <c r="I1923" s="1">
        <v>3</v>
      </c>
      <c r="J1923" s="1">
        <v>22.95</v>
      </c>
      <c r="K1923" s="1">
        <v>0</v>
      </c>
      <c r="L1923" s="1">
        <v>68.849999999999994</v>
      </c>
      <c r="M1923" s="1" t="str">
        <f t="shared" si="60"/>
        <v>Online</v>
      </c>
      <c r="N1923" s="1">
        <f t="shared" si="61"/>
        <v>267.12</v>
      </c>
    </row>
    <row r="1924" spans="1:14" x14ac:dyDescent="0.3">
      <c r="A1924" s="1" t="s">
        <v>154</v>
      </c>
      <c r="B1924" s="1" t="s">
        <v>155</v>
      </c>
      <c r="C1924" s="1" t="s">
        <v>54</v>
      </c>
      <c r="D1924" s="1" t="s">
        <v>22</v>
      </c>
      <c r="E1924" s="1" t="s">
        <v>16</v>
      </c>
      <c r="F1924" s="1" t="s">
        <v>17</v>
      </c>
      <c r="G1924" s="1" t="s">
        <v>62</v>
      </c>
      <c r="H1924" s="1" t="s">
        <v>71</v>
      </c>
      <c r="I1924" s="1">
        <v>6</v>
      </c>
      <c r="J1924" s="1">
        <v>56.16</v>
      </c>
      <c r="K1924" s="1">
        <v>0.05</v>
      </c>
      <c r="L1924" s="1">
        <v>320.11</v>
      </c>
      <c r="M1924" s="1" t="str">
        <f t="shared" si="60"/>
        <v>Online</v>
      </c>
      <c r="N1924" s="1">
        <f t="shared" si="61"/>
        <v>267.12</v>
      </c>
    </row>
    <row r="1925" spans="1:14" x14ac:dyDescent="0.3">
      <c r="A1925" s="1" t="s">
        <v>156</v>
      </c>
      <c r="B1925" s="1" t="s">
        <v>155</v>
      </c>
      <c r="C1925" s="1" t="s">
        <v>21</v>
      </c>
      <c r="D1925" s="1" t="s">
        <v>27</v>
      </c>
      <c r="E1925" s="1" t="s">
        <v>28</v>
      </c>
      <c r="F1925" s="1" t="s">
        <v>17</v>
      </c>
      <c r="G1925" s="1" t="s">
        <v>98</v>
      </c>
      <c r="H1925" s="1" t="s">
        <v>25</v>
      </c>
      <c r="I1925" s="1">
        <v>2</v>
      </c>
      <c r="J1925" s="1">
        <v>405</v>
      </c>
      <c r="K1925" s="1">
        <v>0.08</v>
      </c>
      <c r="L1925" s="1">
        <v>745.2</v>
      </c>
      <c r="M1925" s="1" t="str">
        <f t="shared" si="60"/>
        <v>Marketplace</v>
      </c>
      <c r="N1925" s="1">
        <f t="shared" si="61"/>
        <v>405</v>
      </c>
    </row>
    <row r="1926" spans="1:14" x14ac:dyDescent="0.3">
      <c r="A1926" s="1" t="s">
        <v>157</v>
      </c>
      <c r="B1926" s="1" t="s">
        <v>155</v>
      </c>
      <c r="C1926" s="1" t="s">
        <v>47</v>
      </c>
      <c r="D1926" s="1" t="s">
        <v>15</v>
      </c>
      <c r="E1926" s="1" t="s">
        <v>16</v>
      </c>
      <c r="F1926" s="1" t="s">
        <v>29</v>
      </c>
      <c r="G1926" s="1" t="s">
        <v>51</v>
      </c>
      <c r="H1926" s="1" t="s">
        <v>49</v>
      </c>
      <c r="I1926" s="1">
        <v>5</v>
      </c>
      <c r="J1926" s="1">
        <v>42.93</v>
      </c>
      <c r="K1926" s="1">
        <v>0.1</v>
      </c>
      <c r="L1926" s="1">
        <v>193.19</v>
      </c>
      <c r="M1926" s="1" t="str">
        <f t="shared" si="60"/>
        <v>Retail Store</v>
      </c>
      <c r="N1926" s="1">
        <f t="shared" si="61"/>
        <v>421.2</v>
      </c>
    </row>
    <row r="1927" spans="1:14" x14ac:dyDescent="0.3">
      <c r="A1927" s="1" t="s">
        <v>158</v>
      </c>
      <c r="B1927" s="1" t="s">
        <v>155</v>
      </c>
      <c r="C1927" s="1" t="s">
        <v>21</v>
      </c>
      <c r="D1927" s="1" t="s">
        <v>35</v>
      </c>
      <c r="E1927" s="1" t="s">
        <v>28</v>
      </c>
      <c r="F1927" s="1" t="s">
        <v>42</v>
      </c>
      <c r="G1927" s="1" t="s">
        <v>67</v>
      </c>
      <c r="H1927" s="1" t="s">
        <v>44</v>
      </c>
      <c r="I1927" s="1">
        <v>3</v>
      </c>
      <c r="J1927" s="1">
        <v>257.04000000000002</v>
      </c>
      <c r="K1927" s="1">
        <v>0.05</v>
      </c>
      <c r="L1927" s="1">
        <v>732.56</v>
      </c>
      <c r="M1927" s="1" t="str">
        <f t="shared" si="60"/>
        <v>Retail Store</v>
      </c>
      <c r="N1927" s="1">
        <f t="shared" si="61"/>
        <v>405</v>
      </c>
    </row>
    <row r="1928" spans="1:14" x14ac:dyDescent="0.3">
      <c r="A1928" s="1" t="s">
        <v>159</v>
      </c>
      <c r="B1928" s="1" t="s">
        <v>155</v>
      </c>
      <c r="C1928" s="1" t="s">
        <v>61</v>
      </c>
      <c r="D1928" s="1" t="s">
        <v>15</v>
      </c>
      <c r="E1928" s="1" t="s">
        <v>28</v>
      </c>
      <c r="F1928" s="1" t="s">
        <v>29</v>
      </c>
      <c r="G1928" s="1" t="s">
        <v>55</v>
      </c>
      <c r="H1928" s="1" t="s">
        <v>112</v>
      </c>
      <c r="I1928" s="1">
        <v>3</v>
      </c>
      <c r="J1928" s="1">
        <v>34.200000000000003</v>
      </c>
      <c r="K1928" s="1">
        <v>0.05</v>
      </c>
      <c r="L1928" s="1">
        <v>97.47</v>
      </c>
      <c r="M1928" s="1" t="str">
        <f t="shared" si="60"/>
        <v>Online</v>
      </c>
      <c r="N1928" s="1">
        <f t="shared" si="61"/>
        <v>62.01</v>
      </c>
    </row>
    <row r="1929" spans="1:14" x14ac:dyDescent="0.3">
      <c r="A1929" s="1" t="s">
        <v>160</v>
      </c>
      <c r="B1929" s="1" t="s">
        <v>155</v>
      </c>
      <c r="C1929" s="1" t="s">
        <v>14</v>
      </c>
      <c r="D1929" s="1" t="s">
        <v>15</v>
      </c>
      <c r="E1929" s="1" t="s">
        <v>16</v>
      </c>
      <c r="F1929" s="1" t="s">
        <v>29</v>
      </c>
      <c r="G1929" s="1" t="s">
        <v>51</v>
      </c>
      <c r="H1929" s="1" t="s">
        <v>40</v>
      </c>
      <c r="I1929" s="1">
        <v>3</v>
      </c>
      <c r="J1929" s="1">
        <v>38.479999999999997</v>
      </c>
      <c r="K1929" s="1">
        <v>0.15</v>
      </c>
      <c r="L1929" s="1">
        <v>98.11</v>
      </c>
      <c r="M1929" s="1" t="str">
        <f t="shared" si="60"/>
        <v>Online</v>
      </c>
      <c r="N1929" s="1">
        <f t="shared" si="61"/>
        <v>16.2</v>
      </c>
    </row>
    <row r="1930" spans="1:14" x14ac:dyDescent="0.3">
      <c r="A1930" s="1" t="s">
        <v>144</v>
      </c>
      <c r="B1930" s="1" t="s">
        <v>145</v>
      </c>
      <c r="C1930" s="1" t="s">
        <v>21</v>
      </c>
      <c r="D1930" s="1" t="s">
        <v>15</v>
      </c>
      <c r="E1930" s="1" t="s">
        <v>16</v>
      </c>
      <c r="F1930" s="1" t="s">
        <v>36</v>
      </c>
      <c r="G1930" s="1" t="s">
        <v>37</v>
      </c>
      <c r="H1930" s="1" t="s">
        <v>25</v>
      </c>
      <c r="I1930" s="1">
        <v>3</v>
      </c>
      <c r="J1930" s="1">
        <v>810.9</v>
      </c>
      <c r="K1930" s="1">
        <v>0.05</v>
      </c>
      <c r="L1930" s="1">
        <v>2311.0700000000002</v>
      </c>
      <c r="M1930" s="1" t="str">
        <f t="shared" si="60"/>
        <v>Marketplace</v>
      </c>
      <c r="N1930" s="1">
        <f t="shared" si="61"/>
        <v>405</v>
      </c>
    </row>
    <row r="1931" spans="1:14" x14ac:dyDescent="0.3">
      <c r="A1931" s="1" t="s">
        <v>146</v>
      </c>
      <c r="B1931" s="1" t="s">
        <v>145</v>
      </c>
      <c r="C1931" s="1" t="s">
        <v>61</v>
      </c>
      <c r="D1931" s="1" t="s">
        <v>15</v>
      </c>
      <c r="E1931" s="1" t="s">
        <v>16</v>
      </c>
      <c r="F1931" s="1" t="s">
        <v>17</v>
      </c>
      <c r="G1931" s="1" t="s">
        <v>18</v>
      </c>
      <c r="H1931" s="1" t="s">
        <v>63</v>
      </c>
      <c r="I1931" s="1">
        <v>4</v>
      </c>
      <c r="J1931" s="1">
        <v>82.62</v>
      </c>
      <c r="K1931" s="1">
        <v>0.1</v>
      </c>
      <c r="L1931" s="1">
        <v>297.43</v>
      </c>
      <c r="M1931" s="1" t="str">
        <f t="shared" si="60"/>
        <v>Retail Store</v>
      </c>
      <c r="N1931" s="1">
        <f t="shared" si="61"/>
        <v>62.01</v>
      </c>
    </row>
    <row r="1932" spans="1:14" x14ac:dyDescent="0.3">
      <c r="A1932" s="1" t="s">
        <v>147</v>
      </c>
      <c r="B1932" s="1" t="s">
        <v>145</v>
      </c>
      <c r="C1932" s="1" t="s">
        <v>54</v>
      </c>
      <c r="D1932" s="1" t="s">
        <v>27</v>
      </c>
      <c r="E1932" s="1" t="s">
        <v>16</v>
      </c>
      <c r="F1932" s="1" t="s">
        <v>42</v>
      </c>
      <c r="G1932" s="1" t="s">
        <v>48</v>
      </c>
      <c r="H1932" s="1" t="s">
        <v>80</v>
      </c>
      <c r="I1932" s="1">
        <v>7</v>
      </c>
      <c r="J1932" s="1">
        <v>18</v>
      </c>
      <c r="K1932" s="1">
        <v>0.08</v>
      </c>
      <c r="L1932" s="1">
        <v>115.92</v>
      </c>
      <c r="M1932" s="1" t="str">
        <f t="shared" si="60"/>
        <v>Marketplace</v>
      </c>
      <c r="N1932" s="1">
        <f t="shared" si="61"/>
        <v>267.12</v>
      </c>
    </row>
    <row r="1933" spans="1:14" x14ac:dyDescent="0.3">
      <c r="A1933" s="1" t="s">
        <v>148</v>
      </c>
      <c r="B1933" s="1" t="s">
        <v>145</v>
      </c>
      <c r="C1933" s="1" t="s">
        <v>54</v>
      </c>
      <c r="D1933" s="1" t="s">
        <v>22</v>
      </c>
      <c r="E1933" s="1" t="s">
        <v>16</v>
      </c>
      <c r="F1933" s="1" t="s">
        <v>17</v>
      </c>
      <c r="G1933" s="1" t="s">
        <v>18</v>
      </c>
      <c r="H1933" s="1" t="s">
        <v>80</v>
      </c>
      <c r="I1933" s="1">
        <v>3</v>
      </c>
      <c r="J1933" s="1">
        <v>84.24</v>
      </c>
      <c r="K1933" s="1">
        <v>0.05</v>
      </c>
      <c r="L1933" s="1">
        <v>240.08</v>
      </c>
      <c r="M1933" s="1" t="str">
        <f t="shared" si="60"/>
        <v>Marketplace</v>
      </c>
      <c r="N1933" s="1">
        <f t="shared" si="61"/>
        <v>267.12</v>
      </c>
    </row>
    <row r="1934" spans="1:14" x14ac:dyDescent="0.3">
      <c r="A1934" s="1" t="s">
        <v>149</v>
      </c>
      <c r="B1934" s="1" t="s">
        <v>145</v>
      </c>
      <c r="C1934" s="1" t="s">
        <v>14</v>
      </c>
      <c r="D1934" s="1" t="s">
        <v>35</v>
      </c>
      <c r="E1934" s="1" t="s">
        <v>16</v>
      </c>
      <c r="F1934" s="1" t="s">
        <v>82</v>
      </c>
      <c r="G1934" s="1" t="s">
        <v>150</v>
      </c>
      <c r="H1934" s="1" t="s">
        <v>19</v>
      </c>
      <c r="I1934" s="1">
        <v>2</v>
      </c>
      <c r="J1934" s="1">
        <v>3052.8</v>
      </c>
      <c r="K1934" s="1">
        <v>0.2</v>
      </c>
      <c r="L1934" s="1">
        <v>4884.4799999999996</v>
      </c>
      <c r="M1934" s="1" t="str">
        <f t="shared" si="60"/>
        <v>Retail Store</v>
      </c>
      <c r="N1934" s="1">
        <f t="shared" si="61"/>
        <v>16.2</v>
      </c>
    </row>
    <row r="1935" spans="1:14" x14ac:dyDescent="0.3">
      <c r="A1935" s="1" t="s">
        <v>151</v>
      </c>
      <c r="B1935" s="1" t="s">
        <v>145</v>
      </c>
      <c r="C1935" s="1" t="s">
        <v>47</v>
      </c>
      <c r="D1935" s="1" t="s">
        <v>35</v>
      </c>
      <c r="E1935" s="1" t="s">
        <v>16</v>
      </c>
      <c r="F1935" s="1" t="s">
        <v>17</v>
      </c>
      <c r="G1935" s="1" t="s">
        <v>98</v>
      </c>
      <c r="H1935" s="1" t="s">
        <v>49</v>
      </c>
      <c r="I1935" s="1">
        <v>3</v>
      </c>
      <c r="J1935" s="1">
        <v>384.75</v>
      </c>
      <c r="K1935" s="1">
        <v>0.05</v>
      </c>
      <c r="L1935" s="1">
        <v>1096.54</v>
      </c>
      <c r="M1935" s="1" t="str">
        <f t="shared" si="60"/>
        <v>Retail Store</v>
      </c>
      <c r="N1935" s="1">
        <f t="shared" si="61"/>
        <v>421.2</v>
      </c>
    </row>
    <row r="1936" spans="1:14" x14ac:dyDescent="0.3">
      <c r="A1936" s="1" t="s">
        <v>152</v>
      </c>
      <c r="B1936" s="1" t="s">
        <v>145</v>
      </c>
      <c r="C1936" s="1" t="s">
        <v>61</v>
      </c>
      <c r="D1936" s="1" t="s">
        <v>15</v>
      </c>
      <c r="E1936" s="1" t="s">
        <v>16</v>
      </c>
      <c r="F1936" s="1" t="s">
        <v>36</v>
      </c>
      <c r="G1936" s="1" t="s">
        <v>70</v>
      </c>
      <c r="H1936" s="1" t="s">
        <v>73</v>
      </c>
      <c r="I1936" s="1">
        <v>3</v>
      </c>
      <c r="J1936" s="1">
        <v>506.34</v>
      </c>
      <c r="K1936" s="1">
        <v>0.03</v>
      </c>
      <c r="L1936" s="1">
        <v>1473.45</v>
      </c>
      <c r="M1936" s="1" t="str">
        <f t="shared" si="60"/>
        <v>Online</v>
      </c>
      <c r="N1936" s="1">
        <f t="shared" si="61"/>
        <v>62.01</v>
      </c>
    </row>
    <row r="1937" spans="1:14" x14ac:dyDescent="0.3">
      <c r="A1937" s="1" t="s">
        <v>153</v>
      </c>
      <c r="B1937" s="1" t="s">
        <v>145</v>
      </c>
      <c r="C1937" s="1" t="s">
        <v>61</v>
      </c>
      <c r="D1937" s="1" t="s">
        <v>15</v>
      </c>
      <c r="E1937" s="1" t="s">
        <v>16</v>
      </c>
      <c r="F1937" s="1" t="s">
        <v>23</v>
      </c>
      <c r="G1937" s="1" t="s">
        <v>142</v>
      </c>
      <c r="H1937" s="1" t="s">
        <v>73</v>
      </c>
      <c r="I1937" s="1">
        <v>6</v>
      </c>
      <c r="J1937" s="1">
        <v>16.2</v>
      </c>
      <c r="K1937" s="1">
        <v>0.05</v>
      </c>
      <c r="L1937" s="1">
        <v>92.34</v>
      </c>
      <c r="M1937" s="1" t="str">
        <f t="shared" si="60"/>
        <v>Online</v>
      </c>
      <c r="N1937" s="1">
        <f t="shared" si="61"/>
        <v>62.01</v>
      </c>
    </row>
    <row r="1938" spans="1:14" x14ac:dyDescent="0.3">
      <c r="A1938" s="1" t="s">
        <v>136</v>
      </c>
      <c r="B1938" s="1" t="s">
        <v>137</v>
      </c>
      <c r="C1938" s="1" t="s">
        <v>21</v>
      </c>
      <c r="D1938" s="1" t="s">
        <v>15</v>
      </c>
      <c r="E1938" s="1" t="s">
        <v>28</v>
      </c>
      <c r="F1938" s="1" t="s">
        <v>29</v>
      </c>
      <c r="G1938" s="1" t="s">
        <v>30</v>
      </c>
      <c r="H1938" s="1" t="s">
        <v>44</v>
      </c>
      <c r="I1938" s="1">
        <v>4</v>
      </c>
      <c r="J1938" s="1">
        <v>49.5</v>
      </c>
      <c r="K1938" s="1">
        <v>0.05</v>
      </c>
      <c r="L1938" s="1">
        <v>188.1</v>
      </c>
      <c r="M1938" s="1" t="str">
        <f t="shared" si="60"/>
        <v>Retail Store</v>
      </c>
      <c r="N1938" s="1">
        <f t="shared" si="61"/>
        <v>405</v>
      </c>
    </row>
    <row r="1939" spans="1:14" x14ac:dyDescent="0.3">
      <c r="A1939" s="1" t="s">
        <v>138</v>
      </c>
      <c r="B1939" s="1" t="s">
        <v>137</v>
      </c>
      <c r="C1939" s="1" t="s">
        <v>54</v>
      </c>
      <c r="D1939" s="1" t="s">
        <v>27</v>
      </c>
      <c r="E1939" s="1" t="s">
        <v>16</v>
      </c>
      <c r="F1939" s="1" t="s">
        <v>36</v>
      </c>
      <c r="G1939" s="1" t="s">
        <v>70</v>
      </c>
      <c r="H1939" s="1" t="s">
        <v>56</v>
      </c>
      <c r="I1939" s="1">
        <v>3</v>
      </c>
      <c r="J1939" s="1">
        <v>553.32000000000005</v>
      </c>
      <c r="K1939" s="1">
        <v>0.08</v>
      </c>
      <c r="L1939" s="1">
        <v>1527.16</v>
      </c>
      <c r="M1939" s="1" t="str">
        <f t="shared" si="60"/>
        <v>Online</v>
      </c>
      <c r="N1939" s="1">
        <f t="shared" si="61"/>
        <v>267.12</v>
      </c>
    </row>
    <row r="1940" spans="1:14" x14ac:dyDescent="0.3">
      <c r="A1940" s="1" t="s">
        <v>139</v>
      </c>
      <c r="B1940" s="1" t="s">
        <v>137</v>
      </c>
      <c r="C1940" s="1" t="s">
        <v>54</v>
      </c>
      <c r="D1940" s="1" t="s">
        <v>22</v>
      </c>
      <c r="E1940" s="1" t="s">
        <v>16</v>
      </c>
      <c r="F1940" s="1" t="s">
        <v>42</v>
      </c>
      <c r="G1940" s="1" t="s">
        <v>65</v>
      </c>
      <c r="H1940" s="1" t="s">
        <v>80</v>
      </c>
      <c r="I1940" s="1">
        <v>6</v>
      </c>
      <c r="J1940" s="1">
        <v>675</v>
      </c>
      <c r="K1940" s="1">
        <v>0.03</v>
      </c>
      <c r="L1940" s="1">
        <v>3928.5</v>
      </c>
      <c r="M1940" s="1" t="str">
        <f t="shared" si="60"/>
        <v>Marketplace</v>
      </c>
      <c r="N1940" s="1">
        <f t="shared" si="61"/>
        <v>267.12</v>
      </c>
    </row>
    <row r="1941" spans="1:14" x14ac:dyDescent="0.3">
      <c r="A1941" s="1" t="s">
        <v>140</v>
      </c>
      <c r="B1941" s="1" t="s">
        <v>137</v>
      </c>
      <c r="C1941" s="1" t="s">
        <v>54</v>
      </c>
      <c r="D1941" s="1" t="s">
        <v>22</v>
      </c>
      <c r="E1941" s="1" t="s">
        <v>16</v>
      </c>
      <c r="F1941" s="1" t="s">
        <v>29</v>
      </c>
      <c r="G1941" s="1" t="s">
        <v>39</v>
      </c>
      <c r="H1941" s="1" t="s">
        <v>71</v>
      </c>
      <c r="I1941" s="1">
        <v>8</v>
      </c>
      <c r="J1941" s="1">
        <v>74.88</v>
      </c>
      <c r="K1941" s="1">
        <v>0.03</v>
      </c>
      <c r="L1941" s="1">
        <v>581.07000000000005</v>
      </c>
      <c r="M1941" s="1" t="str">
        <f t="shared" si="60"/>
        <v>Online</v>
      </c>
      <c r="N1941" s="1">
        <f t="shared" si="61"/>
        <v>267.12</v>
      </c>
    </row>
    <row r="1942" spans="1:14" x14ac:dyDescent="0.3">
      <c r="A1942" s="1" t="s">
        <v>141</v>
      </c>
      <c r="B1942" s="1" t="s">
        <v>137</v>
      </c>
      <c r="C1942" s="1" t="s">
        <v>47</v>
      </c>
      <c r="D1942" s="1" t="s">
        <v>15</v>
      </c>
      <c r="E1942" s="1" t="s">
        <v>28</v>
      </c>
      <c r="F1942" s="1" t="s">
        <v>23</v>
      </c>
      <c r="G1942" s="1" t="s">
        <v>142</v>
      </c>
      <c r="H1942" s="1" t="s">
        <v>78</v>
      </c>
      <c r="I1942" s="1">
        <v>5</v>
      </c>
      <c r="J1942" s="1">
        <v>16.52</v>
      </c>
      <c r="K1942" s="1">
        <v>0.05</v>
      </c>
      <c r="L1942" s="1">
        <v>78.489999999999995</v>
      </c>
      <c r="M1942" s="1" t="str">
        <f t="shared" si="60"/>
        <v>Retail Store</v>
      </c>
      <c r="N1942" s="1">
        <f t="shared" si="61"/>
        <v>421.2</v>
      </c>
    </row>
    <row r="1943" spans="1:14" x14ac:dyDescent="0.3">
      <c r="A1943" s="1" t="s">
        <v>143</v>
      </c>
      <c r="B1943" s="1" t="s">
        <v>137</v>
      </c>
      <c r="C1943" s="1" t="s">
        <v>54</v>
      </c>
      <c r="D1943" s="1" t="s">
        <v>15</v>
      </c>
      <c r="E1943" s="1" t="s">
        <v>16</v>
      </c>
      <c r="F1943" s="1" t="s">
        <v>17</v>
      </c>
      <c r="G1943" s="1" t="s">
        <v>18</v>
      </c>
      <c r="H1943" s="1" t="s">
        <v>71</v>
      </c>
      <c r="I1943" s="1">
        <v>7</v>
      </c>
      <c r="J1943" s="1">
        <v>85.86</v>
      </c>
      <c r="K1943" s="1">
        <v>0.15</v>
      </c>
      <c r="L1943" s="1">
        <v>510.87</v>
      </c>
      <c r="M1943" s="1" t="str">
        <f t="shared" si="60"/>
        <v>Online</v>
      </c>
      <c r="N1943" s="1">
        <f t="shared" si="61"/>
        <v>267.12</v>
      </c>
    </row>
    <row r="1944" spans="1:14" x14ac:dyDescent="0.3">
      <c r="A1944" s="1" t="s">
        <v>130</v>
      </c>
      <c r="B1944" s="1" t="s">
        <v>131</v>
      </c>
      <c r="C1944" s="1" t="s">
        <v>54</v>
      </c>
      <c r="D1944" s="1" t="s">
        <v>27</v>
      </c>
      <c r="E1944" s="1" t="s">
        <v>16</v>
      </c>
      <c r="F1944" s="1" t="s">
        <v>29</v>
      </c>
      <c r="G1944" s="1" t="s">
        <v>51</v>
      </c>
      <c r="H1944" s="1" t="s">
        <v>71</v>
      </c>
      <c r="I1944" s="1">
        <v>7</v>
      </c>
      <c r="J1944" s="1">
        <v>40.5</v>
      </c>
      <c r="K1944" s="1">
        <v>0.05</v>
      </c>
      <c r="L1944" s="1">
        <v>269.33</v>
      </c>
      <c r="M1944" s="1" t="str">
        <f t="shared" si="60"/>
        <v>Online</v>
      </c>
      <c r="N1944" s="1">
        <f t="shared" si="61"/>
        <v>267.12</v>
      </c>
    </row>
    <row r="1945" spans="1:14" x14ac:dyDescent="0.3">
      <c r="A1945" s="1" t="s">
        <v>132</v>
      </c>
      <c r="B1945" s="1" t="s">
        <v>131</v>
      </c>
      <c r="C1945" s="1" t="s">
        <v>54</v>
      </c>
      <c r="D1945" s="1" t="s">
        <v>27</v>
      </c>
      <c r="E1945" s="1" t="s">
        <v>16</v>
      </c>
      <c r="F1945" s="1" t="s">
        <v>29</v>
      </c>
      <c r="G1945" s="1" t="s">
        <v>30</v>
      </c>
      <c r="H1945" s="1" t="s">
        <v>71</v>
      </c>
      <c r="I1945" s="1">
        <v>4</v>
      </c>
      <c r="J1945" s="1">
        <v>49.5</v>
      </c>
      <c r="K1945" s="1">
        <v>0</v>
      </c>
      <c r="L1945" s="1">
        <v>198</v>
      </c>
      <c r="M1945" s="1" t="str">
        <f t="shared" si="60"/>
        <v>Online</v>
      </c>
      <c r="N1945" s="1">
        <f t="shared" si="61"/>
        <v>267.12</v>
      </c>
    </row>
    <row r="1946" spans="1:14" x14ac:dyDescent="0.3">
      <c r="A1946" s="1" t="s">
        <v>133</v>
      </c>
      <c r="B1946" s="1" t="s">
        <v>131</v>
      </c>
      <c r="C1946" s="1" t="s">
        <v>14</v>
      </c>
      <c r="D1946" s="1" t="s">
        <v>15</v>
      </c>
      <c r="E1946" s="1" t="s">
        <v>16</v>
      </c>
      <c r="F1946" s="1" t="s">
        <v>42</v>
      </c>
      <c r="G1946" s="1" t="s">
        <v>43</v>
      </c>
      <c r="H1946" s="1" t="s">
        <v>31</v>
      </c>
      <c r="I1946" s="1">
        <v>2</v>
      </c>
      <c r="J1946" s="1">
        <v>153.9</v>
      </c>
      <c r="K1946" s="1">
        <v>0.1</v>
      </c>
      <c r="L1946" s="1">
        <v>277.02</v>
      </c>
      <c r="M1946" s="1" t="str">
        <f t="shared" si="60"/>
        <v>Online</v>
      </c>
      <c r="N1946" s="1">
        <f t="shared" si="61"/>
        <v>16.2</v>
      </c>
    </row>
    <row r="1947" spans="1:14" x14ac:dyDescent="0.3">
      <c r="A1947" s="1" t="s">
        <v>134</v>
      </c>
      <c r="B1947" s="1" t="s">
        <v>131</v>
      </c>
      <c r="C1947" s="1" t="s">
        <v>21</v>
      </c>
      <c r="D1947" s="1" t="s">
        <v>27</v>
      </c>
      <c r="E1947" s="1" t="s">
        <v>16</v>
      </c>
      <c r="F1947" s="1" t="s">
        <v>23</v>
      </c>
      <c r="G1947" s="1" t="s">
        <v>116</v>
      </c>
      <c r="H1947" s="1" t="s">
        <v>44</v>
      </c>
      <c r="I1947" s="1">
        <v>3</v>
      </c>
      <c r="J1947" s="1">
        <v>7.2</v>
      </c>
      <c r="K1947" s="1">
        <v>0.05</v>
      </c>
      <c r="L1947" s="1">
        <v>20.52</v>
      </c>
      <c r="M1947" s="1" t="str">
        <f t="shared" si="60"/>
        <v>Retail Store</v>
      </c>
      <c r="N1947" s="1">
        <f t="shared" si="61"/>
        <v>405</v>
      </c>
    </row>
    <row r="1948" spans="1:14" x14ac:dyDescent="0.3">
      <c r="A1948" s="1" t="s">
        <v>135</v>
      </c>
      <c r="B1948" s="1" t="s">
        <v>131</v>
      </c>
      <c r="C1948" s="1" t="s">
        <v>21</v>
      </c>
      <c r="D1948" s="1" t="s">
        <v>15</v>
      </c>
      <c r="E1948" s="1" t="s">
        <v>28</v>
      </c>
      <c r="F1948" s="1" t="s">
        <v>36</v>
      </c>
      <c r="G1948" s="1" t="s">
        <v>37</v>
      </c>
      <c r="H1948" s="1" t="s">
        <v>44</v>
      </c>
      <c r="I1948" s="1">
        <v>3</v>
      </c>
      <c r="J1948" s="1">
        <v>780.3</v>
      </c>
      <c r="K1948" s="1">
        <v>0</v>
      </c>
      <c r="L1948" s="1">
        <v>2340.9</v>
      </c>
      <c r="M1948" s="1" t="str">
        <f t="shared" si="60"/>
        <v>Retail Store</v>
      </c>
      <c r="N1948" s="1">
        <f t="shared" si="61"/>
        <v>405</v>
      </c>
    </row>
    <row r="1949" spans="1:14" x14ac:dyDescent="0.3">
      <c r="A1949" s="1" t="s">
        <v>123</v>
      </c>
      <c r="B1949" s="1" t="s">
        <v>124</v>
      </c>
      <c r="C1949" s="1" t="s">
        <v>61</v>
      </c>
      <c r="D1949" s="1" t="s">
        <v>27</v>
      </c>
      <c r="E1949" s="1" t="s">
        <v>16</v>
      </c>
      <c r="F1949" s="1" t="s">
        <v>82</v>
      </c>
      <c r="G1949" s="1" t="s">
        <v>114</v>
      </c>
      <c r="H1949" s="1" t="s">
        <v>112</v>
      </c>
      <c r="I1949" s="1">
        <v>2</v>
      </c>
      <c r="J1949" s="1">
        <v>2340</v>
      </c>
      <c r="K1949" s="1">
        <v>0.08</v>
      </c>
      <c r="L1949" s="1">
        <v>4305.6000000000004</v>
      </c>
      <c r="M1949" s="1" t="str">
        <f t="shared" si="60"/>
        <v>Online</v>
      </c>
      <c r="N1949" s="1">
        <f t="shared" si="61"/>
        <v>62.01</v>
      </c>
    </row>
    <row r="1950" spans="1:14" x14ac:dyDescent="0.3">
      <c r="A1950" s="1" t="s">
        <v>125</v>
      </c>
      <c r="B1950" s="1" t="s">
        <v>124</v>
      </c>
      <c r="C1950" s="1" t="s">
        <v>54</v>
      </c>
      <c r="D1950" s="1" t="s">
        <v>35</v>
      </c>
      <c r="E1950" s="1" t="s">
        <v>28</v>
      </c>
      <c r="F1950" s="1" t="s">
        <v>36</v>
      </c>
      <c r="G1950" s="1" t="s">
        <v>37</v>
      </c>
      <c r="H1950" s="1" t="s">
        <v>56</v>
      </c>
      <c r="I1950" s="1">
        <v>2</v>
      </c>
      <c r="J1950" s="1">
        <v>765</v>
      </c>
      <c r="K1950" s="1">
        <v>0.08</v>
      </c>
      <c r="L1950" s="1">
        <v>1407.6</v>
      </c>
      <c r="M1950" s="1" t="str">
        <f t="shared" si="60"/>
        <v>Online</v>
      </c>
      <c r="N1950" s="1">
        <f t="shared" si="61"/>
        <v>267.12</v>
      </c>
    </row>
    <row r="1951" spans="1:14" x14ac:dyDescent="0.3">
      <c r="A1951" s="1" t="s">
        <v>126</v>
      </c>
      <c r="B1951" s="1" t="s">
        <v>124</v>
      </c>
      <c r="C1951" s="1" t="s">
        <v>61</v>
      </c>
      <c r="D1951" s="1" t="s">
        <v>22</v>
      </c>
      <c r="E1951" s="1" t="s">
        <v>16</v>
      </c>
      <c r="F1951" s="1" t="s">
        <v>29</v>
      </c>
      <c r="G1951" s="1" t="s">
        <v>39</v>
      </c>
      <c r="H1951" s="1" t="s">
        <v>73</v>
      </c>
      <c r="I1951" s="1">
        <v>2</v>
      </c>
      <c r="J1951" s="1">
        <v>74.88</v>
      </c>
      <c r="K1951" s="1">
        <v>0.05</v>
      </c>
      <c r="L1951" s="1">
        <v>142.27000000000001</v>
      </c>
      <c r="M1951" s="1" t="str">
        <f t="shared" si="60"/>
        <v>Online</v>
      </c>
      <c r="N1951" s="1">
        <f t="shared" si="61"/>
        <v>62.01</v>
      </c>
    </row>
    <row r="1952" spans="1:14" x14ac:dyDescent="0.3">
      <c r="A1952" s="1" t="s">
        <v>127</v>
      </c>
      <c r="B1952" s="1" t="s">
        <v>124</v>
      </c>
      <c r="C1952" s="1" t="s">
        <v>54</v>
      </c>
      <c r="D1952" s="1" t="s">
        <v>15</v>
      </c>
      <c r="E1952" s="1" t="s">
        <v>16</v>
      </c>
      <c r="F1952" s="1" t="s">
        <v>82</v>
      </c>
      <c r="G1952" s="1" t="s">
        <v>83</v>
      </c>
      <c r="H1952" s="1" t="s">
        <v>71</v>
      </c>
      <c r="I1952" s="1">
        <v>5</v>
      </c>
      <c r="J1952" s="1">
        <v>3931.2</v>
      </c>
      <c r="K1952" s="1">
        <v>0.15</v>
      </c>
      <c r="L1952" s="1">
        <v>16707.599999999999</v>
      </c>
      <c r="M1952" s="1" t="str">
        <f t="shared" si="60"/>
        <v>Online</v>
      </c>
      <c r="N1952" s="1">
        <f t="shared" si="61"/>
        <v>267.12</v>
      </c>
    </row>
    <row r="1953" spans="1:14" x14ac:dyDescent="0.3">
      <c r="A1953" s="1" t="s">
        <v>128</v>
      </c>
      <c r="B1953" s="1" t="s">
        <v>124</v>
      </c>
      <c r="C1953" s="1" t="s">
        <v>61</v>
      </c>
      <c r="D1953" s="1" t="s">
        <v>27</v>
      </c>
      <c r="E1953" s="1" t="s">
        <v>28</v>
      </c>
      <c r="F1953" s="1" t="s">
        <v>29</v>
      </c>
      <c r="G1953" s="1" t="s">
        <v>51</v>
      </c>
      <c r="H1953" s="1" t="s">
        <v>112</v>
      </c>
      <c r="I1953" s="1">
        <v>5</v>
      </c>
      <c r="J1953" s="1">
        <v>38.479999999999997</v>
      </c>
      <c r="K1953" s="1">
        <v>0.08</v>
      </c>
      <c r="L1953" s="1">
        <v>176.99</v>
      </c>
      <c r="M1953" s="1" t="str">
        <f t="shared" si="60"/>
        <v>Online</v>
      </c>
      <c r="N1953" s="1">
        <f t="shared" si="61"/>
        <v>62.01</v>
      </c>
    </row>
    <row r="1954" spans="1:14" x14ac:dyDescent="0.3">
      <c r="A1954" s="1" t="s">
        <v>129</v>
      </c>
      <c r="B1954" s="1" t="s">
        <v>124</v>
      </c>
      <c r="C1954" s="1" t="s">
        <v>14</v>
      </c>
      <c r="D1954" s="1" t="s">
        <v>15</v>
      </c>
      <c r="E1954" s="1" t="s">
        <v>16</v>
      </c>
      <c r="F1954" s="1" t="s">
        <v>42</v>
      </c>
      <c r="G1954" s="1" t="s">
        <v>43</v>
      </c>
      <c r="H1954" s="1" t="s">
        <v>19</v>
      </c>
      <c r="I1954" s="1">
        <v>4</v>
      </c>
      <c r="J1954" s="1">
        <v>165.24</v>
      </c>
      <c r="K1954" s="1">
        <v>0.05</v>
      </c>
      <c r="L1954" s="1">
        <v>627.91</v>
      </c>
      <c r="M1954" s="1" t="str">
        <f t="shared" si="60"/>
        <v>Retail Store</v>
      </c>
      <c r="N1954" s="1">
        <f t="shared" si="61"/>
        <v>16.2</v>
      </c>
    </row>
    <row r="1955" spans="1:14" x14ac:dyDescent="0.3">
      <c r="A1955" s="1" t="s">
        <v>110</v>
      </c>
      <c r="B1955" s="1" t="s">
        <v>111</v>
      </c>
      <c r="C1955" s="1" t="s">
        <v>61</v>
      </c>
      <c r="D1955" s="1" t="s">
        <v>27</v>
      </c>
      <c r="E1955" s="1" t="s">
        <v>16</v>
      </c>
      <c r="F1955" s="1" t="s">
        <v>17</v>
      </c>
      <c r="G1955" s="1" t="s">
        <v>98</v>
      </c>
      <c r="H1955" s="1" t="s">
        <v>112</v>
      </c>
      <c r="I1955" s="1">
        <v>2</v>
      </c>
      <c r="J1955" s="1">
        <v>405</v>
      </c>
      <c r="K1955" s="1">
        <v>0.03</v>
      </c>
      <c r="L1955" s="1">
        <v>785.7</v>
      </c>
      <c r="M1955" s="1" t="str">
        <f t="shared" si="60"/>
        <v>Online</v>
      </c>
      <c r="N1955" s="1">
        <f t="shared" si="61"/>
        <v>62.01</v>
      </c>
    </row>
    <row r="1956" spans="1:14" x14ac:dyDescent="0.3">
      <c r="A1956" s="1" t="s">
        <v>113</v>
      </c>
      <c r="B1956" s="1" t="s">
        <v>111</v>
      </c>
      <c r="C1956" s="1" t="s">
        <v>21</v>
      </c>
      <c r="D1956" s="1" t="s">
        <v>15</v>
      </c>
      <c r="E1956" s="1" t="s">
        <v>16</v>
      </c>
      <c r="F1956" s="1" t="s">
        <v>82</v>
      </c>
      <c r="G1956" s="1" t="s">
        <v>114</v>
      </c>
      <c r="H1956" s="1" t="s">
        <v>44</v>
      </c>
      <c r="I1956" s="1">
        <v>5</v>
      </c>
      <c r="J1956" s="1">
        <v>2250</v>
      </c>
      <c r="K1956" s="1">
        <v>0.2</v>
      </c>
      <c r="L1956" s="1">
        <v>9000</v>
      </c>
      <c r="M1956" s="1" t="str">
        <f t="shared" si="60"/>
        <v>Retail Store</v>
      </c>
      <c r="N1956" s="1">
        <f t="shared" si="61"/>
        <v>405</v>
      </c>
    </row>
    <row r="1957" spans="1:14" x14ac:dyDescent="0.3">
      <c r="A1957" s="1" t="s">
        <v>115</v>
      </c>
      <c r="B1957" s="1" t="s">
        <v>111</v>
      </c>
      <c r="C1957" s="1" t="s">
        <v>54</v>
      </c>
      <c r="D1957" s="1" t="s">
        <v>27</v>
      </c>
      <c r="E1957" s="1" t="s">
        <v>16</v>
      </c>
      <c r="F1957" s="1" t="s">
        <v>23</v>
      </c>
      <c r="G1957" s="1" t="s">
        <v>116</v>
      </c>
      <c r="H1957" s="1" t="s">
        <v>71</v>
      </c>
      <c r="I1957" s="1">
        <v>7</v>
      </c>
      <c r="J1957" s="1">
        <v>6.98</v>
      </c>
      <c r="K1957" s="1">
        <v>0.15</v>
      </c>
      <c r="L1957" s="1">
        <v>41.55</v>
      </c>
      <c r="M1957" s="1" t="str">
        <f t="shared" si="60"/>
        <v>Online</v>
      </c>
      <c r="N1957" s="1">
        <f t="shared" si="61"/>
        <v>267.12</v>
      </c>
    </row>
    <row r="1958" spans="1:14" x14ac:dyDescent="0.3">
      <c r="A1958" s="1" t="s">
        <v>117</v>
      </c>
      <c r="B1958" s="1" t="s">
        <v>111</v>
      </c>
      <c r="C1958" s="1" t="s">
        <v>61</v>
      </c>
      <c r="D1958" s="1" t="s">
        <v>22</v>
      </c>
      <c r="E1958" s="1" t="s">
        <v>28</v>
      </c>
      <c r="F1958" s="1" t="s">
        <v>29</v>
      </c>
      <c r="G1958" s="1" t="s">
        <v>30</v>
      </c>
      <c r="H1958" s="1" t="s">
        <v>63</v>
      </c>
      <c r="I1958" s="1">
        <v>2</v>
      </c>
      <c r="J1958" s="1">
        <v>50.49</v>
      </c>
      <c r="K1958" s="1">
        <v>0.08</v>
      </c>
      <c r="L1958" s="1">
        <v>92.9</v>
      </c>
      <c r="M1958" s="1" t="str">
        <f t="shared" si="60"/>
        <v>Retail Store</v>
      </c>
      <c r="N1958" s="1">
        <f t="shared" si="61"/>
        <v>62.01</v>
      </c>
    </row>
    <row r="1959" spans="1:14" x14ac:dyDescent="0.3">
      <c r="A1959" s="1" t="s">
        <v>118</v>
      </c>
      <c r="B1959" s="1" t="s">
        <v>111</v>
      </c>
      <c r="C1959" s="1" t="s">
        <v>54</v>
      </c>
      <c r="D1959" s="1" t="s">
        <v>15</v>
      </c>
      <c r="E1959" s="1" t="s">
        <v>28</v>
      </c>
      <c r="F1959" s="1" t="s">
        <v>36</v>
      </c>
      <c r="G1959" s="1" t="s">
        <v>119</v>
      </c>
      <c r="H1959" s="1" t="s">
        <v>71</v>
      </c>
      <c r="I1959" s="1">
        <v>2</v>
      </c>
      <c r="J1959" s="1">
        <v>598.5</v>
      </c>
      <c r="K1959" s="1">
        <v>0.03</v>
      </c>
      <c r="L1959" s="1">
        <v>1161.0899999999999</v>
      </c>
      <c r="M1959" s="1" t="str">
        <f t="shared" si="60"/>
        <v>Online</v>
      </c>
      <c r="N1959" s="1">
        <f t="shared" si="61"/>
        <v>267.12</v>
      </c>
    </row>
    <row r="1960" spans="1:14" x14ac:dyDescent="0.3">
      <c r="A1960" s="1" t="s">
        <v>120</v>
      </c>
      <c r="B1960" s="1" t="s">
        <v>111</v>
      </c>
      <c r="C1960" s="1" t="s">
        <v>47</v>
      </c>
      <c r="D1960" s="1" t="s">
        <v>22</v>
      </c>
      <c r="E1960" s="1" t="s">
        <v>28</v>
      </c>
      <c r="F1960" s="1" t="s">
        <v>29</v>
      </c>
      <c r="G1960" s="1" t="s">
        <v>88</v>
      </c>
      <c r="H1960" s="1" t="s">
        <v>58</v>
      </c>
      <c r="I1960" s="1">
        <v>6</v>
      </c>
      <c r="J1960" s="1">
        <v>56.75</v>
      </c>
      <c r="K1960" s="1">
        <v>0.1</v>
      </c>
      <c r="L1960" s="1">
        <v>306.42</v>
      </c>
      <c r="M1960" s="1" t="str">
        <f t="shared" si="60"/>
        <v>Corporate Sales</v>
      </c>
      <c r="N1960" s="1">
        <f t="shared" si="61"/>
        <v>421.2</v>
      </c>
    </row>
    <row r="1961" spans="1:14" x14ac:dyDescent="0.3">
      <c r="A1961" s="1" t="s">
        <v>121</v>
      </c>
      <c r="B1961" s="1" t="s">
        <v>111</v>
      </c>
      <c r="C1961" s="1" t="s">
        <v>54</v>
      </c>
      <c r="D1961" s="1" t="s">
        <v>22</v>
      </c>
      <c r="E1961" s="1" t="s">
        <v>16</v>
      </c>
      <c r="F1961" s="1" t="s">
        <v>42</v>
      </c>
      <c r="G1961" s="1" t="s">
        <v>67</v>
      </c>
      <c r="H1961" s="1" t="s">
        <v>71</v>
      </c>
      <c r="I1961" s="1">
        <v>5</v>
      </c>
      <c r="J1961" s="1">
        <v>244.44</v>
      </c>
      <c r="K1961" s="1">
        <v>0.08</v>
      </c>
      <c r="L1961" s="1">
        <v>1124.42</v>
      </c>
      <c r="M1961" s="1" t="str">
        <f t="shared" si="60"/>
        <v>Online</v>
      </c>
      <c r="N1961" s="1">
        <f t="shared" si="61"/>
        <v>267.12</v>
      </c>
    </row>
    <row r="1962" spans="1:14" x14ac:dyDescent="0.3">
      <c r="A1962" s="1" t="s">
        <v>122</v>
      </c>
      <c r="B1962" s="1" t="s">
        <v>111</v>
      </c>
      <c r="C1962" s="1" t="s">
        <v>14</v>
      </c>
      <c r="D1962" s="1" t="s">
        <v>35</v>
      </c>
      <c r="E1962" s="1" t="s">
        <v>16</v>
      </c>
      <c r="F1962" s="1" t="s">
        <v>42</v>
      </c>
      <c r="G1962" s="1" t="s">
        <v>67</v>
      </c>
      <c r="H1962" s="1" t="s">
        <v>40</v>
      </c>
      <c r="I1962" s="1">
        <v>5</v>
      </c>
      <c r="J1962" s="1">
        <v>239.4</v>
      </c>
      <c r="K1962" s="1">
        <v>0.05</v>
      </c>
      <c r="L1962" s="1">
        <v>1137.1500000000001</v>
      </c>
      <c r="M1962" s="1" t="str">
        <f t="shared" si="60"/>
        <v>Online</v>
      </c>
      <c r="N1962" s="1">
        <f t="shared" si="61"/>
        <v>16.2</v>
      </c>
    </row>
    <row r="1963" spans="1:14" x14ac:dyDescent="0.3">
      <c r="A1963" s="1" t="s">
        <v>106</v>
      </c>
      <c r="B1963" s="1" t="s">
        <v>107</v>
      </c>
      <c r="C1963" s="1" t="s">
        <v>61</v>
      </c>
      <c r="D1963" s="1" t="s">
        <v>15</v>
      </c>
      <c r="E1963" s="1" t="s">
        <v>16</v>
      </c>
      <c r="F1963" s="1" t="s">
        <v>42</v>
      </c>
      <c r="G1963" s="1" t="s">
        <v>48</v>
      </c>
      <c r="H1963" s="1" t="s">
        <v>73</v>
      </c>
      <c r="I1963" s="1">
        <v>3</v>
      </c>
      <c r="J1963" s="1">
        <v>18</v>
      </c>
      <c r="K1963" s="1">
        <v>0.03</v>
      </c>
      <c r="L1963" s="1">
        <v>52.38</v>
      </c>
      <c r="M1963" s="1" t="str">
        <f t="shared" si="60"/>
        <v>Online</v>
      </c>
      <c r="N1963" s="1">
        <f t="shared" si="61"/>
        <v>62.01</v>
      </c>
    </row>
    <row r="1964" spans="1:14" x14ac:dyDescent="0.3">
      <c r="A1964" s="1" t="s">
        <v>108</v>
      </c>
      <c r="B1964" s="1" t="s">
        <v>107</v>
      </c>
      <c r="C1964" s="1" t="s">
        <v>21</v>
      </c>
      <c r="D1964" s="1" t="s">
        <v>15</v>
      </c>
      <c r="E1964" s="1" t="s">
        <v>28</v>
      </c>
      <c r="F1964" s="1" t="s">
        <v>17</v>
      </c>
      <c r="G1964" s="1" t="s">
        <v>62</v>
      </c>
      <c r="H1964" s="1" t="s">
        <v>44</v>
      </c>
      <c r="I1964" s="1">
        <v>2</v>
      </c>
      <c r="J1964" s="1">
        <v>54</v>
      </c>
      <c r="K1964" s="1">
        <v>0.08</v>
      </c>
      <c r="L1964" s="1">
        <v>99.36</v>
      </c>
      <c r="M1964" s="1" t="str">
        <f t="shared" si="60"/>
        <v>Retail Store</v>
      </c>
      <c r="N1964" s="1">
        <f t="shared" si="61"/>
        <v>405</v>
      </c>
    </row>
    <row r="1965" spans="1:14" x14ac:dyDescent="0.3">
      <c r="A1965" s="1" t="s">
        <v>109</v>
      </c>
      <c r="B1965" s="1" t="s">
        <v>107</v>
      </c>
      <c r="C1965" s="1" t="s">
        <v>14</v>
      </c>
      <c r="D1965" s="1" t="s">
        <v>22</v>
      </c>
      <c r="E1965" s="1" t="s">
        <v>28</v>
      </c>
      <c r="F1965" s="1" t="s">
        <v>29</v>
      </c>
      <c r="G1965" s="1" t="s">
        <v>88</v>
      </c>
      <c r="H1965" s="1" t="s">
        <v>19</v>
      </c>
      <c r="I1965" s="1">
        <v>5</v>
      </c>
      <c r="J1965" s="1">
        <v>58.5</v>
      </c>
      <c r="K1965" s="1">
        <v>0.15</v>
      </c>
      <c r="L1965" s="1">
        <v>248.63</v>
      </c>
      <c r="M1965" s="1" t="str">
        <f t="shared" si="60"/>
        <v>Retail Store</v>
      </c>
      <c r="N1965" s="1">
        <f t="shared" si="61"/>
        <v>16.2</v>
      </c>
    </row>
    <row r="1966" spans="1:14" x14ac:dyDescent="0.3">
      <c r="A1966" s="1" t="s">
        <v>100</v>
      </c>
      <c r="B1966" s="1" t="s">
        <v>101</v>
      </c>
      <c r="C1966" s="1" t="s">
        <v>14</v>
      </c>
      <c r="D1966" s="1" t="s">
        <v>22</v>
      </c>
      <c r="E1966" s="1" t="s">
        <v>16</v>
      </c>
      <c r="F1966" s="1" t="s">
        <v>17</v>
      </c>
      <c r="G1966" s="1" t="s">
        <v>18</v>
      </c>
      <c r="H1966" s="1" t="s">
        <v>31</v>
      </c>
      <c r="I1966" s="1">
        <v>2</v>
      </c>
      <c r="J1966" s="1">
        <v>82.62</v>
      </c>
      <c r="K1966" s="1">
        <v>0</v>
      </c>
      <c r="L1966" s="1">
        <v>165.24</v>
      </c>
      <c r="M1966" s="1" t="str">
        <f t="shared" si="60"/>
        <v>Online</v>
      </c>
      <c r="N1966" s="1">
        <f t="shared" si="61"/>
        <v>16.2</v>
      </c>
    </row>
    <row r="1967" spans="1:14" x14ac:dyDescent="0.3">
      <c r="A1967" s="1" t="s">
        <v>102</v>
      </c>
      <c r="B1967" s="1" t="s">
        <v>101</v>
      </c>
      <c r="C1967" s="1" t="s">
        <v>21</v>
      </c>
      <c r="D1967" s="1" t="s">
        <v>15</v>
      </c>
      <c r="E1967" s="1" t="s">
        <v>28</v>
      </c>
      <c r="F1967" s="1" t="s">
        <v>23</v>
      </c>
      <c r="G1967" s="1" t="s">
        <v>103</v>
      </c>
      <c r="H1967" s="1" t="s">
        <v>86</v>
      </c>
      <c r="I1967" s="1">
        <v>5</v>
      </c>
      <c r="J1967" s="1">
        <v>10.8</v>
      </c>
      <c r="K1967" s="1">
        <v>0.08</v>
      </c>
      <c r="L1967" s="1">
        <v>49.68</v>
      </c>
      <c r="M1967" s="1" t="str">
        <f t="shared" si="60"/>
        <v>Online</v>
      </c>
      <c r="N1967" s="1">
        <f t="shared" si="61"/>
        <v>405</v>
      </c>
    </row>
    <row r="1968" spans="1:14" x14ac:dyDescent="0.3">
      <c r="A1968" s="1" t="s">
        <v>104</v>
      </c>
      <c r="B1968" s="1" t="s">
        <v>101</v>
      </c>
      <c r="C1968" s="1" t="s">
        <v>14</v>
      </c>
      <c r="D1968" s="1" t="s">
        <v>27</v>
      </c>
      <c r="E1968" s="1" t="s">
        <v>28</v>
      </c>
      <c r="F1968" s="1" t="s">
        <v>42</v>
      </c>
      <c r="G1968" s="1" t="s">
        <v>65</v>
      </c>
      <c r="H1968" s="1" t="s">
        <v>40</v>
      </c>
      <c r="I1968" s="1">
        <v>7</v>
      </c>
      <c r="J1968" s="1">
        <v>715.5</v>
      </c>
      <c r="K1968" s="1">
        <v>0</v>
      </c>
      <c r="L1968" s="1">
        <v>5008.5</v>
      </c>
      <c r="M1968" s="1" t="str">
        <f t="shared" si="60"/>
        <v>Online</v>
      </c>
      <c r="N1968" s="1">
        <f t="shared" si="61"/>
        <v>16.2</v>
      </c>
    </row>
    <row r="1969" spans="1:14" x14ac:dyDescent="0.3">
      <c r="A1969" s="1" t="s">
        <v>105</v>
      </c>
      <c r="B1969" s="1" t="s">
        <v>101</v>
      </c>
      <c r="C1969" s="1" t="s">
        <v>21</v>
      </c>
      <c r="D1969" s="1" t="s">
        <v>15</v>
      </c>
      <c r="E1969" s="1" t="s">
        <v>16</v>
      </c>
      <c r="F1969" s="1" t="s">
        <v>29</v>
      </c>
      <c r="G1969" s="1" t="s">
        <v>39</v>
      </c>
      <c r="H1969" s="1" t="s">
        <v>86</v>
      </c>
      <c r="I1969" s="1">
        <v>5</v>
      </c>
      <c r="J1969" s="1">
        <v>72</v>
      </c>
      <c r="K1969" s="1">
        <v>0.1</v>
      </c>
      <c r="L1969" s="1">
        <v>324</v>
      </c>
      <c r="M1969" s="1" t="str">
        <f t="shared" si="60"/>
        <v>Online</v>
      </c>
      <c r="N1969" s="1">
        <f t="shared" si="61"/>
        <v>405</v>
      </c>
    </row>
    <row r="1970" spans="1:14" x14ac:dyDescent="0.3">
      <c r="A1970" s="1" t="s">
        <v>91</v>
      </c>
      <c r="B1970" s="1" t="s">
        <v>92</v>
      </c>
      <c r="C1970" s="1" t="s">
        <v>21</v>
      </c>
      <c r="D1970" s="1" t="s">
        <v>15</v>
      </c>
      <c r="E1970" s="1" t="s">
        <v>16</v>
      </c>
      <c r="F1970" s="1" t="s">
        <v>82</v>
      </c>
      <c r="G1970" s="1" t="s">
        <v>83</v>
      </c>
      <c r="H1970" s="1" t="s">
        <v>44</v>
      </c>
      <c r="I1970" s="1">
        <v>2</v>
      </c>
      <c r="J1970" s="1">
        <v>3591</v>
      </c>
      <c r="K1970" s="1">
        <v>0.1</v>
      </c>
      <c r="L1970" s="1">
        <v>6463.8</v>
      </c>
      <c r="M1970" s="1" t="str">
        <f t="shared" si="60"/>
        <v>Retail Store</v>
      </c>
      <c r="N1970" s="1">
        <f t="shared" si="61"/>
        <v>405</v>
      </c>
    </row>
    <row r="1971" spans="1:14" x14ac:dyDescent="0.3">
      <c r="A1971" s="1" t="s">
        <v>93</v>
      </c>
      <c r="B1971" s="1" t="s">
        <v>92</v>
      </c>
      <c r="C1971" s="1" t="s">
        <v>14</v>
      </c>
      <c r="D1971" s="1" t="s">
        <v>15</v>
      </c>
      <c r="E1971" s="1" t="s">
        <v>16</v>
      </c>
      <c r="F1971" s="1" t="s">
        <v>17</v>
      </c>
      <c r="G1971" s="1" t="s">
        <v>18</v>
      </c>
      <c r="H1971" s="1" t="s">
        <v>40</v>
      </c>
      <c r="I1971" s="1">
        <v>3</v>
      </c>
      <c r="J1971" s="1">
        <v>85.86</v>
      </c>
      <c r="K1971" s="1">
        <v>0.05</v>
      </c>
      <c r="L1971" s="1">
        <v>244.7</v>
      </c>
      <c r="M1971" s="1" t="str">
        <f t="shared" si="60"/>
        <v>Online</v>
      </c>
      <c r="N1971" s="1">
        <f t="shared" si="61"/>
        <v>16.2</v>
      </c>
    </row>
    <row r="1972" spans="1:14" x14ac:dyDescent="0.3">
      <c r="A1972" s="1" t="s">
        <v>94</v>
      </c>
      <c r="B1972" s="1" t="s">
        <v>92</v>
      </c>
      <c r="C1972" s="1" t="s">
        <v>14</v>
      </c>
      <c r="D1972" s="1" t="s">
        <v>15</v>
      </c>
      <c r="E1972" s="1" t="s">
        <v>16</v>
      </c>
      <c r="F1972" s="1" t="s">
        <v>29</v>
      </c>
      <c r="G1972" s="1" t="s">
        <v>33</v>
      </c>
      <c r="H1972" s="1" t="s">
        <v>40</v>
      </c>
      <c r="I1972" s="1">
        <v>2</v>
      </c>
      <c r="J1972" s="1">
        <v>13.77</v>
      </c>
      <c r="K1972" s="1">
        <v>0.1</v>
      </c>
      <c r="L1972" s="1">
        <v>24.79</v>
      </c>
      <c r="M1972" s="1" t="str">
        <f t="shared" si="60"/>
        <v>Online</v>
      </c>
      <c r="N1972" s="1">
        <f t="shared" si="61"/>
        <v>16.2</v>
      </c>
    </row>
    <row r="1973" spans="1:14" x14ac:dyDescent="0.3">
      <c r="A1973" s="1" t="s">
        <v>95</v>
      </c>
      <c r="B1973" s="1" t="s">
        <v>92</v>
      </c>
      <c r="C1973" s="1" t="s">
        <v>54</v>
      </c>
      <c r="D1973" s="1" t="s">
        <v>35</v>
      </c>
      <c r="E1973" s="1" t="s">
        <v>16</v>
      </c>
      <c r="F1973" s="1" t="s">
        <v>82</v>
      </c>
      <c r="G1973" s="1" t="s">
        <v>96</v>
      </c>
      <c r="H1973" s="1" t="s">
        <v>71</v>
      </c>
      <c r="I1973" s="1">
        <v>2</v>
      </c>
      <c r="J1973" s="1">
        <v>2700</v>
      </c>
      <c r="K1973" s="1">
        <v>0.03</v>
      </c>
      <c r="L1973" s="1">
        <v>5238</v>
      </c>
      <c r="M1973" s="1" t="str">
        <f t="shared" si="60"/>
        <v>Online</v>
      </c>
      <c r="N1973" s="1">
        <f t="shared" si="61"/>
        <v>267.12</v>
      </c>
    </row>
    <row r="1974" spans="1:14" x14ac:dyDescent="0.3">
      <c r="A1974" s="1" t="s">
        <v>97</v>
      </c>
      <c r="B1974" s="1" t="s">
        <v>92</v>
      </c>
      <c r="C1974" s="1" t="s">
        <v>47</v>
      </c>
      <c r="D1974" s="1" t="s">
        <v>35</v>
      </c>
      <c r="E1974" s="1" t="s">
        <v>28</v>
      </c>
      <c r="F1974" s="1" t="s">
        <v>17</v>
      </c>
      <c r="G1974" s="1" t="s">
        <v>98</v>
      </c>
      <c r="H1974" s="1" t="s">
        <v>58</v>
      </c>
      <c r="I1974" s="1">
        <v>12</v>
      </c>
      <c r="J1974" s="1">
        <v>405</v>
      </c>
      <c r="K1974" s="1">
        <v>0.1</v>
      </c>
      <c r="L1974" s="1">
        <v>4374</v>
      </c>
      <c r="M1974" s="1" t="str">
        <f t="shared" si="60"/>
        <v>Corporate Sales</v>
      </c>
      <c r="N1974" s="1">
        <f t="shared" si="61"/>
        <v>421.2</v>
      </c>
    </row>
    <row r="1975" spans="1:14" x14ac:dyDescent="0.3">
      <c r="A1975" s="1" t="s">
        <v>99</v>
      </c>
      <c r="B1975" s="1" t="s">
        <v>92</v>
      </c>
      <c r="C1975" s="1" t="s">
        <v>54</v>
      </c>
      <c r="D1975" s="1" t="s">
        <v>15</v>
      </c>
      <c r="E1975" s="1" t="s">
        <v>28</v>
      </c>
      <c r="F1975" s="1" t="s">
        <v>29</v>
      </c>
      <c r="G1975" s="1" t="s">
        <v>39</v>
      </c>
      <c r="H1975" s="1" t="s">
        <v>71</v>
      </c>
      <c r="I1975" s="1">
        <v>2</v>
      </c>
      <c r="J1975" s="1">
        <v>68.400000000000006</v>
      </c>
      <c r="K1975" s="1">
        <v>0.08</v>
      </c>
      <c r="L1975" s="1">
        <v>125.86</v>
      </c>
      <c r="M1975" s="1" t="str">
        <f t="shared" si="60"/>
        <v>Online</v>
      </c>
      <c r="N1975" s="1">
        <f t="shared" si="61"/>
        <v>267.12</v>
      </c>
    </row>
    <row r="1976" spans="1:14" x14ac:dyDescent="0.3">
      <c r="A1976" s="1" t="s">
        <v>75</v>
      </c>
      <c r="B1976" s="1" t="s">
        <v>76</v>
      </c>
      <c r="C1976" s="1" t="s">
        <v>47</v>
      </c>
      <c r="D1976" s="1" t="s">
        <v>22</v>
      </c>
      <c r="E1976" s="1" t="s">
        <v>16</v>
      </c>
      <c r="F1976" s="1" t="s">
        <v>36</v>
      </c>
      <c r="G1976" s="1" t="s">
        <v>77</v>
      </c>
      <c r="H1976" s="1" t="s">
        <v>78</v>
      </c>
      <c r="I1976" s="1">
        <v>2</v>
      </c>
      <c r="J1976" s="1">
        <v>1404</v>
      </c>
      <c r="K1976" s="1">
        <v>0.05</v>
      </c>
      <c r="L1976" s="1">
        <v>2667.6</v>
      </c>
      <c r="M1976" s="1" t="str">
        <f t="shared" si="60"/>
        <v>Retail Store</v>
      </c>
      <c r="N1976" s="1">
        <f t="shared" si="61"/>
        <v>421.2</v>
      </c>
    </row>
    <row r="1977" spans="1:14" x14ac:dyDescent="0.3">
      <c r="A1977" s="1" t="s">
        <v>79</v>
      </c>
      <c r="B1977" s="1" t="s">
        <v>76</v>
      </c>
      <c r="C1977" s="1" t="s">
        <v>54</v>
      </c>
      <c r="D1977" s="1" t="s">
        <v>15</v>
      </c>
      <c r="E1977" s="1" t="s">
        <v>16</v>
      </c>
      <c r="F1977" s="1" t="s">
        <v>29</v>
      </c>
      <c r="G1977" s="1" t="s">
        <v>30</v>
      </c>
      <c r="H1977" s="1" t="s">
        <v>80</v>
      </c>
      <c r="I1977" s="1">
        <v>6</v>
      </c>
      <c r="J1977" s="1">
        <v>50.49</v>
      </c>
      <c r="K1977" s="1">
        <v>0.05</v>
      </c>
      <c r="L1977" s="1">
        <v>287.79000000000002</v>
      </c>
      <c r="M1977" s="1" t="str">
        <f t="shared" si="60"/>
        <v>Marketplace</v>
      </c>
      <c r="N1977" s="1">
        <f t="shared" si="61"/>
        <v>267.12</v>
      </c>
    </row>
    <row r="1978" spans="1:14" x14ac:dyDescent="0.3">
      <c r="A1978" s="1" t="s">
        <v>81</v>
      </c>
      <c r="B1978" s="1" t="s">
        <v>76</v>
      </c>
      <c r="C1978" s="1" t="s">
        <v>54</v>
      </c>
      <c r="D1978" s="1" t="s">
        <v>15</v>
      </c>
      <c r="E1978" s="1" t="s">
        <v>28</v>
      </c>
      <c r="F1978" s="1" t="s">
        <v>82</v>
      </c>
      <c r="G1978" s="1" t="s">
        <v>83</v>
      </c>
      <c r="H1978" s="1" t="s">
        <v>71</v>
      </c>
      <c r="I1978" s="1">
        <v>2</v>
      </c>
      <c r="J1978" s="1">
        <v>3780</v>
      </c>
      <c r="K1978" s="1">
        <v>0.15</v>
      </c>
      <c r="L1978" s="1">
        <v>6426</v>
      </c>
      <c r="M1978" s="1" t="str">
        <f t="shared" si="60"/>
        <v>Online</v>
      </c>
      <c r="N1978" s="1">
        <f t="shared" si="61"/>
        <v>267.12</v>
      </c>
    </row>
    <row r="1979" spans="1:14" x14ac:dyDescent="0.3">
      <c r="A1979" s="1" t="s">
        <v>84</v>
      </c>
      <c r="B1979" s="1" t="s">
        <v>76</v>
      </c>
      <c r="C1979" s="1" t="s">
        <v>21</v>
      </c>
      <c r="D1979" s="1" t="s">
        <v>15</v>
      </c>
      <c r="E1979" s="1" t="s">
        <v>16</v>
      </c>
      <c r="F1979" s="1" t="s">
        <v>82</v>
      </c>
      <c r="G1979" s="1" t="s">
        <v>85</v>
      </c>
      <c r="H1979" s="1" t="s">
        <v>86</v>
      </c>
      <c r="I1979" s="1">
        <v>2</v>
      </c>
      <c r="J1979" s="1">
        <v>1684.8</v>
      </c>
      <c r="K1979" s="1">
        <v>0.05</v>
      </c>
      <c r="L1979" s="1">
        <v>3201.12</v>
      </c>
      <c r="M1979" s="1" t="str">
        <f t="shared" si="60"/>
        <v>Online</v>
      </c>
      <c r="N1979" s="1">
        <f t="shared" si="61"/>
        <v>405</v>
      </c>
    </row>
    <row r="1980" spans="1:14" x14ac:dyDescent="0.3">
      <c r="A1980" s="1" t="s">
        <v>87</v>
      </c>
      <c r="B1980" s="1" t="s">
        <v>76</v>
      </c>
      <c r="C1980" s="1" t="s">
        <v>47</v>
      </c>
      <c r="D1980" s="1" t="s">
        <v>15</v>
      </c>
      <c r="E1980" s="1" t="s">
        <v>28</v>
      </c>
      <c r="F1980" s="1" t="s">
        <v>29</v>
      </c>
      <c r="G1980" s="1" t="s">
        <v>88</v>
      </c>
      <c r="H1980" s="1" t="s">
        <v>49</v>
      </c>
      <c r="I1980" s="1">
        <v>2</v>
      </c>
      <c r="J1980" s="1">
        <v>56.75</v>
      </c>
      <c r="K1980" s="1">
        <v>0.05</v>
      </c>
      <c r="L1980" s="1">
        <v>107.82</v>
      </c>
      <c r="M1980" s="1" t="str">
        <f t="shared" si="60"/>
        <v>Retail Store</v>
      </c>
      <c r="N1980" s="1">
        <f t="shared" si="61"/>
        <v>421.2</v>
      </c>
    </row>
    <row r="1981" spans="1:14" x14ac:dyDescent="0.3">
      <c r="A1981" s="1" t="s">
        <v>89</v>
      </c>
      <c r="B1981" s="1" t="s">
        <v>76</v>
      </c>
      <c r="C1981" s="1" t="s">
        <v>54</v>
      </c>
      <c r="D1981" s="1" t="s">
        <v>27</v>
      </c>
      <c r="E1981" s="1" t="s">
        <v>16</v>
      </c>
      <c r="F1981" s="1" t="s">
        <v>29</v>
      </c>
      <c r="G1981" s="1" t="s">
        <v>55</v>
      </c>
      <c r="H1981" s="1" t="s">
        <v>71</v>
      </c>
      <c r="I1981" s="1">
        <v>4</v>
      </c>
      <c r="J1981" s="1">
        <v>34.880000000000003</v>
      </c>
      <c r="K1981" s="1">
        <v>0.08</v>
      </c>
      <c r="L1981" s="1">
        <v>128.37</v>
      </c>
      <c r="M1981" s="1" t="str">
        <f t="shared" si="60"/>
        <v>Online</v>
      </c>
      <c r="N1981" s="1">
        <f t="shared" si="61"/>
        <v>267.12</v>
      </c>
    </row>
    <row r="1982" spans="1:14" x14ac:dyDescent="0.3">
      <c r="A1982" s="1" t="s">
        <v>90</v>
      </c>
      <c r="B1982" s="1" t="s">
        <v>76</v>
      </c>
      <c r="C1982" s="1" t="s">
        <v>14</v>
      </c>
      <c r="D1982" s="1" t="s">
        <v>15</v>
      </c>
      <c r="E1982" s="1" t="s">
        <v>28</v>
      </c>
      <c r="F1982" s="1" t="s">
        <v>29</v>
      </c>
      <c r="G1982" s="1" t="s">
        <v>88</v>
      </c>
      <c r="H1982" s="1" t="s">
        <v>19</v>
      </c>
      <c r="I1982" s="1">
        <v>5</v>
      </c>
      <c r="J1982" s="1">
        <v>58.5</v>
      </c>
      <c r="K1982" s="1">
        <v>0.05</v>
      </c>
      <c r="L1982" s="1">
        <v>277.88</v>
      </c>
      <c r="M1982" s="1" t="str">
        <f t="shared" si="60"/>
        <v>Retail Store</v>
      </c>
      <c r="N1982" s="1">
        <f t="shared" si="61"/>
        <v>16.2</v>
      </c>
    </row>
    <row r="1983" spans="1:14" x14ac:dyDescent="0.3">
      <c r="A1983" s="1" t="s">
        <v>68</v>
      </c>
      <c r="B1983" s="1" t="s">
        <v>69</v>
      </c>
      <c r="C1983" s="1" t="s">
        <v>54</v>
      </c>
      <c r="D1983" s="1" t="s">
        <v>27</v>
      </c>
      <c r="E1983" s="1" t="s">
        <v>16</v>
      </c>
      <c r="F1983" s="1" t="s">
        <v>36</v>
      </c>
      <c r="G1983" s="1" t="s">
        <v>70</v>
      </c>
      <c r="H1983" s="1" t="s">
        <v>71</v>
      </c>
      <c r="I1983" s="1">
        <v>5</v>
      </c>
      <c r="J1983" s="1">
        <v>553.32000000000005</v>
      </c>
      <c r="K1983" s="1">
        <v>0.08</v>
      </c>
      <c r="L1983" s="1">
        <v>2545.27</v>
      </c>
      <c r="M1983" s="1" t="str">
        <f t="shared" si="60"/>
        <v>Online</v>
      </c>
      <c r="N1983" s="1">
        <f t="shared" si="61"/>
        <v>267.12</v>
      </c>
    </row>
    <row r="1984" spans="1:14" x14ac:dyDescent="0.3">
      <c r="A1984" s="1" t="s">
        <v>72</v>
      </c>
      <c r="B1984" s="1" t="s">
        <v>69</v>
      </c>
      <c r="C1984" s="1" t="s">
        <v>61</v>
      </c>
      <c r="D1984" s="1" t="s">
        <v>27</v>
      </c>
      <c r="E1984" s="1" t="s">
        <v>16</v>
      </c>
      <c r="F1984" s="1" t="s">
        <v>23</v>
      </c>
      <c r="G1984" s="1" t="s">
        <v>24</v>
      </c>
      <c r="H1984" s="1" t="s">
        <v>73</v>
      </c>
      <c r="I1984" s="1">
        <v>2</v>
      </c>
      <c r="J1984" s="1">
        <v>21.83</v>
      </c>
      <c r="K1984" s="1">
        <v>0.2</v>
      </c>
      <c r="L1984" s="1">
        <v>34.92</v>
      </c>
      <c r="M1984" s="1" t="str">
        <f t="shared" si="60"/>
        <v>Online</v>
      </c>
      <c r="N1984" s="1">
        <f t="shared" si="61"/>
        <v>62.01</v>
      </c>
    </row>
    <row r="1985" spans="1:14" x14ac:dyDescent="0.3">
      <c r="A1985" s="1" t="s">
        <v>74</v>
      </c>
      <c r="B1985" s="1" t="s">
        <v>69</v>
      </c>
      <c r="C1985" s="1" t="s">
        <v>54</v>
      </c>
      <c r="D1985" s="1" t="s">
        <v>15</v>
      </c>
      <c r="E1985" s="1" t="s">
        <v>16</v>
      </c>
      <c r="F1985" s="1" t="s">
        <v>17</v>
      </c>
      <c r="G1985" s="1" t="s">
        <v>62</v>
      </c>
      <c r="H1985" s="1" t="s">
        <v>71</v>
      </c>
      <c r="I1985" s="1">
        <v>5</v>
      </c>
      <c r="J1985" s="1">
        <v>54</v>
      </c>
      <c r="K1985" s="1">
        <v>0.08</v>
      </c>
      <c r="L1985" s="1">
        <v>248.4</v>
      </c>
      <c r="M1985" s="1" t="str">
        <f t="shared" si="60"/>
        <v>Online</v>
      </c>
      <c r="N1985" s="1">
        <f t="shared" si="61"/>
        <v>267.12</v>
      </c>
    </row>
    <row r="1986" spans="1:14" x14ac:dyDescent="0.3">
      <c r="A1986" s="1" t="s">
        <v>52</v>
      </c>
      <c r="B1986" s="1" t="s">
        <v>53</v>
      </c>
      <c r="C1986" s="1" t="s">
        <v>54</v>
      </c>
      <c r="D1986" s="1" t="s">
        <v>22</v>
      </c>
      <c r="E1986" s="1" t="s">
        <v>28</v>
      </c>
      <c r="F1986" s="1" t="s">
        <v>29</v>
      </c>
      <c r="G1986" s="1" t="s">
        <v>55</v>
      </c>
      <c r="H1986" s="1" t="s">
        <v>56</v>
      </c>
      <c r="I1986" s="1">
        <v>8</v>
      </c>
      <c r="J1986" s="1">
        <v>34.200000000000003</v>
      </c>
      <c r="K1986" s="1">
        <v>0.2</v>
      </c>
      <c r="L1986" s="1">
        <v>218.88</v>
      </c>
      <c r="M1986" s="1" t="str">
        <f t="shared" ref="M1986:M2001" si="62">INDEX(D:D,MATCH(H1986,H:H,0))</f>
        <v>Online</v>
      </c>
      <c r="N1986" s="1">
        <f t="shared" ref="N1986:N2001" si="63">VLOOKUP(C:C,C:J,8,FALSE)</f>
        <v>267.12</v>
      </c>
    </row>
    <row r="1987" spans="1:14" x14ac:dyDescent="0.3">
      <c r="A1987" s="1" t="s">
        <v>57</v>
      </c>
      <c r="B1987" s="1" t="s">
        <v>53</v>
      </c>
      <c r="C1987" s="1" t="s">
        <v>47</v>
      </c>
      <c r="D1987" s="1" t="s">
        <v>35</v>
      </c>
      <c r="E1987" s="1" t="s">
        <v>28</v>
      </c>
      <c r="F1987" s="1" t="s">
        <v>36</v>
      </c>
      <c r="G1987" s="1" t="s">
        <v>37</v>
      </c>
      <c r="H1987" s="1" t="s">
        <v>58</v>
      </c>
      <c r="I1987" s="1">
        <v>2</v>
      </c>
      <c r="J1987" s="1">
        <v>810.9</v>
      </c>
      <c r="K1987" s="1">
        <v>0.05</v>
      </c>
      <c r="L1987" s="1">
        <v>1540.71</v>
      </c>
      <c r="M1987" s="1" t="str">
        <f t="shared" si="62"/>
        <v>Corporate Sales</v>
      </c>
      <c r="N1987" s="1">
        <f t="shared" si="63"/>
        <v>421.2</v>
      </c>
    </row>
    <row r="1988" spans="1:14" x14ac:dyDescent="0.3">
      <c r="A1988" s="1" t="s">
        <v>59</v>
      </c>
      <c r="B1988" s="1" t="s">
        <v>53</v>
      </c>
      <c r="C1988" s="1" t="s">
        <v>21</v>
      </c>
      <c r="D1988" s="1" t="s">
        <v>15</v>
      </c>
      <c r="E1988" s="1" t="s">
        <v>16</v>
      </c>
      <c r="F1988" s="1" t="s">
        <v>29</v>
      </c>
      <c r="G1988" s="1" t="s">
        <v>55</v>
      </c>
      <c r="H1988" s="1" t="s">
        <v>44</v>
      </c>
      <c r="I1988" s="1">
        <v>6</v>
      </c>
      <c r="J1988" s="1">
        <v>33.17</v>
      </c>
      <c r="K1988" s="1">
        <v>0</v>
      </c>
      <c r="L1988" s="1">
        <v>199.04</v>
      </c>
      <c r="M1988" s="1" t="str">
        <f t="shared" si="62"/>
        <v>Retail Store</v>
      </c>
      <c r="N1988" s="1">
        <f t="shared" si="63"/>
        <v>405</v>
      </c>
    </row>
    <row r="1989" spans="1:14" x14ac:dyDescent="0.3">
      <c r="A1989" s="1" t="s">
        <v>60</v>
      </c>
      <c r="B1989" s="1" t="s">
        <v>53</v>
      </c>
      <c r="C1989" s="1" t="s">
        <v>61</v>
      </c>
      <c r="D1989" s="1" t="s">
        <v>15</v>
      </c>
      <c r="E1989" s="1" t="s">
        <v>16</v>
      </c>
      <c r="F1989" s="1" t="s">
        <v>17</v>
      </c>
      <c r="G1989" s="1" t="s">
        <v>62</v>
      </c>
      <c r="H1989" s="1" t="s">
        <v>63</v>
      </c>
      <c r="I1989" s="1">
        <v>7</v>
      </c>
      <c r="J1989" s="1">
        <v>51.3</v>
      </c>
      <c r="K1989" s="1">
        <v>0.2</v>
      </c>
      <c r="L1989" s="1">
        <v>287.27999999999997</v>
      </c>
      <c r="M1989" s="1" t="str">
        <f t="shared" si="62"/>
        <v>Retail Store</v>
      </c>
      <c r="N1989" s="1">
        <f t="shared" si="63"/>
        <v>62.01</v>
      </c>
    </row>
    <row r="1990" spans="1:14" x14ac:dyDescent="0.3">
      <c r="A1990" s="1" t="s">
        <v>64</v>
      </c>
      <c r="B1990" s="1" t="s">
        <v>53</v>
      </c>
      <c r="C1990" s="1" t="s">
        <v>54</v>
      </c>
      <c r="D1990" s="1" t="s">
        <v>15</v>
      </c>
      <c r="E1990" s="1" t="s">
        <v>16</v>
      </c>
      <c r="F1990" s="1" t="s">
        <v>42</v>
      </c>
      <c r="G1990" s="1" t="s">
        <v>65</v>
      </c>
      <c r="H1990" s="1" t="s">
        <v>56</v>
      </c>
      <c r="I1990" s="1">
        <v>6</v>
      </c>
      <c r="J1990" s="1">
        <v>675</v>
      </c>
      <c r="K1990" s="1">
        <v>0.03</v>
      </c>
      <c r="L1990" s="1">
        <v>3928.5</v>
      </c>
      <c r="M1990" s="1" t="str">
        <f t="shared" si="62"/>
        <v>Online</v>
      </c>
      <c r="N1990" s="1">
        <f t="shared" si="63"/>
        <v>267.12</v>
      </c>
    </row>
    <row r="1991" spans="1:14" x14ac:dyDescent="0.3">
      <c r="A1991" s="1" t="s">
        <v>66</v>
      </c>
      <c r="B1991" s="1" t="s">
        <v>53</v>
      </c>
      <c r="C1991" s="1" t="s">
        <v>61</v>
      </c>
      <c r="D1991" s="1" t="s">
        <v>15</v>
      </c>
      <c r="E1991" s="1" t="s">
        <v>16</v>
      </c>
      <c r="F1991" s="1" t="s">
        <v>42</v>
      </c>
      <c r="G1991" s="1" t="s">
        <v>67</v>
      </c>
      <c r="H1991" s="1" t="s">
        <v>63</v>
      </c>
      <c r="I1991" s="1">
        <v>4</v>
      </c>
      <c r="J1991" s="1">
        <v>257.04000000000002</v>
      </c>
      <c r="K1991" s="1">
        <v>0.15</v>
      </c>
      <c r="L1991" s="1">
        <v>873.94</v>
      </c>
      <c r="M1991" s="1" t="str">
        <f t="shared" si="62"/>
        <v>Retail Store</v>
      </c>
      <c r="N1991" s="1">
        <f t="shared" si="63"/>
        <v>62.01</v>
      </c>
    </row>
    <row r="1992" spans="1:14" x14ac:dyDescent="0.3">
      <c r="A1992" s="1" t="s">
        <v>12</v>
      </c>
      <c r="B1992" s="1" t="s">
        <v>13</v>
      </c>
      <c r="C1992" s="1" t="s">
        <v>14</v>
      </c>
      <c r="D1992" s="1" t="s">
        <v>15</v>
      </c>
      <c r="E1992" s="1" t="s">
        <v>16</v>
      </c>
      <c r="F1992" s="1" t="s">
        <v>17</v>
      </c>
      <c r="G1992" s="1" t="s">
        <v>18</v>
      </c>
      <c r="H1992" s="1" t="s">
        <v>19</v>
      </c>
      <c r="I1992" s="1">
        <v>3</v>
      </c>
      <c r="J1992" s="1">
        <v>81</v>
      </c>
      <c r="K1992" s="1">
        <v>0.1</v>
      </c>
      <c r="L1992" s="1">
        <v>218.7</v>
      </c>
      <c r="M1992" s="1" t="str">
        <f t="shared" si="62"/>
        <v>Retail Store</v>
      </c>
      <c r="N1992" s="1">
        <f t="shared" si="63"/>
        <v>16.2</v>
      </c>
    </row>
    <row r="1993" spans="1:14" x14ac:dyDescent="0.3">
      <c r="A1993" s="1" t="s">
        <v>20</v>
      </c>
      <c r="B1993" s="1" t="s">
        <v>13</v>
      </c>
      <c r="C1993" s="1" t="s">
        <v>21</v>
      </c>
      <c r="D1993" s="1" t="s">
        <v>22</v>
      </c>
      <c r="E1993" s="1" t="s">
        <v>16</v>
      </c>
      <c r="F1993" s="1" t="s">
        <v>23</v>
      </c>
      <c r="G1993" s="1" t="s">
        <v>24</v>
      </c>
      <c r="H1993" s="1" t="s">
        <v>25</v>
      </c>
      <c r="I1993" s="1">
        <v>3</v>
      </c>
      <c r="J1993" s="1">
        <v>23.85</v>
      </c>
      <c r="K1993" s="1">
        <v>0.05</v>
      </c>
      <c r="L1993" s="1">
        <v>67.97</v>
      </c>
      <c r="M1993" s="1" t="str">
        <f t="shared" si="62"/>
        <v>Marketplace</v>
      </c>
      <c r="N1993" s="1">
        <f t="shared" si="63"/>
        <v>405</v>
      </c>
    </row>
    <row r="1994" spans="1:14" x14ac:dyDescent="0.3">
      <c r="A1994" s="1" t="s">
        <v>26</v>
      </c>
      <c r="B1994" s="1" t="s">
        <v>13</v>
      </c>
      <c r="C1994" s="1" t="s">
        <v>14</v>
      </c>
      <c r="D1994" s="1" t="s">
        <v>27</v>
      </c>
      <c r="E1994" s="1" t="s">
        <v>28</v>
      </c>
      <c r="F1994" s="1" t="s">
        <v>29</v>
      </c>
      <c r="G1994" s="1" t="s">
        <v>30</v>
      </c>
      <c r="H1994" s="1" t="s">
        <v>31</v>
      </c>
      <c r="I1994" s="1">
        <v>6</v>
      </c>
      <c r="J1994" s="1">
        <v>49.5</v>
      </c>
      <c r="K1994" s="1">
        <v>0.05</v>
      </c>
      <c r="L1994" s="1">
        <v>282.14999999999998</v>
      </c>
      <c r="M1994" s="1" t="str">
        <f t="shared" si="62"/>
        <v>Online</v>
      </c>
      <c r="N1994" s="1">
        <f t="shared" si="63"/>
        <v>16.2</v>
      </c>
    </row>
    <row r="1995" spans="1:14" x14ac:dyDescent="0.3">
      <c r="A1995" s="1" t="s">
        <v>32</v>
      </c>
      <c r="B1995" s="1" t="s">
        <v>13</v>
      </c>
      <c r="C1995" s="1" t="s">
        <v>14</v>
      </c>
      <c r="D1995" s="1" t="s">
        <v>22</v>
      </c>
      <c r="E1995" s="1" t="s">
        <v>16</v>
      </c>
      <c r="F1995" s="1" t="s">
        <v>29</v>
      </c>
      <c r="G1995" s="1" t="s">
        <v>33</v>
      </c>
      <c r="H1995" s="1" t="s">
        <v>19</v>
      </c>
      <c r="I1995" s="1">
        <v>4</v>
      </c>
      <c r="J1995" s="1">
        <v>12.83</v>
      </c>
      <c r="K1995" s="1">
        <v>0.15</v>
      </c>
      <c r="L1995" s="1">
        <v>43.61</v>
      </c>
      <c r="M1995" s="1" t="str">
        <f t="shared" si="62"/>
        <v>Retail Store</v>
      </c>
      <c r="N1995" s="1">
        <f t="shared" si="63"/>
        <v>16.2</v>
      </c>
    </row>
    <row r="1996" spans="1:14" x14ac:dyDescent="0.3">
      <c r="A1996" s="1" t="s">
        <v>34</v>
      </c>
      <c r="B1996" s="1" t="s">
        <v>13</v>
      </c>
      <c r="C1996" s="1" t="s">
        <v>14</v>
      </c>
      <c r="D1996" s="1" t="s">
        <v>35</v>
      </c>
      <c r="E1996" s="1" t="s">
        <v>16</v>
      </c>
      <c r="F1996" s="1" t="s">
        <v>36</v>
      </c>
      <c r="G1996" s="1" t="s">
        <v>37</v>
      </c>
      <c r="H1996" s="1" t="s">
        <v>31</v>
      </c>
      <c r="I1996" s="1">
        <v>3</v>
      </c>
      <c r="J1996" s="1">
        <v>810.9</v>
      </c>
      <c r="K1996" s="1">
        <v>0.2</v>
      </c>
      <c r="L1996" s="1">
        <v>1946.16</v>
      </c>
      <c r="M1996" s="1" t="str">
        <f t="shared" si="62"/>
        <v>Online</v>
      </c>
      <c r="N1996" s="1">
        <f t="shared" si="63"/>
        <v>16.2</v>
      </c>
    </row>
    <row r="1997" spans="1:14" x14ac:dyDescent="0.3">
      <c r="A1997" s="1" t="s">
        <v>38</v>
      </c>
      <c r="B1997" s="1" t="s">
        <v>13</v>
      </c>
      <c r="C1997" s="1" t="s">
        <v>14</v>
      </c>
      <c r="D1997" s="1" t="s">
        <v>27</v>
      </c>
      <c r="E1997" s="1" t="s">
        <v>16</v>
      </c>
      <c r="F1997" s="1" t="s">
        <v>29</v>
      </c>
      <c r="G1997" s="1" t="s">
        <v>39</v>
      </c>
      <c r="H1997" s="1" t="s">
        <v>40</v>
      </c>
      <c r="I1997" s="1">
        <v>2</v>
      </c>
      <c r="J1997" s="1">
        <v>74.88</v>
      </c>
      <c r="K1997" s="1">
        <v>0.05</v>
      </c>
      <c r="L1997" s="1">
        <v>142.27000000000001</v>
      </c>
      <c r="M1997" s="1" t="str">
        <f t="shared" si="62"/>
        <v>Online</v>
      </c>
      <c r="N1997" s="1">
        <f t="shared" si="63"/>
        <v>16.2</v>
      </c>
    </row>
    <row r="1998" spans="1:14" x14ac:dyDescent="0.3">
      <c r="A1998" s="1" t="s">
        <v>41</v>
      </c>
      <c r="B1998" s="1" t="s">
        <v>13</v>
      </c>
      <c r="C1998" s="1" t="s">
        <v>21</v>
      </c>
      <c r="D1998" s="1" t="s">
        <v>27</v>
      </c>
      <c r="E1998" s="1" t="s">
        <v>28</v>
      </c>
      <c r="F1998" s="1" t="s">
        <v>42</v>
      </c>
      <c r="G1998" s="1" t="s">
        <v>43</v>
      </c>
      <c r="H1998" s="1" t="s">
        <v>44</v>
      </c>
      <c r="I1998" s="1">
        <v>7</v>
      </c>
      <c r="J1998" s="1">
        <v>162</v>
      </c>
      <c r="K1998" s="1">
        <v>0.03</v>
      </c>
      <c r="L1998" s="1">
        <v>1099.98</v>
      </c>
      <c r="M1998" s="1" t="str">
        <f t="shared" si="62"/>
        <v>Retail Store</v>
      </c>
      <c r="N1998" s="1">
        <f t="shared" si="63"/>
        <v>405</v>
      </c>
    </row>
    <row r="1999" spans="1:14" x14ac:dyDescent="0.3">
      <c r="A1999" s="1" t="s">
        <v>45</v>
      </c>
      <c r="B1999" s="1" t="s">
        <v>13</v>
      </c>
      <c r="C1999" s="1" t="s">
        <v>14</v>
      </c>
      <c r="D1999" s="1" t="s">
        <v>15</v>
      </c>
      <c r="E1999" s="1" t="s">
        <v>16</v>
      </c>
      <c r="F1999" s="1" t="s">
        <v>29</v>
      </c>
      <c r="G1999" s="1" t="s">
        <v>33</v>
      </c>
      <c r="H1999" s="1" t="s">
        <v>40</v>
      </c>
      <c r="I1999" s="1">
        <v>3</v>
      </c>
      <c r="J1999" s="1">
        <v>13.77</v>
      </c>
      <c r="K1999" s="1">
        <v>0.05</v>
      </c>
      <c r="L1999" s="1">
        <v>39.24</v>
      </c>
      <c r="M1999" s="1" t="str">
        <f t="shared" si="62"/>
        <v>Online</v>
      </c>
      <c r="N1999" s="1">
        <f t="shared" si="63"/>
        <v>16.2</v>
      </c>
    </row>
    <row r="2000" spans="1:14" x14ac:dyDescent="0.3">
      <c r="A2000" s="1" t="s">
        <v>46</v>
      </c>
      <c r="B2000" s="1" t="s">
        <v>13</v>
      </c>
      <c r="C2000" s="1" t="s">
        <v>47</v>
      </c>
      <c r="D2000" s="1" t="s">
        <v>22</v>
      </c>
      <c r="E2000" s="1" t="s">
        <v>16</v>
      </c>
      <c r="F2000" s="1" t="s">
        <v>42</v>
      </c>
      <c r="G2000" s="1" t="s">
        <v>48</v>
      </c>
      <c r="H2000" s="1" t="s">
        <v>49</v>
      </c>
      <c r="I2000" s="1">
        <v>5</v>
      </c>
      <c r="J2000" s="1">
        <v>17.46</v>
      </c>
      <c r="K2000" s="1">
        <v>0.08</v>
      </c>
      <c r="L2000" s="1">
        <v>80.319999999999993</v>
      </c>
      <c r="M2000" s="1" t="str">
        <f t="shared" si="62"/>
        <v>Retail Store</v>
      </c>
      <c r="N2000" s="1">
        <f t="shared" si="63"/>
        <v>421.2</v>
      </c>
    </row>
    <row r="2001" spans="1:14" x14ac:dyDescent="0.3">
      <c r="A2001" s="1" t="s">
        <v>50</v>
      </c>
      <c r="B2001" s="1" t="s">
        <v>13</v>
      </c>
      <c r="C2001" s="1" t="s">
        <v>14</v>
      </c>
      <c r="D2001" s="1" t="s">
        <v>15</v>
      </c>
      <c r="E2001" s="1" t="s">
        <v>28</v>
      </c>
      <c r="F2001" s="1" t="s">
        <v>29</v>
      </c>
      <c r="G2001" s="1" t="s">
        <v>51</v>
      </c>
      <c r="H2001" s="1" t="s">
        <v>40</v>
      </c>
      <c r="I2001" s="1">
        <v>2</v>
      </c>
      <c r="J2001" s="1">
        <v>41.31</v>
      </c>
      <c r="K2001" s="1">
        <v>0</v>
      </c>
      <c r="L2001" s="1">
        <v>82.62</v>
      </c>
      <c r="M2001" s="1" t="str">
        <f t="shared" si="62"/>
        <v>Online</v>
      </c>
      <c r="N2001" s="1">
        <f t="shared" si="63"/>
        <v>16.2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3D7A-FD48-448F-84F7-FE7A98365148}">
  <dimension ref="A1"/>
  <sheetViews>
    <sheetView tabSelected="1" topLeftCell="A24" zoomScale="40" zoomScaleNormal="40" workbookViewId="0">
      <selection activeCell="A36" sqref="A36"/>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F2C595-D30C-43EA-A6E4-2E920F6846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Armaan</dc:creator>
  <cp:lastModifiedBy>Armaan</cp:lastModifiedBy>
  <dcterms:created xsi:type="dcterms:W3CDTF">2026-09-25T16:50:04Z</dcterms:created>
  <dcterms:modified xsi:type="dcterms:W3CDTF">2026-09-29T14:03:25Z</dcterms:modified>
</cp:coreProperties>
</file>