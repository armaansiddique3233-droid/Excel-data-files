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Armaan\Downloads\"/>
    </mc:Choice>
  </mc:AlternateContent>
  <xr:revisionPtr revIDLastSave="0" documentId="13_ncr:1_{AD5DDDE1-9F8C-472A-9A09-2F32B3B577BF}" xr6:coauthVersionLast="47" xr6:coauthVersionMax="47" xr10:uidLastSave="{00000000-0000-0000-0000-000000000000}"/>
  <bookViews>
    <workbookView xWindow="-108" yWindow="-108" windowWidth="23256" windowHeight="12456" activeTab="2" xr2:uid="{062E2A61-6216-4FE1-923D-AE3DE8B3208B}"/>
  </bookViews>
  <sheets>
    <sheet name="Dashboard" sheetId="6" r:id="rId1"/>
    <sheet name="Pivot" sheetId="5" r:id="rId2"/>
    <sheet name="Data" sheetId="1" r:id="rId3"/>
  </sheets>
  <definedNames>
    <definedName name="Slicer_Category">#N/A</definedName>
    <definedName name="Slicer_Location">#N/A</definedName>
    <definedName name="Slicer_Status">#N/A</definedName>
  </definedNames>
  <calcPr calcId="191029"/>
  <pivotCaches>
    <pivotCache cacheId="131"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5" i="6" l="1"/>
  <c r="AF4" i="6"/>
  <c r="R63" i="5"/>
  <c r="Q63" i="5"/>
  <c r="R62" i="5"/>
  <c r="Q62" i="5"/>
  <c r="R61" i="5"/>
  <c r="Q61" i="5"/>
  <c r="O65" i="5"/>
  <c r="N65" i="5"/>
  <c r="O64" i="5"/>
  <c r="N64" i="5"/>
  <c r="O63" i="5"/>
  <c r="N63" i="5"/>
  <c r="O62" i="5"/>
  <c r="N62" i="5"/>
  <c r="O61" i="5"/>
  <c r="N61" i="5"/>
  <c r="L69" i="5"/>
  <c r="K69" i="5"/>
  <c r="L68" i="5"/>
  <c r="K68" i="5"/>
  <c r="L67" i="5"/>
  <c r="K67" i="5"/>
  <c r="L66" i="5"/>
  <c r="K66" i="5"/>
  <c r="L65" i="5"/>
  <c r="K65" i="5"/>
  <c r="L64" i="5"/>
  <c r="K64" i="5"/>
  <c r="L63" i="5"/>
  <c r="K63" i="5"/>
  <c r="L62" i="5"/>
  <c r="K62" i="5"/>
  <c r="L61" i="5"/>
  <c r="K61" i="5"/>
  <c r="I69" i="5"/>
  <c r="H69" i="5"/>
  <c r="I68" i="5"/>
  <c r="H68" i="5"/>
  <c r="I67" i="5"/>
  <c r="H67" i="5"/>
  <c r="I66" i="5"/>
  <c r="H66" i="5"/>
  <c r="I65" i="5"/>
  <c r="H65" i="5"/>
  <c r="I64" i="5"/>
  <c r="H64" i="5"/>
  <c r="I63" i="5"/>
  <c r="H63" i="5"/>
  <c r="I62" i="5"/>
  <c r="H62" i="5"/>
  <c r="I61" i="5"/>
  <c r="H61" i="5"/>
  <c r="F66" i="5"/>
  <c r="E66" i="5"/>
  <c r="F65" i="5"/>
  <c r="E65" i="5"/>
  <c r="F64" i="5"/>
  <c r="E64" i="5"/>
  <c r="F63" i="5"/>
  <c r="E63" i="5"/>
  <c r="F62" i="5"/>
  <c r="E62" i="5"/>
  <c r="F61" i="5"/>
  <c r="E61" i="5"/>
  <c r="B72" i="5"/>
  <c r="A72" i="5"/>
  <c r="B71" i="5"/>
  <c r="A71" i="5"/>
  <c r="B70" i="5"/>
  <c r="A70" i="5"/>
  <c r="B69" i="5"/>
  <c r="A69" i="5"/>
  <c r="B68" i="5"/>
  <c r="A68" i="5"/>
  <c r="B67" i="5"/>
  <c r="A67" i="5"/>
  <c r="B66" i="5"/>
  <c r="A66" i="5"/>
  <c r="B65" i="5"/>
  <c r="A65" i="5"/>
  <c r="B64" i="5"/>
  <c r="A64" i="5"/>
  <c r="B63" i="5"/>
  <c r="A63" i="5"/>
  <c r="B62" i="5"/>
  <c r="A62" i="5"/>
  <c r="B61" i="5"/>
  <c r="A61" i="5"/>
  <c r="S2"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R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AF3" i="6"/>
  <c r="AF7" i="6" s="1"/>
  <c r="AF2" i="6"/>
  <c r="AF6" i="6" l="1"/>
</calcChain>
</file>

<file path=xl/sharedStrings.xml><?xml version="1.0" encoding="utf-8"?>
<sst xmlns="http://schemas.openxmlformats.org/spreadsheetml/2006/main" count="775" uniqueCount="223">
  <si>
    <t>Project ID</t>
  </si>
  <si>
    <t>Start Date</t>
  </si>
  <si>
    <t>Category</t>
  </si>
  <si>
    <t>Sub Category</t>
  </si>
  <si>
    <t>Project Name</t>
  </si>
  <si>
    <t>Location</t>
  </si>
  <si>
    <t>Department</t>
  </si>
  <si>
    <t>Status</t>
  </si>
  <si>
    <t>Priority</t>
  </si>
  <si>
    <t>Budget (₹)</t>
  </si>
  <si>
    <t>Actual Cost (₹)</t>
  </si>
  <si>
    <t>Assigned To</t>
  </si>
  <si>
    <t>Progress (%)</t>
  </si>
  <si>
    <t>Due Date</t>
  </si>
  <si>
    <t>Month</t>
  </si>
  <si>
    <t>Month No</t>
  </si>
  <si>
    <t>Quarter</t>
  </si>
  <si>
    <t>Year</t>
  </si>
  <si>
    <t>Project Age (Years)</t>
  </si>
  <si>
    <t>PRJ-001</t>
  </si>
  <si>
    <t>R&amp;D</t>
  </si>
  <si>
    <t>Product</t>
  </si>
  <si>
    <t>New Product Line Development</t>
  </si>
  <si>
    <t>Nashik</t>
  </si>
  <si>
    <t>Production</t>
  </si>
  <si>
    <t>Completed</t>
  </si>
  <si>
    <t>High</t>
  </si>
  <si>
    <t>Priya Patel</t>
  </si>
  <si>
    <t>PRJ-002</t>
  </si>
  <si>
    <t>Operations</t>
  </si>
  <si>
    <t>Supply Chain</t>
  </si>
  <si>
    <t>Quality Improvement Drive</t>
  </si>
  <si>
    <t>Mumbai</t>
  </si>
  <si>
    <t>Active</t>
  </si>
  <si>
    <t>PRJ-003</t>
  </si>
  <si>
    <t>Construction</t>
  </si>
  <si>
    <t>Factory Expansion</t>
  </si>
  <si>
    <t>Site Development Phase 1</t>
  </si>
  <si>
    <t>Admin</t>
  </si>
  <si>
    <t>Planning</t>
  </si>
  <si>
    <t>Aarav Joshi</t>
  </si>
  <si>
    <t>PRJ-004</t>
  </si>
  <si>
    <t>IT</t>
  </si>
  <si>
    <t>Cybersecurity</t>
  </si>
  <si>
    <t>CRM Implementation</t>
  </si>
  <si>
    <t>Sales</t>
  </si>
  <si>
    <t>PRJ-005</t>
  </si>
  <si>
    <t>Office Fitout</t>
  </si>
  <si>
    <t>Interior Fitout - 2026</t>
  </si>
  <si>
    <t>Rohit Mehta</t>
  </si>
  <si>
    <t>PRJ-006</t>
  </si>
  <si>
    <t>Material Research Initiative</t>
  </si>
  <si>
    <t>Pune</t>
  </si>
  <si>
    <t>Medium</t>
  </si>
  <si>
    <t>Pooja Nair</t>
  </si>
  <si>
    <t>PRJ-007</t>
  </si>
  <si>
    <t>Supply Chain Optimization</t>
  </si>
  <si>
    <t>Delayed</t>
  </si>
  <si>
    <t>Sneha Gupta</t>
  </si>
  <si>
    <t>PRJ-008</t>
  </si>
  <si>
    <t>Process Improvement</t>
  </si>
  <si>
    <t>Logistics Network Redesign</t>
  </si>
  <si>
    <t>On Hold</t>
  </si>
  <si>
    <t>Meera Patel</t>
  </si>
  <si>
    <t>PRJ-009</t>
  </si>
  <si>
    <t>HR</t>
  </si>
  <si>
    <t>Employee Engagement</t>
  </si>
  <si>
    <t>Recruitment Drive 2022026</t>
  </si>
  <si>
    <t>Kolkata</t>
  </si>
  <si>
    <t>Low</t>
  </si>
  <si>
    <t>Ananya Sharma</t>
  </si>
  <si>
    <t>PRJ-010</t>
  </si>
  <si>
    <t>Marketing</t>
  </si>
  <si>
    <t>Brand</t>
  </si>
  <si>
    <t>Digital Marketing Drive</t>
  </si>
  <si>
    <t>PRJ-011</t>
  </si>
  <si>
    <t>PRJ-012</t>
  </si>
  <si>
    <t>Quality</t>
  </si>
  <si>
    <t>PRJ-013</t>
  </si>
  <si>
    <t>Prototype Testing Phase 2</t>
  </si>
  <si>
    <t>Vikram Reddy</t>
  </si>
  <si>
    <t>PRJ-014</t>
  </si>
  <si>
    <t>Infrastructure</t>
  </si>
  <si>
    <t>Legacy System Modernization</t>
  </si>
  <si>
    <t>Bangalore</t>
  </si>
  <si>
    <t>Rahul Sharma</t>
  </si>
  <si>
    <t>PRJ-015</t>
  </si>
  <si>
    <t>Warehouse Expansion</t>
  </si>
  <si>
    <t>Ahmedabad</t>
  </si>
  <si>
    <t>PRJ-016</t>
  </si>
  <si>
    <t>New Office Wing - 2024</t>
  </si>
  <si>
    <t>PRJ-017</t>
  </si>
  <si>
    <t>Chennai</t>
  </si>
  <si>
    <t>Neha Gupta</t>
  </si>
  <si>
    <t>PRJ-018</t>
  </si>
  <si>
    <t>Content</t>
  </si>
  <si>
    <t>PRJ-019</t>
  </si>
  <si>
    <t>PRJ-020</t>
  </si>
  <si>
    <t>Events</t>
  </si>
  <si>
    <t>PRJ-021</t>
  </si>
  <si>
    <t>Warehouse</t>
  </si>
  <si>
    <t>Divya Nair</t>
  </si>
  <si>
    <t>PRJ-022</t>
  </si>
  <si>
    <t>Software</t>
  </si>
  <si>
    <t>Security Audit 2026</t>
  </si>
  <si>
    <t>Logistics</t>
  </si>
  <si>
    <t>Karthik Iyer</t>
  </si>
  <si>
    <t>PRJ-023</t>
  </si>
  <si>
    <t>Innovation</t>
  </si>
  <si>
    <t>PRJ-024</t>
  </si>
  <si>
    <t>PRJ-025</t>
  </si>
  <si>
    <t>Training</t>
  </si>
  <si>
    <t>Recruitment Drive 2022025</t>
  </si>
  <si>
    <t>PRJ-026</t>
  </si>
  <si>
    <t>Brand Campaign Q2</t>
  </si>
  <si>
    <t>Hyderabad</t>
  </si>
  <si>
    <t>PRJ-027</t>
  </si>
  <si>
    <t>PRJ-028</t>
  </si>
  <si>
    <t>SEO</t>
  </si>
  <si>
    <t>Product Launch Campaign</t>
  </si>
  <si>
    <t>PRJ-029</t>
  </si>
  <si>
    <t>Interior Fitout - 2025</t>
  </si>
  <si>
    <t>PRJ-030</t>
  </si>
  <si>
    <t>Process</t>
  </si>
  <si>
    <t>PRJ-031</t>
  </si>
  <si>
    <t>Ananya Joshi</t>
  </si>
  <si>
    <t>PRJ-032</t>
  </si>
  <si>
    <t>PRJ-033</t>
  </si>
  <si>
    <t>Brand Campaign Q3</t>
  </si>
  <si>
    <t>PRJ-034</t>
  </si>
  <si>
    <t>Recruitment</t>
  </si>
  <si>
    <t>HR Policy Overhaul</t>
  </si>
  <si>
    <t>PRJ-035</t>
  </si>
  <si>
    <t>Policy</t>
  </si>
  <si>
    <t>Employee Engagement Initiative</t>
  </si>
  <si>
    <t>PRJ-036</t>
  </si>
  <si>
    <t>Factory Floor Upgrade</t>
  </si>
  <si>
    <t>PRJ-037</t>
  </si>
  <si>
    <t>SEO Optimization Project</t>
  </si>
  <si>
    <t>PRJ-038</t>
  </si>
  <si>
    <t>PRJ-039</t>
  </si>
  <si>
    <t>Data Center Upgrade</t>
  </si>
  <si>
    <t>PRJ-040</t>
  </si>
  <si>
    <t>Prototype</t>
  </si>
  <si>
    <t>PRJ-041</t>
  </si>
  <si>
    <t>Hardware</t>
  </si>
  <si>
    <t>Network Refresh 2024</t>
  </si>
  <si>
    <t>PRJ-042</t>
  </si>
  <si>
    <t>Site Development Phase 4</t>
  </si>
  <si>
    <t>Finance</t>
  </si>
  <si>
    <t>PRJ-043</t>
  </si>
  <si>
    <t>Process Automation Phase 4</t>
  </si>
  <si>
    <t>PRJ-044</t>
  </si>
  <si>
    <t>Content Strategy Overhaul</t>
  </si>
  <si>
    <t>PRJ-045</t>
  </si>
  <si>
    <t>PRJ-046</t>
  </si>
  <si>
    <t>PRJ-047</t>
  </si>
  <si>
    <t>PRJ-048</t>
  </si>
  <si>
    <t>Leadership Training Program</t>
  </si>
  <si>
    <t>PRJ-049</t>
  </si>
  <si>
    <t>Digital</t>
  </si>
  <si>
    <t>Delhi</t>
  </si>
  <si>
    <t>PRJ-050</t>
  </si>
  <si>
    <t>Arjun Singh</t>
  </si>
  <si>
    <t>PRJ-051</t>
  </si>
  <si>
    <t>PRJ-052</t>
  </si>
  <si>
    <t>Security Audit 2024</t>
  </si>
  <si>
    <t>PRJ-053</t>
  </si>
  <si>
    <t>Suresh Kumar</t>
  </si>
  <si>
    <t>PRJ-054</t>
  </si>
  <si>
    <t>PRJ-055</t>
  </si>
  <si>
    <t>PRJ-056</t>
  </si>
  <si>
    <t>PRJ-057</t>
  </si>
  <si>
    <t>PRJ-058</t>
  </si>
  <si>
    <t>PRJ-059</t>
  </si>
  <si>
    <t>PRJ-060</t>
  </si>
  <si>
    <t>PRJ-061</t>
  </si>
  <si>
    <t>Cloud Migration - 2024</t>
  </si>
  <si>
    <t>PRJ-062</t>
  </si>
  <si>
    <t>Prototype Testing Phase 1</t>
  </si>
  <si>
    <t>PRJ-063</t>
  </si>
  <si>
    <t>PRJ-064</t>
  </si>
  <si>
    <t>PRJ-065</t>
  </si>
  <si>
    <t>PRJ-066</t>
  </si>
  <si>
    <t>Cloud Migration - 2026</t>
  </si>
  <si>
    <t>PRJ-067</t>
  </si>
  <si>
    <t>PRJ-068</t>
  </si>
  <si>
    <t>PRJ-069</t>
  </si>
  <si>
    <t>BI Dashboard Project</t>
  </si>
  <si>
    <t>PRJ-070</t>
  </si>
  <si>
    <t>PRJ-071</t>
  </si>
  <si>
    <t>PRJ-072</t>
  </si>
  <si>
    <t>PRJ-073</t>
  </si>
  <si>
    <t>PRJ-074</t>
  </si>
  <si>
    <t>Process Innovation Project</t>
  </si>
  <si>
    <t>PRJ-075</t>
  </si>
  <si>
    <t>Jan</t>
  </si>
  <si>
    <t>Feb</t>
  </si>
  <si>
    <t>Mar</t>
  </si>
  <si>
    <t>Apr</t>
  </si>
  <si>
    <t>May</t>
  </si>
  <si>
    <t>Jun</t>
  </si>
  <si>
    <t>Jul</t>
  </si>
  <si>
    <t>Aug</t>
  </si>
  <si>
    <t>Sep</t>
  </si>
  <si>
    <t>Oct</t>
  </si>
  <si>
    <t>Nov</t>
  </si>
  <si>
    <t>Dec</t>
  </si>
  <si>
    <t>Monthly Actual Cost</t>
  </si>
  <si>
    <t>Sum of Actual</t>
  </si>
  <si>
    <t>Projects by Category</t>
  </si>
  <si>
    <t>Project Count</t>
  </si>
  <si>
    <t>Values</t>
  </si>
  <si>
    <t>Projects by Location</t>
  </si>
  <si>
    <t>Projects by Department</t>
  </si>
  <si>
    <t>Projects by Status</t>
  </si>
  <si>
    <t>Projects by Priority</t>
  </si>
  <si>
    <t>KPI Summary</t>
  </si>
  <si>
    <t>Total Projects</t>
  </si>
  <si>
    <t>Total Actual Cost</t>
  </si>
  <si>
    <t>Total Budget</t>
  </si>
  <si>
    <t>Actual Cost</t>
  </si>
  <si>
    <t>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</si>
</sst>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numFmt numFmtId="165" formatCode="\₹#,##0,&quot;K&quot;"/>
    <numFmt numFmtId="166" formatCode="0.0&quot; yrs&quot;"/>
    <numFmt numFmtId="167" formatCode="0.0%"/>
  </numFmts>
  <fonts count="3">
    <font>
      <sz val="11"/>
      <color theme="1"/>
      <name val="Aptos Narrow"/>
      <family val="2"/>
      <scheme val="minor"/>
    </font>
    <font>
      <b/>
      <sz val="11"/>
      <color theme="1"/>
      <name val="Aptos Narrow"/>
      <family val="2"/>
      <scheme val="minor"/>
    </font>
    <font>
      <sz val="20"/>
      <color theme="1"/>
      <name val="Aptos"/>
      <family val="2"/>
    </font>
  </fonts>
  <fills count="3">
    <fill>
      <patternFill patternType="none"/>
    </fill>
    <fill>
      <patternFill patternType="gray125"/>
    </fill>
    <fill>
      <patternFill patternType="solid">
        <fgColor rgb="FFF0F8F4"/>
        <bgColor indexed="64"/>
      </patternFill>
    </fill>
  </fills>
  <borders count="1">
    <border>
      <left/>
      <right/>
      <top/>
      <bottom/>
      <diagonal/>
    </border>
  </borders>
  <cellStyleXfs count="1">
    <xf numFmtId="0" fontId="0" fillId="0" borderId="0"/>
  </cellStyleXfs>
  <cellXfs count="15">
    <xf numFmtId="0" fontId="0" fillId="0" borderId="0" xfId="0"/>
    <xf numFmtId="0" fontId="1" fillId="0" borderId="0" xfId="0" applyFont="1" applyAlignment="1">
      <alignment horizontal="center" vertical="center" wrapText="1"/>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1" fillId="0" borderId="0" xfId="0" applyFont="1"/>
    <xf numFmtId="0" fontId="0" fillId="0" borderId="0" xfId="0" pivotButton="1"/>
    <xf numFmtId="0" fontId="0" fillId="0" borderId="0" xfId="0" applyNumberFormat="1"/>
    <xf numFmtId="165" fontId="0" fillId="0" borderId="0" xfId="0" applyNumberFormat="1"/>
    <xf numFmtId="3" fontId="0" fillId="0" borderId="0" xfId="0" applyNumberFormat="1"/>
    <xf numFmtId="0" fontId="2" fillId="2" borderId="0" xfId="0" applyFont="1" applyFill="1"/>
    <xf numFmtId="3" fontId="2" fillId="2" borderId="0" xfId="0" applyNumberFormat="1" applyFont="1" applyFill="1"/>
    <xf numFmtId="165" fontId="2" fillId="2" borderId="0" xfId="0" applyNumberFormat="1" applyFont="1" applyFill="1"/>
    <xf numFmtId="166" fontId="2" fillId="2" borderId="0" xfId="0" applyNumberFormat="1" applyFont="1" applyFill="1"/>
    <xf numFmtId="167" fontId="2" fillId="2" borderId="0" xfId="0" applyNumberFormat="1" applyFont="1" applyFill="1"/>
  </cellXfs>
  <cellStyles count="1">
    <cellStyle name="Normal" xfId="0" builtinId="0"/>
  </cellStyles>
  <dxfs count="28">
    <dxf>
      <numFmt numFmtId="3" formatCode="#,##0"/>
    </dxf>
    <dxf>
      <numFmt numFmtId="3" formatCode="#,##0"/>
    </dxf>
    <dxf>
      <numFmt numFmtId="3" formatCode="#,##0"/>
    </dxf>
    <dxf>
      <numFmt numFmtId="3" formatCode="#,##0"/>
    </dxf>
    <dxf>
      <numFmt numFmtId="165" formatCode="\₹#,##0,&quot;K&quot;"/>
    </dxf>
    <dxf>
      <numFmt numFmtId="3" formatCode="#,##0"/>
    </dxf>
    <dxf>
      <numFmt numFmtId="165" formatCode="\₹#,##0,&quot;K&quot;"/>
    </dxf>
    <dxf>
      <font>
        <b/>
        <i val="0"/>
        <strike val="0"/>
        <condense val="0"/>
        <extend val="0"/>
        <outline val="0"/>
        <shadow val="0"/>
        <u val="none"/>
        <vertAlign val="baseline"/>
        <sz val="11"/>
        <color theme="1"/>
        <name val="Aptos Narrow"/>
        <family val="2"/>
        <scheme val="minor"/>
      </font>
      <alignment horizontal="center" vertical="center" textRotation="0" wrapText="1" indent="0" justifyLastLine="0" shrinkToFit="0" readingOrder="0"/>
    </dxf>
    <dxf>
      <numFmt numFmtId="165" formatCode="\₹#,##0,&quot;K&quot;"/>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0,&quot;K&quot;"/>
      <alignment horizontal="center" vertical="center" textRotation="0" wrapText="0" indent="0" justifyLastLine="0" shrinkToFit="0" readingOrder="0"/>
    </dxf>
    <dxf>
      <alignment horizontal="center" vertical="center" textRotation="0" wrapText="0" indent="0" justifyLastLine="0" shrinkToFit="0" readingOrder="0"/>
    </dxf>
    <dxf>
      <numFmt numFmtId="164" formatCode="dd\-m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solidFill>
                  <a:schemeClr val="tx1"/>
                </a:solidFill>
              </a:defRPr>
            </a:pPr>
            <a:r>
              <a:rPr lang="en-US" sz="1000" b="1">
                <a:solidFill>
                  <a:schemeClr val="tx1"/>
                </a:solidFill>
              </a:rPr>
              <a:t>Monthly Actual Cost</a:t>
            </a:r>
          </a:p>
        </c:rich>
      </c:tx>
      <c:overlay val="0"/>
      <c:spPr>
        <a:noFill/>
        <a:extLst>
          <a:ext uri="{909E8E84-426E-40DD-AFC4-6F175D3DCCD1}">
            <a14:hiddenFill xmlns:a14="http://schemas.microsoft.com/office/drawing/2010/main">
              <a:solidFill>
                <a:srgbClr val="005F3C"/>
              </a:solidFill>
            </a14:hiddenFill>
          </a:ext>
        </a:extLst>
      </c:spPr>
    </c:title>
    <c:autoTitleDeleted val="0"/>
    <c:plotArea>
      <c:layout>
        <c:manualLayout>
          <c:xMode val="edge"/>
          <c:yMode val="edge"/>
          <c:x val="2.376836646499568E-2"/>
          <c:y val="0.21207473881596572"/>
          <c:w val="0.95246326707000861"/>
          <c:h val="0.68100053576212161"/>
        </c:manualLayout>
      </c:layout>
      <c:lineChart>
        <c:grouping val="standard"/>
        <c:varyColors val="0"/>
        <c:ser>
          <c:idx val="0"/>
          <c:order val="0"/>
          <c:tx>
            <c:strRef>
              <c:f>Pivot!$B$60</c:f>
              <c:strCache>
                <c:ptCount val="1"/>
                <c:pt idx="0">
                  <c:v>Actual Cost</c:v>
                </c:pt>
              </c:strCache>
            </c:strRef>
          </c:tx>
          <c:spPr>
            <a:ln w="25400">
              <a:solidFill>
                <a:srgbClr val="008C50"/>
              </a:solidFill>
            </a:ln>
          </c:spPr>
          <c:marker>
            <c:symbol val="circle"/>
            <c:size val="5"/>
            <c:spPr>
              <a:ln w="25400">
                <a:solidFill>
                  <a:srgbClr val="008C50"/>
                </a:solidFill>
              </a:ln>
            </c:spPr>
          </c:marker>
          <c:dLbls>
            <c:numFmt formatCode="#,##0" sourceLinked="0"/>
            <c:spPr>
              <a:noFill/>
              <a:ln>
                <a:noFill/>
              </a:ln>
              <a:effectLst/>
            </c:spPr>
            <c:txPr>
              <a:bodyPr wrap="square" lIns="38100" tIns="19050" rIns="38100" bIns="19050" anchor="ctr">
                <a:spAutoFit/>
              </a:bodyPr>
              <a:lstStyle/>
              <a:p>
                <a:pPr>
                  <a:defRPr sz="1000" b="1">
                    <a:solidFill>
                      <a:srgbClr val="283C28"/>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Pivot!$A$61:$A$72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Pivot!$B$61:$B$72</c:f>
              <c:numCache>
                <c:formatCode>\₹#,##0,"K"</c:formatCode>
                <c:ptCount val="12"/>
                <c:pt idx="0">
                  <c:v>135200</c:v>
                </c:pt>
                <c:pt idx="1">
                  <c:v>544600</c:v>
                </c:pt>
                <c:pt idx="2">
                  <c:v>326500</c:v>
                </c:pt>
                <c:pt idx="3">
                  <c:v>302800</c:v>
                </c:pt>
                <c:pt idx="4">
                  <c:v>389700</c:v>
                </c:pt>
                <c:pt idx="5">
                  <c:v>384900</c:v>
                </c:pt>
                <c:pt idx="6">
                  <c:v>207300</c:v>
                </c:pt>
                <c:pt idx="7">
                  <c:v>138400</c:v>
                </c:pt>
                <c:pt idx="8">
                  <c:v>450100</c:v>
                </c:pt>
                <c:pt idx="9">
                  <c:v>250900</c:v>
                </c:pt>
                <c:pt idx="10">
                  <c:v>313000</c:v>
                </c:pt>
                <c:pt idx="11">
                  <c:v>113300</c:v>
                </c:pt>
              </c:numCache>
            </c:numRef>
          </c:val>
          <c:smooth val="0"/>
          <c:extLst>
            <c:ext xmlns:c16="http://schemas.microsoft.com/office/drawing/2014/chart" uri="{C3380CC4-5D6E-409C-BE32-E72D297353CC}">
              <c16:uniqueId val="{00000000-B0B9-49FD-8F1D-87B4BF40B83B}"/>
            </c:ext>
          </c:extLst>
        </c:ser>
        <c:dLbls>
          <c:showLegendKey val="0"/>
          <c:showVal val="0"/>
          <c:showCatName val="0"/>
          <c:showSerName val="0"/>
          <c:showPercent val="0"/>
          <c:showBubbleSize val="0"/>
        </c:dLbls>
        <c:marker val="1"/>
        <c:smooth val="0"/>
        <c:axId val="841507904"/>
        <c:axId val="841511264"/>
      </c:lineChart>
      <c:catAx>
        <c:axId val="841507904"/>
        <c:scaling>
          <c:orientation val="minMax"/>
        </c:scaling>
        <c:delete val="0"/>
        <c:axPos val="b"/>
        <c:numFmt formatCode="General" sourceLinked="1"/>
        <c:majorTickMark val="out"/>
        <c:minorTickMark val="none"/>
        <c:tickLblPos val="nextTo"/>
        <c:crossAx val="841511264"/>
        <c:crosses val="autoZero"/>
        <c:auto val="1"/>
        <c:lblAlgn val="ctr"/>
        <c:lblOffset val="100"/>
        <c:noMultiLvlLbl val="0"/>
      </c:catAx>
      <c:valAx>
        <c:axId val="841511264"/>
        <c:scaling>
          <c:orientation val="minMax"/>
        </c:scaling>
        <c:delete val="0"/>
        <c:axPos val="l"/>
        <c:numFmt formatCode="\₹#,##0,&quot;K&quot;" sourceLinked="1"/>
        <c:majorTickMark val="out"/>
        <c:minorTickMark val="none"/>
        <c:tickLblPos val="nextTo"/>
        <c:crossAx val="841507904"/>
        <c:crosses val="autoZero"/>
        <c:crossBetween val="between"/>
      </c:valAx>
      <c:spPr>
        <a:solidFill>
          <a:srgbClr val="FFFFFF"/>
        </a:solidFill>
      </c:spPr>
    </c:plotArea>
    <c:legend>
      <c:legendPos val="t"/>
      <c:overlay val="0"/>
      <c:txPr>
        <a:bodyPr/>
        <a:lstStyle/>
        <a:p>
          <a:pPr>
            <a:defRPr sz="1000"/>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9525">
      <a:solidFill>
        <a:srgbClr val="008250"/>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solidFill>
                  <a:schemeClr val="tx1"/>
                </a:solidFill>
              </a:defRPr>
            </a:pPr>
            <a:r>
              <a:rPr lang="en-US" sz="1000" b="1">
                <a:solidFill>
                  <a:schemeClr val="tx1"/>
                </a:solidFill>
              </a:rPr>
              <a:t>Projects by Location</a:t>
            </a:r>
          </a:p>
        </c:rich>
      </c:tx>
      <c:overlay val="0"/>
      <c:spPr>
        <a:noFill/>
        <a:extLst>
          <a:ext uri="{909E8E84-426E-40DD-AFC4-6F175D3DCCD1}">
            <a14:hiddenFill xmlns:a14="http://schemas.microsoft.com/office/drawing/2010/main">
              <a:solidFill>
                <a:srgbClr val="005F3C"/>
              </a:solidFill>
            </a14:hiddenFill>
          </a:ext>
        </a:extLst>
      </c:spPr>
    </c:title>
    <c:autoTitleDeleted val="0"/>
    <c:plotArea>
      <c:layout>
        <c:manualLayout>
          <c:xMode val="edge"/>
          <c:yMode val="edge"/>
          <c:x val="6.0246821241585639E-2"/>
          <c:y val="0.19938447283076313"/>
          <c:w val="0.85671980179506357"/>
          <c:h val="0.78363889072738113"/>
        </c:manualLayout>
      </c:layout>
      <c:barChart>
        <c:barDir val="col"/>
        <c:grouping val="clustered"/>
        <c:varyColors val="0"/>
        <c:ser>
          <c:idx val="0"/>
          <c:order val="0"/>
          <c:tx>
            <c:strRef>
              <c:f>Pivot!$I$60</c:f>
              <c:strCache>
                <c:ptCount val="1"/>
                <c:pt idx="0">
                  <c:v>Count</c:v>
                </c:pt>
              </c:strCache>
            </c:strRef>
          </c:tx>
          <c:spPr>
            <a:solidFill>
              <a:srgbClr val="008250"/>
            </a:solidFill>
          </c:spPr>
          <c:invertIfNegative val="0"/>
          <c:dLbls>
            <c:numFmt formatCode="#,##0" sourceLinked="0"/>
            <c:spPr>
              <a:noFill/>
              <a:ln>
                <a:noFill/>
              </a:ln>
              <a:effectLst/>
            </c:spPr>
            <c:txPr>
              <a:bodyPr wrap="square" lIns="38100" tIns="19050" rIns="38100" bIns="19050" anchor="ctr">
                <a:spAutoFit/>
              </a:bodyPr>
              <a:lstStyle/>
              <a:p>
                <a:pPr>
                  <a:defRPr sz="1000" b="1">
                    <a:solidFill>
                      <a:srgbClr val="283C28"/>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Pivot!$H$61:$H$69</c:f>
              <c:strCache>
                <c:ptCount val="9"/>
                <c:pt idx="0">
                  <c:v>Ahmedabad</c:v>
                </c:pt>
                <c:pt idx="1">
                  <c:v>Bangalore</c:v>
                </c:pt>
                <c:pt idx="2">
                  <c:v>Chennai</c:v>
                </c:pt>
                <c:pt idx="3">
                  <c:v>Delhi</c:v>
                </c:pt>
                <c:pt idx="4">
                  <c:v>Hyderabad</c:v>
                </c:pt>
                <c:pt idx="5">
                  <c:v>Kolkata</c:v>
                </c:pt>
                <c:pt idx="6">
                  <c:v>Mumbai</c:v>
                </c:pt>
                <c:pt idx="7">
                  <c:v>Nashik</c:v>
                </c:pt>
                <c:pt idx="8">
                  <c:v>Pune</c:v>
                </c:pt>
              </c:strCache>
            </c:strRef>
          </c:cat>
          <c:val>
            <c:numRef>
              <c:f>Pivot!$I$61:$I$69</c:f>
              <c:numCache>
                <c:formatCode>#,##0</c:formatCode>
                <c:ptCount val="9"/>
                <c:pt idx="0">
                  <c:v>7</c:v>
                </c:pt>
                <c:pt idx="1">
                  <c:v>6</c:v>
                </c:pt>
                <c:pt idx="2">
                  <c:v>5</c:v>
                </c:pt>
                <c:pt idx="3">
                  <c:v>6</c:v>
                </c:pt>
                <c:pt idx="4">
                  <c:v>3</c:v>
                </c:pt>
                <c:pt idx="5">
                  <c:v>9</c:v>
                </c:pt>
                <c:pt idx="6">
                  <c:v>18</c:v>
                </c:pt>
                <c:pt idx="7">
                  <c:v>12</c:v>
                </c:pt>
                <c:pt idx="8">
                  <c:v>9</c:v>
                </c:pt>
              </c:numCache>
            </c:numRef>
          </c:val>
          <c:extLst>
            <c:ext xmlns:c16="http://schemas.microsoft.com/office/drawing/2014/chart" uri="{C3380CC4-5D6E-409C-BE32-E72D297353CC}">
              <c16:uniqueId val="{00000000-D211-4AF5-A80D-F868E726C208}"/>
            </c:ext>
          </c:extLst>
        </c:ser>
        <c:dLbls>
          <c:showLegendKey val="0"/>
          <c:showVal val="0"/>
          <c:showCatName val="0"/>
          <c:showSerName val="0"/>
          <c:showPercent val="0"/>
          <c:showBubbleSize val="0"/>
        </c:dLbls>
        <c:gapWidth val="150"/>
        <c:axId val="841508864"/>
        <c:axId val="841509344"/>
      </c:barChart>
      <c:catAx>
        <c:axId val="841508864"/>
        <c:scaling>
          <c:orientation val="minMax"/>
        </c:scaling>
        <c:delete val="0"/>
        <c:axPos val="b"/>
        <c:numFmt formatCode="General" sourceLinked="1"/>
        <c:majorTickMark val="out"/>
        <c:minorTickMark val="none"/>
        <c:tickLblPos val="nextTo"/>
        <c:crossAx val="841509344"/>
        <c:crosses val="autoZero"/>
        <c:auto val="1"/>
        <c:lblAlgn val="ctr"/>
        <c:lblOffset val="100"/>
        <c:noMultiLvlLbl val="0"/>
      </c:catAx>
      <c:valAx>
        <c:axId val="841509344"/>
        <c:scaling>
          <c:orientation val="minMax"/>
        </c:scaling>
        <c:delete val="0"/>
        <c:axPos val="l"/>
        <c:numFmt formatCode="#,##0" sourceLinked="1"/>
        <c:majorTickMark val="out"/>
        <c:minorTickMark val="none"/>
        <c:tickLblPos val="nextTo"/>
        <c:crossAx val="841508864"/>
        <c:crosses val="autoZero"/>
        <c:crossBetween val="between"/>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9525">
      <a:solidFill>
        <a:srgbClr val="008250"/>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solidFill>
                  <a:schemeClr val="tx1"/>
                </a:solidFill>
              </a:defRPr>
            </a:pPr>
            <a:r>
              <a:rPr lang="en-US" sz="1000" b="1">
                <a:solidFill>
                  <a:schemeClr val="tx1"/>
                </a:solidFill>
              </a:rPr>
              <a:t>Projects by Status</a:t>
            </a:r>
          </a:p>
        </c:rich>
      </c:tx>
      <c:overlay val="0"/>
      <c:spPr>
        <a:noFill/>
        <a:extLst>
          <a:ext uri="{909E8E84-426E-40DD-AFC4-6F175D3DCCD1}">
            <a14:hiddenFill xmlns:a14="http://schemas.microsoft.com/office/drawing/2010/main">
              <a:solidFill>
                <a:srgbClr val="005F3C"/>
              </a:solidFill>
            </a14:hiddenFill>
          </a:ext>
        </a:extLst>
      </c:spPr>
    </c:title>
    <c:autoTitleDeleted val="0"/>
    <c:plotArea>
      <c:layout>
        <c:manualLayout>
          <c:xMode val="edge"/>
          <c:yMode val="edge"/>
          <c:x val="0.17896512522874847"/>
          <c:y val="0.30824107063704909"/>
          <c:w val="0.53180267014203086"/>
          <c:h val="0.69175892936295091"/>
        </c:manualLayout>
      </c:layout>
      <c:pieChart>
        <c:varyColors val="1"/>
        <c:ser>
          <c:idx val="0"/>
          <c:order val="0"/>
          <c:tx>
            <c:strRef>
              <c:f>Pivot!$O$60</c:f>
              <c:strCache>
                <c:ptCount val="1"/>
                <c:pt idx="0">
                  <c:v>Count</c:v>
                </c:pt>
              </c:strCache>
            </c:strRef>
          </c:tx>
          <c:dPt>
            <c:idx val="0"/>
            <c:bubble3D val="0"/>
            <c:spPr>
              <a:solidFill>
                <a:srgbClr val="008050"/>
              </a:solidFill>
              <a:ln>
                <a:solidFill>
                  <a:srgbClr val="FFFFFF"/>
                </a:solidFill>
              </a:ln>
            </c:spPr>
            <c:extLst>
              <c:ext xmlns:c16="http://schemas.microsoft.com/office/drawing/2014/chart" uri="{C3380CC4-5D6E-409C-BE32-E72D297353CC}">
                <c16:uniqueId val="{00000001-3D6A-45EA-9D70-CB9235C6C63B}"/>
              </c:ext>
            </c:extLst>
          </c:dPt>
          <c:dPt>
            <c:idx val="1"/>
            <c:bubble3D val="0"/>
            <c:spPr>
              <a:solidFill>
                <a:srgbClr val="92D050"/>
              </a:solidFill>
              <a:ln>
                <a:solidFill>
                  <a:srgbClr val="FFFFFF"/>
                </a:solidFill>
              </a:ln>
            </c:spPr>
            <c:extLst>
              <c:ext xmlns:c16="http://schemas.microsoft.com/office/drawing/2014/chart" uri="{C3380CC4-5D6E-409C-BE32-E72D297353CC}">
                <c16:uniqueId val="{00000002-3D6A-45EA-9D70-CB9235C6C63B}"/>
              </c:ext>
            </c:extLst>
          </c:dPt>
          <c:dPt>
            <c:idx val="2"/>
            <c:bubble3D val="0"/>
            <c:spPr>
              <a:solidFill>
                <a:srgbClr val="A02B93">
                  <a:lumMod val="75000"/>
                </a:srgbClr>
              </a:solidFill>
              <a:ln>
                <a:solidFill>
                  <a:srgbClr val="FFFFFF"/>
                </a:solidFill>
              </a:ln>
            </c:spPr>
            <c:extLst>
              <c:ext xmlns:c16="http://schemas.microsoft.com/office/drawing/2014/chart" uri="{C3380CC4-5D6E-409C-BE32-E72D297353CC}">
                <c16:uniqueId val="{00000003-3D6A-45EA-9D70-CB9235C6C63B}"/>
              </c:ext>
            </c:extLst>
          </c:dPt>
          <c:dPt>
            <c:idx val="3"/>
            <c:bubble3D val="0"/>
            <c:spPr>
              <a:solidFill>
                <a:srgbClr val="0F9ED5">
                  <a:lumMod val="100000"/>
                </a:srgbClr>
              </a:solidFill>
              <a:ln>
                <a:solidFill>
                  <a:srgbClr val="FFFFFF"/>
                </a:solidFill>
              </a:ln>
            </c:spPr>
            <c:extLst>
              <c:ext xmlns:c16="http://schemas.microsoft.com/office/drawing/2014/chart" uri="{C3380CC4-5D6E-409C-BE32-E72D297353CC}">
                <c16:uniqueId val="{00000004-3D6A-45EA-9D70-CB9235C6C63B}"/>
              </c:ext>
            </c:extLst>
          </c:dPt>
          <c:dPt>
            <c:idx val="4"/>
            <c:bubble3D val="0"/>
            <c:spPr>
              <a:solidFill>
                <a:srgbClr val="FF0000"/>
              </a:solidFill>
              <a:ln>
                <a:solidFill>
                  <a:srgbClr val="FFFFFF"/>
                </a:solidFill>
              </a:ln>
            </c:spPr>
            <c:extLst>
              <c:ext xmlns:c16="http://schemas.microsoft.com/office/drawing/2014/chart" uri="{C3380CC4-5D6E-409C-BE32-E72D297353CC}">
                <c16:uniqueId val="{00000005-3D6A-45EA-9D70-CB9235C6C63B}"/>
              </c:ext>
            </c:extLst>
          </c:dPt>
          <c:dLbls>
            <c:numFmt formatCode="#,##0" sourceLinked="0"/>
            <c:spPr>
              <a:noFill/>
              <a:ln>
                <a:noFill/>
              </a:ln>
              <a:effectLst/>
            </c:spPr>
            <c:txPr>
              <a:bodyPr wrap="square" lIns="38100" tIns="19050" rIns="38100" bIns="19050" anchor="ctr">
                <a:spAutoFit/>
              </a:bodyPr>
              <a:lstStyle/>
              <a:p>
                <a:pPr>
                  <a:defRPr sz="1000" b="1">
                    <a:solidFill>
                      <a:schemeClr val="bg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Pivot!$N$61:$N$65</c:f>
              <c:strCache>
                <c:ptCount val="5"/>
                <c:pt idx="0">
                  <c:v>Active</c:v>
                </c:pt>
                <c:pt idx="1">
                  <c:v>Completed</c:v>
                </c:pt>
                <c:pt idx="2">
                  <c:v>Delayed</c:v>
                </c:pt>
                <c:pt idx="3">
                  <c:v>On Hold</c:v>
                </c:pt>
                <c:pt idx="4">
                  <c:v>Planning</c:v>
                </c:pt>
              </c:strCache>
            </c:strRef>
          </c:cat>
          <c:val>
            <c:numRef>
              <c:f>Pivot!$O$61:$O$65</c:f>
              <c:numCache>
                <c:formatCode>#,##0</c:formatCode>
                <c:ptCount val="5"/>
                <c:pt idx="0">
                  <c:v>37</c:v>
                </c:pt>
                <c:pt idx="1">
                  <c:v>9</c:v>
                </c:pt>
                <c:pt idx="2">
                  <c:v>15</c:v>
                </c:pt>
                <c:pt idx="3">
                  <c:v>6</c:v>
                </c:pt>
                <c:pt idx="4">
                  <c:v>8</c:v>
                </c:pt>
              </c:numCache>
            </c:numRef>
          </c:val>
          <c:extLst>
            <c:ext xmlns:c16="http://schemas.microsoft.com/office/drawing/2014/chart" uri="{C3380CC4-5D6E-409C-BE32-E72D297353CC}">
              <c16:uniqueId val="{00000000-3D6A-45EA-9D70-CB9235C6C63B}"/>
            </c:ext>
          </c:extLst>
        </c:ser>
        <c:dLbls>
          <c:showLegendKey val="0"/>
          <c:showVal val="0"/>
          <c:showCatName val="0"/>
          <c:showSerName val="0"/>
          <c:showPercent val="0"/>
          <c:showBubbleSize val="0"/>
          <c:showLeaderLines val="0"/>
        </c:dLbls>
        <c:firstSliceAng val="0"/>
      </c:pieChart>
      <c:spPr>
        <a:solidFill>
          <a:srgbClr val="FFFFFF"/>
        </a:solidFill>
      </c:spPr>
    </c:plotArea>
    <c:legend>
      <c:legendPos val="r"/>
      <c:layout>
        <c:manualLayout>
          <c:xMode val="edge"/>
          <c:yMode val="edge"/>
          <c:x val="0.62526285701148199"/>
          <c:y val="0.17840413861893392"/>
          <c:w val="0.30413564214455496"/>
          <c:h val="0.8012265314102881"/>
        </c:manualLayout>
      </c:layout>
      <c:overlay val="0"/>
      <c:txPr>
        <a:bodyPr/>
        <a:lstStyle/>
        <a:p>
          <a:pPr>
            <a:defRPr sz="1000" b="1"/>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9525">
      <a:solidFill>
        <a:srgbClr val="008250"/>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solidFill>
                  <a:schemeClr val="tx1"/>
                </a:solidFill>
              </a:defRPr>
            </a:pPr>
            <a:r>
              <a:rPr lang="en-US" sz="1000" b="1">
                <a:solidFill>
                  <a:schemeClr val="tx1"/>
                </a:solidFill>
              </a:rPr>
              <a:t>Projects by Category</a:t>
            </a:r>
          </a:p>
        </c:rich>
      </c:tx>
      <c:overlay val="0"/>
      <c:spPr>
        <a:noFill/>
        <a:extLst>
          <a:ext uri="{909E8E84-426E-40DD-AFC4-6F175D3DCCD1}">
            <a14:hiddenFill xmlns:a14="http://schemas.microsoft.com/office/drawing/2010/main">
              <a:solidFill>
                <a:srgbClr val="005F3C"/>
              </a:solidFill>
            </a14:hiddenFill>
          </a:ext>
        </a:extLst>
      </c:spPr>
    </c:title>
    <c:autoTitleDeleted val="0"/>
    <c:plotArea>
      <c:layout>
        <c:manualLayout>
          <c:xMode val="edge"/>
          <c:yMode val="edge"/>
          <c:x val="0.16139133979611059"/>
          <c:y val="0.30599091078098511"/>
          <c:w val="0.53127536049868451"/>
          <c:h val="0.69400908921901483"/>
        </c:manualLayout>
      </c:layout>
      <c:doughnutChart>
        <c:varyColors val="1"/>
        <c:ser>
          <c:idx val="0"/>
          <c:order val="0"/>
          <c:tx>
            <c:strRef>
              <c:f>Pivot!$F$60</c:f>
              <c:strCache>
                <c:ptCount val="1"/>
                <c:pt idx="0">
                  <c:v>Count</c:v>
                </c:pt>
              </c:strCache>
            </c:strRef>
          </c:tx>
          <c:dPt>
            <c:idx val="0"/>
            <c:bubble3D val="0"/>
            <c:spPr>
              <a:solidFill>
                <a:srgbClr val="008050"/>
              </a:solidFill>
              <a:ln>
                <a:solidFill>
                  <a:srgbClr val="FFFFFF"/>
                </a:solidFill>
              </a:ln>
            </c:spPr>
            <c:extLst>
              <c:ext xmlns:c16="http://schemas.microsoft.com/office/drawing/2014/chart" uri="{C3380CC4-5D6E-409C-BE32-E72D297353CC}">
                <c16:uniqueId val="{00000001-0399-46CB-91C1-24C93F5F6FDF}"/>
              </c:ext>
            </c:extLst>
          </c:dPt>
          <c:dPt>
            <c:idx val="1"/>
            <c:bubble3D val="0"/>
            <c:spPr>
              <a:solidFill>
                <a:srgbClr val="2EA064"/>
              </a:solidFill>
              <a:ln>
                <a:solidFill>
                  <a:srgbClr val="FFFFFF"/>
                </a:solidFill>
              </a:ln>
            </c:spPr>
            <c:extLst>
              <c:ext xmlns:c16="http://schemas.microsoft.com/office/drawing/2014/chart" uri="{C3380CC4-5D6E-409C-BE32-E72D297353CC}">
                <c16:uniqueId val="{00000002-0399-46CB-91C1-24C93F5F6FDF}"/>
              </c:ext>
            </c:extLst>
          </c:dPt>
          <c:dPt>
            <c:idx val="2"/>
            <c:bubble3D val="0"/>
            <c:spPr>
              <a:solidFill>
                <a:srgbClr val="006446"/>
              </a:solidFill>
              <a:ln>
                <a:solidFill>
                  <a:srgbClr val="FFFFFF"/>
                </a:solidFill>
              </a:ln>
            </c:spPr>
            <c:extLst>
              <c:ext xmlns:c16="http://schemas.microsoft.com/office/drawing/2014/chart" uri="{C3380CC4-5D6E-409C-BE32-E72D297353CC}">
                <c16:uniqueId val="{00000003-0399-46CB-91C1-24C93F5F6FDF}"/>
              </c:ext>
            </c:extLst>
          </c:dPt>
          <c:dPt>
            <c:idx val="3"/>
            <c:bubble3D val="0"/>
            <c:spPr>
              <a:solidFill>
                <a:srgbClr val="50AA78"/>
              </a:solidFill>
              <a:ln>
                <a:solidFill>
                  <a:srgbClr val="FFFFFF"/>
                </a:solidFill>
              </a:ln>
            </c:spPr>
            <c:extLst>
              <c:ext xmlns:c16="http://schemas.microsoft.com/office/drawing/2014/chart" uri="{C3380CC4-5D6E-409C-BE32-E72D297353CC}">
                <c16:uniqueId val="{00000004-0399-46CB-91C1-24C93F5F6FDF}"/>
              </c:ext>
            </c:extLst>
          </c:dPt>
          <c:dPt>
            <c:idx val="4"/>
            <c:bubble3D val="0"/>
            <c:spPr>
              <a:solidFill>
                <a:srgbClr val="145A3C"/>
              </a:solidFill>
              <a:ln>
                <a:solidFill>
                  <a:srgbClr val="FFFFFF"/>
                </a:solidFill>
              </a:ln>
            </c:spPr>
            <c:extLst>
              <c:ext xmlns:c16="http://schemas.microsoft.com/office/drawing/2014/chart" uri="{C3380CC4-5D6E-409C-BE32-E72D297353CC}">
                <c16:uniqueId val="{00000005-0399-46CB-91C1-24C93F5F6FDF}"/>
              </c:ext>
            </c:extLst>
          </c:dPt>
          <c:dPt>
            <c:idx val="5"/>
            <c:bubble3D val="0"/>
            <c:spPr>
              <a:solidFill>
                <a:srgbClr val="64B482"/>
              </a:solidFill>
              <a:ln>
                <a:solidFill>
                  <a:srgbClr val="FFFFFF"/>
                </a:solidFill>
              </a:ln>
            </c:spPr>
            <c:extLst>
              <c:ext xmlns:c16="http://schemas.microsoft.com/office/drawing/2014/chart" uri="{C3380CC4-5D6E-409C-BE32-E72D297353CC}">
                <c16:uniqueId val="{00000006-0399-46CB-91C1-24C93F5F6FDF}"/>
              </c:ext>
            </c:extLst>
          </c:dPt>
          <c:dLbls>
            <c:numFmt formatCode="#,##0" sourceLinked="0"/>
            <c:spPr>
              <a:noFill/>
              <a:ln>
                <a:noFill/>
              </a:ln>
              <a:effectLst/>
            </c:spPr>
            <c:txPr>
              <a:bodyPr wrap="square" lIns="38100" tIns="19050" rIns="38100" bIns="19050" anchor="ctr">
                <a:spAutoFit/>
              </a:bodyPr>
              <a:lstStyle/>
              <a:p>
                <a:pPr>
                  <a:defRPr sz="1000" b="1">
                    <a:solidFill>
                      <a:schemeClr val="bg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Pivot!$E$61:$E$66</c:f>
              <c:strCache>
                <c:ptCount val="6"/>
                <c:pt idx="0">
                  <c:v>Construction</c:v>
                </c:pt>
                <c:pt idx="1">
                  <c:v>HR</c:v>
                </c:pt>
                <c:pt idx="2">
                  <c:v>IT</c:v>
                </c:pt>
                <c:pt idx="3">
                  <c:v>Marketing</c:v>
                </c:pt>
                <c:pt idx="4">
                  <c:v>Operations</c:v>
                </c:pt>
                <c:pt idx="5">
                  <c:v>R&amp;D</c:v>
                </c:pt>
              </c:strCache>
            </c:strRef>
          </c:cat>
          <c:val>
            <c:numRef>
              <c:f>Pivot!$F$61:$F$66</c:f>
              <c:numCache>
                <c:formatCode>#,##0</c:formatCode>
                <c:ptCount val="6"/>
                <c:pt idx="0">
                  <c:v>12</c:v>
                </c:pt>
                <c:pt idx="1">
                  <c:v>7</c:v>
                </c:pt>
                <c:pt idx="2">
                  <c:v>11</c:v>
                </c:pt>
                <c:pt idx="3">
                  <c:v>16</c:v>
                </c:pt>
                <c:pt idx="4">
                  <c:v>14</c:v>
                </c:pt>
                <c:pt idx="5">
                  <c:v>15</c:v>
                </c:pt>
              </c:numCache>
            </c:numRef>
          </c:val>
          <c:extLst>
            <c:ext xmlns:c16="http://schemas.microsoft.com/office/drawing/2014/chart" uri="{C3380CC4-5D6E-409C-BE32-E72D297353CC}">
              <c16:uniqueId val="{00000000-0399-46CB-91C1-24C93F5F6FDF}"/>
            </c:ext>
          </c:extLst>
        </c:ser>
        <c:dLbls>
          <c:showLegendKey val="0"/>
          <c:showVal val="0"/>
          <c:showCatName val="0"/>
          <c:showSerName val="0"/>
          <c:showPercent val="0"/>
          <c:showBubbleSize val="0"/>
          <c:showLeaderLines val="0"/>
        </c:dLbls>
        <c:firstSliceAng val="0"/>
        <c:holeSize val="45"/>
      </c:doughnutChart>
      <c:spPr>
        <a:solidFill>
          <a:srgbClr val="FFFFFF"/>
        </a:solidFill>
      </c:spPr>
    </c:plotArea>
    <c:legend>
      <c:legendPos val="r"/>
      <c:layout>
        <c:manualLayout>
          <c:xMode val="edge"/>
          <c:yMode val="edge"/>
          <c:x val="0.60783113326449867"/>
          <c:y val="0.18531000357009866"/>
          <c:w val="0.32156300796060155"/>
          <c:h val="0.79397678832605145"/>
        </c:manualLayout>
      </c:layout>
      <c:overlay val="0"/>
      <c:txPr>
        <a:bodyPr/>
        <a:lstStyle/>
        <a:p>
          <a:pPr>
            <a:defRPr sz="1000" b="1"/>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9525">
      <a:solidFill>
        <a:srgbClr val="008250"/>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solidFill>
                  <a:schemeClr val="tx1"/>
                </a:solidFill>
              </a:defRPr>
            </a:pPr>
            <a:r>
              <a:rPr lang="en-IN" sz="1000" b="1">
                <a:solidFill>
                  <a:schemeClr val="tx1"/>
                </a:solidFill>
              </a:rPr>
              <a:t>Projects by Department</a:t>
            </a:r>
          </a:p>
        </c:rich>
      </c:tx>
      <c:layout>
        <c:manualLayout>
          <c:xMode val="edge"/>
          <c:yMode val="edge"/>
          <c:x val="0.32539280674770082"/>
          <c:y val="5.6081317910970908E-2"/>
        </c:manualLayout>
      </c:layout>
      <c:overlay val="0"/>
      <c:spPr>
        <a:noFill/>
        <a:extLst>
          <a:ext uri="{909E8E84-426E-40DD-AFC4-6F175D3DCCD1}">
            <a14:hiddenFill xmlns:a14="http://schemas.microsoft.com/office/drawing/2010/main">
              <a:solidFill>
                <a:srgbClr val="005F3C"/>
              </a:solidFill>
            </a14:hiddenFill>
          </a:ext>
        </a:extLst>
      </c:spPr>
    </c:title>
    <c:autoTitleDeleted val="0"/>
    <c:plotArea>
      <c:layout>
        <c:manualLayout>
          <c:xMode val="edge"/>
          <c:yMode val="edge"/>
          <c:x val="7.9671663403134682E-2"/>
          <c:y val="0.18935856992639324"/>
          <c:w val="0.70352642942377097"/>
          <c:h val="0.78283911671924289"/>
        </c:manualLayout>
      </c:layout>
      <c:barChart>
        <c:barDir val="bar"/>
        <c:grouping val="clustered"/>
        <c:varyColors val="0"/>
        <c:ser>
          <c:idx val="0"/>
          <c:order val="0"/>
          <c:tx>
            <c:strRef>
              <c:f>Pivot!$L$60</c:f>
              <c:strCache>
                <c:ptCount val="1"/>
                <c:pt idx="0">
                  <c:v>Count</c:v>
                </c:pt>
              </c:strCache>
            </c:strRef>
          </c:tx>
          <c:spPr>
            <a:solidFill>
              <a:srgbClr val="00784B"/>
            </a:solidFill>
          </c:spPr>
          <c:invertIfNegative val="0"/>
          <c:dLbls>
            <c:numFmt formatCode="#,##0" sourceLinked="0"/>
            <c:spPr>
              <a:noFill/>
              <a:ln>
                <a:noFill/>
              </a:ln>
              <a:effectLst/>
            </c:spPr>
            <c:txPr>
              <a:bodyPr wrap="square" lIns="38100" tIns="19050" rIns="38100" bIns="19050" anchor="ctr">
                <a:spAutoFit/>
              </a:bodyPr>
              <a:lstStyle/>
              <a:p>
                <a:pPr>
                  <a:defRPr sz="1000" b="1">
                    <a:solidFill>
                      <a:srgbClr val="283C28"/>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Pivot!$K$61:$K$69</c:f>
              <c:strCache>
                <c:ptCount val="9"/>
                <c:pt idx="0">
                  <c:v>Admin</c:v>
                </c:pt>
                <c:pt idx="1">
                  <c:v>Finance</c:v>
                </c:pt>
                <c:pt idx="2">
                  <c:v>HR</c:v>
                </c:pt>
                <c:pt idx="3">
                  <c:v>IT</c:v>
                </c:pt>
                <c:pt idx="4">
                  <c:v>Logistics</c:v>
                </c:pt>
                <c:pt idx="5">
                  <c:v>Operations</c:v>
                </c:pt>
                <c:pt idx="6">
                  <c:v>Production</c:v>
                </c:pt>
                <c:pt idx="7">
                  <c:v>R&amp;D</c:v>
                </c:pt>
                <c:pt idx="8">
                  <c:v>Sales</c:v>
                </c:pt>
              </c:strCache>
            </c:strRef>
          </c:cat>
          <c:val>
            <c:numRef>
              <c:f>Pivot!$L$61:$L$69</c:f>
              <c:numCache>
                <c:formatCode>#,##0</c:formatCode>
                <c:ptCount val="9"/>
                <c:pt idx="0">
                  <c:v>6</c:v>
                </c:pt>
                <c:pt idx="1">
                  <c:v>9</c:v>
                </c:pt>
                <c:pt idx="2">
                  <c:v>7</c:v>
                </c:pt>
                <c:pt idx="3">
                  <c:v>11</c:v>
                </c:pt>
                <c:pt idx="4">
                  <c:v>4</c:v>
                </c:pt>
                <c:pt idx="5">
                  <c:v>11</c:v>
                </c:pt>
                <c:pt idx="6">
                  <c:v>8</c:v>
                </c:pt>
                <c:pt idx="7">
                  <c:v>10</c:v>
                </c:pt>
                <c:pt idx="8">
                  <c:v>9</c:v>
                </c:pt>
              </c:numCache>
            </c:numRef>
          </c:val>
          <c:extLst>
            <c:ext xmlns:c16="http://schemas.microsoft.com/office/drawing/2014/chart" uri="{C3380CC4-5D6E-409C-BE32-E72D297353CC}">
              <c16:uniqueId val="{00000000-170C-4EBE-A57D-FFC02EC7FFD2}"/>
            </c:ext>
          </c:extLst>
        </c:ser>
        <c:dLbls>
          <c:showLegendKey val="0"/>
          <c:showVal val="0"/>
          <c:showCatName val="0"/>
          <c:showSerName val="0"/>
          <c:showPercent val="0"/>
          <c:showBubbleSize val="0"/>
        </c:dLbls>
        <c:gapWidth val="35"/>
        <c:axId val="981879488"/>
        <c:axId val="981881888"/>
      </c:barChart>
      <c:catAx>
        <c:axId val="981879488"/>
        <c:scaling>
          <c:orientation val="minMax"/>
        </c:scaling>
        <c:delete val="0"/>
        <c:axPos val="l"/>
        <c:numFmt formatCode="General" sourceLinked="1"/>
        <c:majorTickMark val="out"/>
        <c:minorTickMark val="none"/>
        <c:tickLblPos val="nextTo"/>
        <c:crossAx val="981881888"/>
        <c:crosses val="autoZero"/>
        <c:auto val="1"/>
        <c:lblAlgn val="ctr"/>
        <c:lblOffset val="100"/>
        <c:noMultiLvlLbl val="0"/>
      </c:catAx>
      <c:valAx>
        <c:axId val="981881888"/>
        <c:scaling>
          <c:orientation val="minMax"/>
        </c:scaling>
        <c:delete val="0"/>
        <c:axPos val="b"/>
        <c:numFmt formatCode="#,##0" sourceLinked="1"/>
        <c:majorTickMark val="out"/>
        <c:minorTickMark val="none"/>
        <c:tickLblPos val="nextTo"/>
        <c:crossAx val="981879488"/>
        <c:crosses val="autoZero"/>
        <c:crossBetween val="between"/>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9525">
      <a:solidFill>
        <a:srgbClr val="008250"/>
      </a:solid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a:solidFill>
                  <a:schemeClr val="tx1"/>
                </a:solidFill>
              </a:defRPr>
            </a:pPr>
            <a:r>
              <a:rPr lang="en-IN" sz="1000" b="1">
                <a:solidFill>
                  <a:schemeClr val="tx1"/>
                </a:solidFill>
              </a:rPr>
              <a:t>Projects by Priority</a:t>
            </a:r>
          </a:p>
        </c:rich>
      </c:tx>
      <c:overlay val="0"/>
      <c:spPr>
        <a:noFill/>
        <a:extLst>
          <a:ext uri="{909E8E84-426E-40DD-AFC4-6F175D3DCCD1}">
            <a14:hiddenFill xmlns:a14="http://schemas.microsoft.com/office/drawing/2010/main">
              <a:solidFill>
                <a:srgbClr val="005F3C"/>
              </a:solidFill>
            </a14:hiddenFill>
          </a:ext>
        </a:extLst>
      </c:spPr>
    </c:title>
    <c:autoTitleDeleted val="0"/>
    <c:plotArea>
      <c:layout>
        <c:manualLayout>
          <c:xMode val="edge"/>
          <c:yMode val="edge"/>
          <c:x val="3.3873970457984515E-2"/>
          <c:y val="0.18935856992639324"/>
          <c:w val="0.75366737275829909"/>
          <c:h val="0.72576235541535228"/>
        </c:manualLayout>
      </c:layout>
      <c:barChart>
        <c:barDir val="bar"/>
        <c:grouping val="clustered"/>
        <c:varyColors val="0"/>
        <c:ser>
          <c:idx val="0"/>
          <c:order val="0"/>
          <c:tx>
            <c:strRef>
              <c:f>Pivot!$R$60</c:f>
              <c:strCache>
                <c:ptCount val="1"/>
                <c:pt idx="0">
                  <c:v>Count</c:v>
                </c:pt>
              </c:strCache>
            </c:strRef>
          </c:tx>
          <c:spPr>
            <a:solidFill>
              <a:srgbClr val="00784B"/>
            </a:solidFill>
          </c:spPr>
          <c:invertIfNegative val="0"/>
          <c:dPt>
            <c:idx val="0"/>
            <c:invertIfNegative val="0"/>
            <c:bubble3D val="0"/>
            <c:spPr>
              <a:solidFill>
                <a:srgbClr val="FF0000"/>
              </a:solidFill>
            </c:spPr>
            <c:extLst>
              <c:ext xmlns:c16="http://schemas.microsoft.com/office/drawing/2014/chart" uri="{C3380CC4-5D6E-409C-BE32-E72D297353CC}">
                <c16:uniqueId val="{00000001-8A07-4D49-8252-9EBF433C53B1}"/>
              </c:ext>
            </c:extLst>
          </c:dPt>
          <c:dPt>
            <c:idx val="1"/>
            <c:invertIfNegative val="0"/>
            <c:bubble3D val="0"/>
            <c:spPr>
              <a:solidFill>
                <a:srgbClr val="00B050"/>
              </a:solidFill>
            </c:spPr>
            <c:extLst>
              <c:ext xmlns:c16="http://schemas.microsoft.com/office/drawing/2014/chart" uri="{C3380CC4-5D6E-409C-BE32-E72D297353CC}">
                <c16:uniqueId val="{00000002-8A07-4D49-8252-9EBF433C53B1}"/>
              </c:ext>
            </c:extLst>
          </c:dPt>
          <c:dPt>
            <c:idx val="2"/>
            <c:invertIfNegative val="0"/>
            <c:bubble3D val="0"/>
            <c:spPr>
              <a:solidFill>
                <a:srgbClr val="FFC000"/>
              </a:solidFill>
            </c:spPr>
            <c:extLst>
              <c:ext xmlns:c16="http://schemas.microsoft.com/office/drawing/2014/chart" uri="{C3380CC4-5D6E-409C-BE32-E72D297353CC}">
                <c16:uniqueId val="{00000003-8A07-4D49-8252-9EBF433C53B1}"/>
              </c:ext>
            </c:extLst>
          </c:dPt>
          <c:dLbls>
            <c:numFmt formatCode="#,##0" sourceLinked="0"/>
            <c:spPr>
              <a:noFill/>
              <a:ln>
                <a:noFill/>
              </a:ln>
              <a:effectLst/>
            </c:spPr>
            <c:txPr>
              <a:bodyPr wrap="square" lIns="38100" tIns="19050" rIns="38100" bIns="19050" anchor="ctr">
                <a:spAutoFit/>
              </a:bodyPr>
              <a:lstStyle/>
              <a:p>
                <a:pPr>
                  <a:defRPr sz="1000" b="1">
                    <a:solidFill>
                      <a:srgbClr val="283C28"/>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Pivot!$Q$61:$Q$63</c:f>
              <c:strCache>
                <c:ptCount val="3"/>
                <c:pt idx="0">
                  <c:v>High</c:v>
                </c:pt>
                <c:pt idx="1">
                  <c:v>Low</c:v>
                </c:pt>
                <c:pt idx="2">
                  <c:v>Medium</c:v>
                </c:pt>
              </c:strCache>
            </c:strRef>
          </c:cat>
          <c:val>
            <c:numRef>
              <c:f>Pivot!$R$61:$R$63</c:f>
              <c:numCache>
                <c:formatCode>#,##0</c:formatCode>
                <c:ptCount val="3"/>
                <c:pt idx="0">
                  <c:v>37</c:v>
                </c:pt>
                <c:pt idx="1">
                  <c:v>8</c:v>
                </c:pt>
                <c:pt idx="2">
                  <c:v>30</c:v>
                </c:pt>
              </c:numCache>
            </c:numRef>
          </c:val>
          <c:extLst>
            <c:ext xmlns:c16="http://schemas.microsoft.com/office/drawing/2014/chart" uri="{C3380CC4-5D6E-409C-BE32-E72D297353CC}">
              <c16:uniqueId val="{00000000-8A07-4D49-8252-9EBF433C53B1}"/>
            </c:ext>
          </c:extLst>
        </c:ser>
        <c:dLbls>
          <c:showLegendKey val="0"/>
          <c:showVal val="0"/>
          <c:showCatName val="0"/>
          <c:showSerName val="0"/>
          <c:showPercent val="0"/>
          <c:showBubbleSize val="0"/>
        </c:dLbls>
        <c:gapWidth val="35"/>
        <c:axId val="981882368"/>
        <c:axId val="981880448"/>
      </c:barChart>
      <c:catAx>
        <c:axId val="981882368"/>
        <c:scaling>
          <c:orientation val="minMax"/>
        </c:scaling>
        <c:delete val="0"/>
        <c:axPos val="l"/>
        <c:numFmt formatCode="General" sourceLinked="1"/>
        <c:majorTickMark val="out"/>
        <c:minorTickMark val="none"/>
        <c:tickLblPos val="nextTo"/>
        <c:crossAx val="981880448"/>
        <c:crosses val="autoZero"/>
        <c:auto val="1"/>
        <c:lblAlgn val="ctr"/>
        <c:lblOffset val="100"/>
        <c:noMultiLvlLbl val="0"/>
      </c:catAx>
      <c:valAx>
        <c:axId val="981880448"/>
        <c:scaling>
          <c:orientation val="minMax"/>
        </c:scaling>
        <c:delete val="0"/>
        <c:axPos val="b"/>
        <c:numFmt formatCode="#,##0" sourceLinked="1"/>
        <c:majorTickMark val="out"/>
        <c:minorTickMark val="none"/>
        <c:tickLblPos val="nextTo"/>
        <c:crossAx val="981882368"/>
        <c:crosses val="autoZero"/>
        <c:crossBetween val="between"/>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9525">
      <a:solidFill>
        <a:srgbClr val="008250"/>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0</xdr:rowOff>
    </xdr:from>
    <xdr:to>
      <xdr:col>28</xdr:col>
      <xdr:colOff>391684</xdr:colOff>
      <xdr:row>3</xdr:row>
      <xdr:rowOff>0</xdr:rowOff>
    </xdr:to>
    <xdr:sp macro="" textlink="">
      <xdr:nvSpPr>
        <xdr:cNvPr id="2" name="Header_Banner">
          <a:extLst>
            <a:ext uri="{FF2B5EF4-FFF2-40B4-BE49-F238E27FC236}">
              <a16:creationId xmlns:a16="http://schemas.microsoft.com/office/drawing/2014/main" id="{63EDA754-C3CF-3EE7-0963-2B54E2CF56D4}"/>
            </a:ext>
          </a:extLst>
        </xdr:cNvPr>
        <xdr:cNvSpPr/>
      </xdr:nvSpPr>
      <xdr:spPr>
        <a:xfrm>
          <a:off x="1" y="0"/>
          <a:ext cx="17033763" cy="754380"/>
        </a:xfrm>
        <a:prstGeom prst="roundRect">
          <a:avLst/>
        </a:prstGeom>
        <a:solidFill>
          <a:srgbClr val="005F3C"/>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130810</xdr:colOff>
      <xdr:row>0</xdr:row>
      <xdr:rowOff>3810</xdr:rowOff>
    </xdr:from>
    <xdr:to>
      <xdr:col>27</xdr:col>
      <xdr:colOff>389890</xdr:colOff>
      <xdr:row>2</xdr:row>
      <xdr:rowOff>204470</xdr:rowOff>
    </xdr:to>
    <xdr:sp macro="" textlink="">
      <xdr:nvSpPr>
        <xdr:cNvPr id="3" name="TextBox 3">
          <a:extLst>
            <a:ext uri="{FF2B5EF4-FFF2-40B4-BE49-F238E27FC236}">
              <a16:creationId xmlns:a16="http://schemas.microsoft.com/office/drawing/2014/main" id="{110B5708-819E-0ABC-F544-D83FADC98E32}"/>
            </a:ext>
          </a:extLst>
        </xdr:cNvPr>
        <xdr:cNvSpPr txBox="1"/>
      </xdr:nvSpPr>
      <xdr:spPr>
        <a:xfrm>
          <a:off x="130810" y="3810"/>
          <a:ext cx="16306800" cy="70358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lstStyle/>
        <a:p>
          <a:pPr algn="ctr"/>
          <a:r>
            <a:rPr lang="en-IN" sz="2800" b="1">
              <a:solidFill>
                <a:srgbClr val="FFFFFF"/>
              </a:solidFill>
              <a:latin typeface="Aptos" panose="020B0004020202020204" pitchFamily="34" charset="0"/>
            </a:rPr>
            <a:t>PROJECT MANAGEMENT TRACKER &amp; DASHBOARD</a:t>
          </a:r>
        </a:p>
      </xdr:txBody>
    </xdr:sp>
    <xdr:clientData/>
  </xdr:twoCellAnchor>
  <xdr:twoCellAnchor>
    <xdr:from>
      <xdr:col>0</xdr:col>
      <xdr:colOff>228601</xdr:colOff>
      <xdr:row>4</xdr:row>
      <xdr:rowOff>0</xdr:rowOff>
    </xdr:from>
    <xdr:to>
      <xdr:col>4</xdr:col>
      <xdr:colOff>410292</xdr:colOff>
      <xdr:row>7</xdr:row>
      <xdr:rowOff>172720</xdr:rowOff>
    </xdr:to>
    <xdr:sp macro="" textlink="">
      <xdr:nvSpPr>
        <xdr:cNvPr id="4" name="KPI_Card_1">
          <a:extLst>
            <a:ext uri="{FF2B5EF4-FFF2-40B4-BE49-F238E27FC236}">
              <a16:creationId xmlns:a16="http://schemas.microsoft.com/office/drawing/2014/main" id="{CBF5DFFF-EE54-85A0-2445-8185E824F859}"/>
            </a:ext>
          </a:extLst>
        </xdr:cNvPr>
        <xdr:cNvSpPr/>
      </xdr:nvSpPr>
      <xdr:spPr>
        <a:xfrm>
          <a:off x="228601" y="853440"/>
          <a:ext cx="2559131" cy="767080"/>
        </a:xfrm>
        <a:prstGeom prst="roundRect">
          <a:avLst>
            <a:gd name="adj" fmla="val 10000"/>
          </a:avLst>
        </a:prstGeom>
        <a:solidFill>
          <a:srgbClr val="FFFFFF"/>
        </a:solidFill>
        <a:ln w="12700">
          <a:solidFill>
            <a:srgbClr val="008250"/>
          </a:solidFill>
        </a:ln>
        <a:effectLst>
          <a:outerShdw blurRad="63500" dist="17961" dir="2699987" rotWithShape="0">
            <a:srgbClr val="B4C8BE">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465667</xdr:colOff>
      <xdr:row>4</xdr:row>
      <xdr:rowOff>184574</xdr:rowOff>
    </xdr:from>
    <xdr:to>
      <xdr:col>1</xdr:col>
      <xdr:colOff>353907</xdr:colOff>
      <xdr:row>7</xdr:row>
      <xdr:rowOff>72814</xdr:rowOff>
    </xdr:to>
    <xdr:sp macro="" textlink="">
      <xdr:nvSpPr>
        <xdr:cNvPr id="5" name="KPI_Icon_1">
          <a:extLst>
            <a:ext uri="{FF2B5EF4-FFF2-40B4-BE49-F238E27FC236}">
              <a16:creationId xmlns:a16="http://schemas.microsoft.com/office/drawing/2014/main" id="{D4993713-C413-79AD-4AA9-C9BD9678496D}"/>
            </a:ext>
          </a:extLst>
        </xdr:cNvPr>
        <xdr:cNvSpPr/>
      </xdr:nvSpPr>
      <xdr:spPr>
        <a:xfrm>
          <a:off x="465667" y="1038014"/>
          <a:ext cx="482600" cy="482600"/>
        </a:xfrm>
        <a:prstGeom prst="ellipse">
          <a:avLst/>
        </a:prstGeom>
        <a:solidFill>
          <a:srgbClr val="E6B41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700" b="1">
              <a:solidFill>
                <a:srgbClr val="FFFFFF"/>
              </a:solidFill>
            </a:rPr>
            <a:t>⭐</a:t>
          </a:r>
        </a:p>
      </xdr:txBody>
    </xdr:sp>
    <xdr:clientData/>
  </xdr:twoCellAnchor>
  <xdr:twoCellAnchor>
    <xdr:from>
      <xdr:col>1</xdr:col>
      <xdr:colOff>243840</xdr:colOff>
      <xdr:row>4</xdr:row>
      <xdr:rowOff>38100</xdr:rowOff>
    </xdr:from>
    <xdr:to>
      <xdr:col>5</xdr:col>
      <xdr:colOff>152400</xdr:colOff>
      <xdr:row>5</xdr:row>
      <xdr:rowOff>43180</xdr:rowOff>
    </xdr:to>
    <xdr:sp macro="" textlink="">
      <xdr:nvSpPr>
        <xdr:cNvPr id="6" name="KPI_Title_1">
          <a:extLst>
            <a:ext uri="{FF2B5EF4-FFF2-40B4-BE49-F238E27FC236}">
              <a16:creationId xmlns:a16="http://schemas.microsoft.com/office/drawing/2014/main" id="{C25EBA50-BD8B-2EB5-0F53-C19A01FFF8DB}"/>
            </a:ext>
          </a:extLst>
        </xdr:cNvPr>
        <xdr:cNvSpPr txBox="1"/>
      </xdr:nvSpPr>
      <xdr:spPr>
        <a:xfrm>
          <a:off x="838200" y="891540"/>
          <a:ext cx="2286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n-IN" sz="1400" b="1">
              <a:solidFill>
                <a:srgbClr val="005A37"/>
              </a:solidFill>
              <a:latin typeface="Aptos" panose="020B0004020202020204" pitchFamily="34" charset="0"/>
            </a:rPr>
            <a:t>Total Projects</a:t>
          </a:r>
        </a:p>
      </xdr:txBody>
    </xdr:sp>
    <xdr:clientData/>
  </xdr:twoCellAnchor>
  <xdr:twoCellAnchor>
    <xdr:from>
      <xdr:col>2</xdr:col>
      <xdr:colOff>30480</xdr:colOff>
      <xdr:row>5</xdr:row>
      <xdr:rowOff>64347</xdr:rowOff>
    </xdr:from>
    <xdr:to>
      <xdr:col>3</xdr:col>
      <xdr:colOff>220138</xdr:colOff>
      <xdr:row>6</xdr:row>
      <xdr:rowOff>196427</xdr:rowOff>
    </xdr:to>
    <xdr:sp macro="" textlink="Dashboard!$AF$2">
      <xdr:nvSpPr>
        <xdr:cNvPr id="7" name="KPI_Value_1">
          <a:extLst>
            <a:ext uri="{FF2B5EF4-FFF2-40B4-BE49-F238E27FC236}">
              <a16:creationId xmlns:a16="http://schemas.microsoft.com/office/drawing/2014/main" id="{7B77AA6A-D9BD-9979-E055-FCA5D4B9F9F5}"/>
            </a:ext>
          </a:extLst>
        </xdr:cNvPr>
        <xdr:cNvSpPr txBox="1"/>
      </xdr:nvSpPr>
      <xdr:spPr>
        <a:xfrm>
          <a:off x="1219200" y="1115907"/>
          <a:ext cx="784018"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fld id="{0387E990-B65E-41FE-82E0-61A1A6E33CD7}" type="TxLink">
            <a:rPr lang="en-US" sz="2000" b="1" i="0" u="none" strike="noStrike">
              <a:solidFill>
                <a:srgbClr val="000000"/>
              </a:solidFill>
              <a:latin typeface="Aptos"/>
            </a:rPr>
            <a:t>75</a:t>
          </a:fld>
          <a:endParaRPr lang="en-IN" sz="2000" b="1">
            <a:solidFill>
              <a:srgbClr val="14321E"/>
            </a:solidFill>
            <a:latin typeface="Aptos" panose="020B0004020202020204" pitchFamily="34" charset="0"/>
          </a:endParaRPr>
        </a:p>
      </xdr:txBody>
    </xdr:sp>
    <xdr:clientData/>
  </xdr:twoCellAnchor>
  <xdr:twoCellAnchor>
    <xdr:from>
      <xdr:col>5</xdr:col>
      <xdr:colOff>42335</xdr:colOff>
      <xdr:row>4</xdr:row>
      <xdr:rowOff>0</xdr:rowOff>
    </xdr:from>
    <xdr:to>
      <xdr:col>9</xdr:col>
      <xdr:colOff>224026</xdr:colOff>
      <xdr:row>7</xdr:row>
      <xdr:rowOff>172720</xdr:rowOff>
    </xdr:to>
    <xdr:sp macro="" textlink="">
      <xdr:nvSpPr>
        <xdr:cNvPr id="8" name="KPI_Card_2">
          <a:extLst>
            <a:ext uri="{FF2B5EF4-FFF2-40B4-BE49-F238E27FC236}">
              <a16:creationId xmlns:a16="http://schemas.microsoft.com/office/drawing/2014/main" id="{E3E093A6-F9C8-626E-3B9F-40414D8BFB16}"/>
            </a:ext>
          </a:extLst>
        </xdr:cNvPr>
        <xdr:cNvSpPr/>
      </xdr:nvSpPr>
      <xdr:spPr>
        <a:xfrm>
          <a:off x="3014135" y="853440"/>
          <a:ext cx="2559131" cy="767080"/>
        </a:xfrm>
        <a:prstGeom prst="roundRect">
          <a:avLst>
            <a:gd name="adj" fmla="val 10000"/>
          </a:avLst>
        </a:prstGeom>
        <a:solidFill>
          <a:srgbClr val="FFFFFF"/>
        </a:solidFill>
        <a:ln w="12700">
          <a:solidFill>
            <a:srgbClr val="008250"/>
          </a:solidFill>
        </a:ln>
        <a:effectLst>
          <a:outerShdw blurRad="63500" dist="17961" dir="2699987" rotWithShape="0">
            <a:srgbClr val="B4C8BE">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254000</xdr:colOff>
      <xdr:row>4</xdr:row>
      <xdr:rowOff>150706</xdr:rowOff>
    </xdr:from>
    <xdr:to>
      <xdr:col>6</xdr:col>
      <xdr:colOff>142240</xdr:colOff>
      <xdr:row>7</xdr:row>
      <xdr:rowOff>38946</xdr:rowOff>
    </xdr:to>
    <xdr:sp macro="" textlink="">
      <xdr:nvSpPr>
        <xdr:cNvPr id="9" name="KPI_Icon_2">
          <a:extLst>
            <a:ext uri="{FF2B5EF4-FFF2-40B4-BE49-F238E27FC236}">
              <a16:creationId xmlns:a16="http://schemas.microsoft.com/office/drawing/2014/main" id="{BF35BC1D-D9FF-074F-0476-1D2E67C1AAE4}"/>
            </a:ext>
          </a:extLst>
        </xdr:cNvPr>
        <xdr:cNvSpPr/>
      </xdr:nvSpPr>
      <xdr:spPr>
        <a:xfrm>
          <a:off x="3225800" y="1004146"/>
          <a:ext cx="482600" cy="482600"/>
        </a:xfrm>
        <a:prstGeom prst="ellipse">
          <a:avLst/>
        </a:prstGeom>
        <a:solidFill>
          <a:srgbClr val="0082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700" b="1">
              <a:solidFill>
                <a:srgbClr val="FFFFFF"/>
              </a:solidFill>
            </a:rPr>
            <a:t>💵</a:t>
          </a:r>
        </a:p>
      </xdr:txBody>
    </xdr:sp>
    <xdr:clientData/>
  </xdr:twoCellAnchor>
  <xdr:twoCellAnchor>
    <xdr:from>
      <xdr:col>6</xdr:col>
      <xdr:colOff>57573</xdr:colOff>
      <xdr:row>4</xdr:row>
      <xdr:rowOff>38100</xdr:rowOff>
    </xdr:from>
    <xdr:to>
      <xdr:col>9</xdr:col>
      <xdr:colOff>560493</xdr:colOff>
      <xdr:row>5</xdr:row>
      <xdr:rowOff>43180</xdr:rowOff>
    </xdr:to>
    <xdr:sp macro="" textlink="">
      <xdr:nvSpPr>
        <xdr:cNvPr id="10" name="KPI_Title_2">
          <a:extLst>
            <a:ext uri="{FF2B5EF4-FFF2-40B4-BE49-F238E27FC236}">
              <a16:creationId xmlns:a16="http://schemas.microsoft.com/office/drawing/2014/main" id="{DCCD98D0-746C-9F2B-6045-48406E10A44E}"/>
            </a:ext>
          </a:extLst>
        </xdr:cNvPr>
        <xdr:cNvSpPr txBox="1"/>
      </xdr:nvSpPr>
      <xdr:spPr>
        <a:xfrm>
          <a:off x="3623733" y="891540"/>
          <a:ext cx="2286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n-IN" sz="1400" b="1">
              <a:solidFill>
                <a:srgbClr val="005A37"/>
              </a:solidFill>
              <a:latin typeface="Aptos" panose="020B0004020202020204" pitchFamily="34" charset="0"/>
            </a:rPr>
            <a:t>Total Actual Cost</a:t>
          </a:r>
        </a:p>
      </xdr:txBody>
    </xdr:sp>
    <xdr:clientData/>
  </xdr:twoCellAnchor>
  <xdr:twoCellAnchor>
    <xdr:from>
      <xdr:col>6</xdr:col>
      <xdr:colOff>193040</xdr:colOff>
      <xdr:row>5</xdr:row>
      <xdr:rowOff>89746</xdr:rowOff>
    </xdr:from>
    <xdr:to>
      <xdr:col>10</xdr:col>
      <xdr:colOff>101600</xdr:colOff>
      <xdr:row>7</xdr:row>
      <xdr:rowOff>23706</xdr:rowOff>
    </xdr:to>
    <xdr:sp macro="" textlink="Dashboard!$AF$3">
      <xdr:nvSpPr>
        <xdr:cNvPr id="11" name="KPI_Value_2">
          <a:extLst>
            <a:ext uri="{FF2B5EF4-FFF2-40B4-BE49-F238E27FC236}">
              <a16:creationId xmlns:a16="http://schemas.microsoft.com/office/drawing/2014/main" id="{7BDD50DF-72CD-2302-E484-618710F4F256}"/>
            </a:ext>
          </a:extLst>
        </xdr:cNvPr>
        <xdr:cNvSpPr txBox="1"/>
      </xdr:nvSpPr>
      <xdr:spPr>
        <a:xfrm>
          <a:off x="3759200" y="1141306"/>
          <a:ext cx="22860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fld id="{9401666A-5A40-4394-9844-13D0EFCE018C}" type="TxLink">
            <a:rPr lang="en-US" sz="2000" b="1" i="0" u="none" strike="noStrike">
              <a:solidFill>
                <a:srgbClr val="000000"/>
              </a:solidFill>
              <a:latin typeface="Aptos"/>
            </a:rPr>
            <a:t>₹3,557K</a:t>
          </a:fld>
          <a:endParaRPr lang="en-IN" sz="2000" b="1">
            <a:solidFill>
              <a:srgbClr val="14321E"/>
            </a:solidFill>
            <a:latin typeface="Aptos" panose="020B0004020202020204" pitchFamily="34" charset="0"/>
          </a:endParaRPr>
        </a:p>
      </xdr:txBody>
    </xdr:sp>
    <xdr:clientData/>
  </xdr:twoCellAnchor>
  <xdr:twoCellAnchor>
    <xdr:from>
      <xdr:col>9</xdr:col>
      <xdr:colOff>399629</xdr:colOff>
      <xdr:row>4</xdr:row>
      <xdr:rowOff>0</xdr:rowOff>
    </xdr:from>
    <xdr:to>
      <xdr:col>13</xdr:col>
      <xdr:colOff>581320</xdr:colOff>
      <xdr:row>7</xdr:row>
      <xdr:rowOff>172720</xdr:rowOff>
    </xdr:to>
    <xdr:sp macro="" textlink="">
      <xdr:nvSpPr>
        <xdr:cNvPr id="12" name="KPI_Card_3">
          <a:extLst>
            <a:ext uri="{FF2B5EF4-FFF2-40B4-BE49-F238E27FC236}">
              <a16:creationId xmlns:a16="http://schemas.microsoft.com/office/drawing/2014/main" id="{CF954A4E-3F16-D57F-32F4-056B24ACB8E1}"/>
            </a:ext>
          </a:extLst>
        </xdr:cNvPr>
        <xdr:cNvSpPr/>
      </xdr:nvSpPr>
      <xdr:spPr>
        <a:xfrm>
          <a:off x="5748869" y="853440"/>
          <a:ext cx="2559131" cy="767080"/>
        </a:xfrm>
        <a:prstGeom prst="roundRect">
          <a:avLst>
            <a:gd name="adj" fmla="val 10000"/>
          </a:avLst>
        </a:prstGeom>
        <a:solidFill>
          <a:srgbClr val="FFFFFF"/>
        </a:solidFill>
        <a:ln w="12700">
          <a:solidFill>
            <a:srgbClr val="008250"/>
          </a:solidFill>
        </a:ln>
        <a:effectLst>
          <a:outerShdw blurRad="63500" dist="17961" dir="2699987" rotWithShape="0">
            <a:srgbClr val="B4C8BE">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93133</xdr:colOff>
      <xdr:row>4</xdr:row>
      <xdr:rowOff>142240</xdr:rowOff>
    </xdr:from>
    <xdr:to>
      <xdr:col>10</xdr:col>
      <xdr:colOff>575733</xdr:colOff>
      <xdr:row>7</xdr:row>
      <xdr:rowOff>30480</xdr:rowOff>
    </xdr:to>
    <xdr:sp macro="" textlink="">
      <xdr:nvSpPr>
        <xdr:cNvPr id="13" name="KPI_Icon_3">
          <a:extLst>
            <a:ext uri="{FF2B5EF4-FFF2-40B4-BE49-F238E27FC236}">
              <a16:creationId xmlns:a16="http://schemas.microsoft.com/office/drawing/2014/main" id="{C341C3D2-FBCE-BEA5-57CA-63CCFDDBABF9}"/>
            </a:ext>
          </a:extLst>
        </xdr:cNvPr>
        <xdr:cNvSpPr/>
      </xdr:nvSpPr>
      <xdr:spPr>
        <a:xfrm>
          <a:off x="6036733" y="995680"/>
          <a:ext cx="482600" cy="482600"/>
        </a:xfrm>
        <a:prstGeom prst="ellipse">
          <a:avLst/>
        </a:prstGeom>
        <a:solidFill>
          <a:srgbClr val="148C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700" b="1">
              <a:solidFill>
                <a:srgbClr val="FFFFFF"/>
              </a:solidFill>
            </a:rPr>
            <a:t>✅</a:t>
          </a:r>
        </a:p>
      </xdr:txBody>
    </xdr:sp>
    <xdr:clientData/>
  </xdr:twoCellAnchor>
  <xdr:twoCellAnchor>
    <xdr:from>
      <xdr:col>10</xdr:col>
      <xdr:colOff>533400</xdr:colOff>
      <xdr:row>4</xdr:row>
      <xdr:rowOff>38100</xdr:rowOff>
    </xdr:from>
    <xdr:to>
      <xdr:col>14</xdr:col>
      <xdr:colOff>441960</xdr:colOff>
      <xdr:row>5</xdr:row>
      <xdr:rowOff>43180</xdr:rowOff>
    </xdr:to>
    <xdr:sp macro="" textlink="">
      <xdr:nvSpPr>
        <xdr:cNvPr id="14" name="KPI_Title_3">
          <a:extLst>
            <a:ext uri="{FF2B5EF4-FFF2-40B4-BE49-F238E27FC236}">
              <a16:creationId xmlns:a16="http://schemas.microsoft.com/office/drawing/2014/main" id="{03C4B4D3-D346-0633-413A-0AC61FC34D02}"/>
            </a:ext>
          </a:extLst>
        </xdr:cNvPr>
        <xdr:cNvSpPr txBox="1"/>
      </xdr:nvSpPr>
      <xdr:spPr>
        <a:xfrm>
          <a:off x="6477000" y="891540"/>
          <a:ext cx="2286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n-IN" sz="1400" b="1">
              <a:solidFill>
                <a:srgbClr val="005A37"/>
              </a:solidFill>
              <a:latin typeface="Aptos" panose="020B0004020202020204" pitchFamily="34" charset="0"/>
            </a:rPr>
            <a:t>Active Projects</a:t>
          </a:r>
        </a:p>
      </xdr:txBody>
    </xdr:sp>
    <xdr:clientData/>
  </xdr:twoCellAnchor>
  <xdr:twoCellAnchor>
    <xdr:from>
      <xdr:col>11</xdr:col>
      <xdr:colOff>260774</xdr:colOff>
      <xdr:row>5</xdr:row>
      <xdr:rowOff>64347</xdr:rowOff>
    </xdr:from>
    <xdr:to>
      <xdr:col>12</xdr:col>
      <xdr:colOff>440859</xdr:colOff>
      <xdr:row>6</xdr:row>
      <xdr:rowOff>196427</xdr:rowOff>
    </xdr:to>
    <xdr:sp macro="" textlink="Dashboard!$AF$4">
      <xdr:nvSpPr>
        <xdr:cNvPr id="15" name="KPI_Value_3">
          <a:extLst>
            <a:ext uri="{FF2B5EF4-FFF2-40B4-BE49-F238E27FC236}">
              <a16:creationId xmlns:a16="http://schemas.microsoft.com/office/drawing/2014/main" id="{B80A5495-1A9E-1A44-4406-EB3ED7DC4E1F}"/>
            </a:ext>
          </a:extLst>
        </xdr:cNvPr>
        <xdr:cNvSpPr txBox="1"/>
      </xdr:nvSpPr>
      <xdr:spPr>
        <a:xfrm>
          <a:off x="6798734" y="1115907"/>
          <a:ext cx="774445"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fld id="{9A598EA6-A8AB-4398-9020-3E8FC0E28894}" type="TxLink">
            <a:rPr lang="en-US" sz="2000" b="1" i="0" u="none" strike="noStrike">
              <a:solidFill>
                <a:srgbClr val="000000"/>
              </a:solidFill>
              <a:latin typeface="Aptos"/>
            </a:rPr>
            <a:t>37</a:t>
          </a:fld>
          <a:endParaRPr lang="en-IN" sz="2000" b="1">
            <a:solidFill>
              <a:srgbClr val="14321E"/>
            </a:solidFill>
            <a:latin typeface="Aptos" panose="020B0004020202020204" pitchFamily="34" charset="0"/>
          </a:endParaRPr>
        </a:p>
      </xdr:txBody>
    </xdr:sp>
    <xdr:clientData/>
  </xdr:twoCellAnchor>
  <xdr:twoCellAnchor>
    <xdr:from>
      <xdr:col>14</xdr:col>
      <xdr:colOff>289563</xdr:colOff>
      <xdr:row>4</xdr:row>
      <xdr:rowOff>0</xdr:rowOff>
    </xdr:from>
    <xdr:to>
      <xdr:col>18</xdr:col>
      <xdr:colOff>471254</xdr:colOff>
      <xdr:row>7</xdr:row>
      <xdr:rowOff>172720</xdr:rowOff>
    </xdr:to>
    <xdr:sp macro="" textlink="">
      <xdr:nvSpPr>
        <xdr:cNvPr id="16" name="KPI_Card_4">
          <a:extLst>
            <a:ext uri="{FF2B5EF4-FFF2-40B4-BE49-F238E27FC236}">
              <a16:creationId xmlns:a16="http://schemas.microsoft.com/office/drawing/2014/main" id="{8938A3C1-6DA8-AD88-313D-31B258A6CE6A}"/>
            </a:ext>
          </a:extLst>
        </xdr:cNvPr>
        <xdr:cNvSpPr/>
      </xdr:nvSpPr>
      <xdr:spPr>
        <a:xfrm>
          <a:off x="8610603" y="853440"/>
          <a:ext cx="2559131" cy="767080"/>
        </a:xfrm>
        <a:prstGeom prst="roundRect">
          <a:avLst>
            <a:gd name="adj" fmla="val 10000"/>
          </a:avLst>
        </a:prstGeom>
        <a:solidFill>
          <a:srgbClr val="FFFFFF"/>
        </a:solidFill>
        <a:ln w="12700">
          <a:solidFill>
            <a:srgbClr val="008250"/>
          </a:solidFill>
        </a:ln>
        <a:effectLst>
          <a:outerShdw blurRad="63500" dist="17961" dir="2699987" rotWithShape="0">
            <a:srgbClr val="B4C8BE">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509693</xdr:colOff>
      <xdr:row>4</xdr:row>
      <xdr:rowOff>159173</xdr:rowOff>
    </xdr:from>
    <xdr:to>
      <xdr:col>15</xdr:col>
      <xdr:colOff>397933</xdr:colOff>
      <xdr:row>7</xdr:row>
      <xdr:rowOff>47413</xdr:rowOff>
    </xdr:to>
    <xdr:sp macro="" textlink="">
      <xdr:nvSpPr>
        <xdr:cNvPr id="17" name="KPI_Icon_4">
          <a:extLst>
            <a:ext uri="{FF2B5EF4-FFF2-40B4-BE49-F238E27FC236}">
              <a16:creationId xmlns:a16="http://schemas.microsoft.com/office/drawing/2014/main" id="{67A4A39F-441F-97F5-9615-03F0FE1ACC29}"/>
            </a:ext>
          </a:extLst>
        </xdr:cNvPr>
        <xdr:cNvSpPr/>
      </xdr:nvSpPr>
      <xdr:spPr>
        <a:xfrm>
          <a:off x="8830733" y="1012613"/>
          <a:ext cx="482600" cy="482600"/>
        </a:xfrm>
        <a:prstGeom prst="ellipse">
          <a:avLst/>
        </a:prstGeom>
        <a:solidFill>
          <a:srgbClr val="C8781E"/>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700" b="1">
              <a:solidFill>
                <a:srgbClr val="FFFFFF"/>
              </a:solidFill>
            </a:rPr>
            <a:t>⚙</a:t>
          </a:r>
        </a:p>
      </xdr:txBody>
    </xdr:sp>
    <xdr:clientData/>
  </xdr:twoCellAnchor>
  <xdr:twoCellAnchor>
    <xdr:from>
      <xdr:col>15</xdr:col>
      <xdr:colOff>177800</xdr:colOff>
      <xdr:row>4</xdr:row>
      <xdr:rowOff>29633</xdr:rowOff>
    </xdr:from>
    <xdr:to>
      <xdr:col>19</xdr:col>
      <xdr:colOff>86360</xdr:colOff>
      <xdr:row>5</xdr:row>
      <xdr:rowOff>34713</xdr:rowOff>
    </xdr:to>
    <xdr:sp macro="" textlink="">
      <xdr:nvSpPr>
        <xdr:cNvPr id="18" name="KPI_Title_4">
          <a:extLst>
            <a:ext uri="{FF2B5EF4-FFF2-40B4-BE49-F238E27FC236}">
              <a16:creationId xmlns:a16="http://schemas.microsoft.com/office/drawing/2014/main" id="{2D8480FF-4244-2086-0C04-26288F8F9AC2}"/>
            </a:ext>
          </a:extLst>
        </xdr:cNvPr>
        <xdr:cNvSpPr txBox="1"/>
      </xdr:nvSpPr>
      <xdr:spPr>
        <a:xfrm>
          <a:off x="9093200" y="883073"/>
          <a:ext cx="2286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n-IN" sz="1400" b="1">
              <a:solidFill>
                <a:srgbClr val="005A37"/>
              </a:solidFill>
              <a:latin typeface="Aptos" panose="020B0004020202020204" pitchFamily="34" charset="0"/>
            </a:rPr>
            <a:t>On Hold / Delayed</a:t>
          </a:r>
        </a:p>
      </xdr:txBody>
    </xdr:sp>
    <xdr:clientData/>
  </xdr:twoCellAnchor>
  <xdr:twoCellAnchor>
    <xdr:from>
      <xdr:col>16</xdr:col>
      <xdr:colOff>167640</xdr:colOff>
      <xdr:row>5</xdr:row>
      <xdr:rowOff>47414</xdr:rowOff>
    </xdr:from>
    <xdr:to>
      <xdr:col>17</xdr:col>
      <xdr:colOff>92034</xdr:colOff>
      <xdr:row>6</xdr:row>
      <xdr:rowOff>179494</xdr:rowOff>
    </xdr:to>
    <xdr:sp macro="" textlink="Dashboard!$AF$5">
      <xdr:nvSpPr>
        <xdr:cNvPr id="19" name="KPI_Value_4">
          <a:extLst>
            <a:ext uri="{FF2B5EF4-FFF2-40B4-BE49-F238E27FC236}">
              <a16:creationId xmlns:a16="http://schemas.microsoft.com/office/drawing/2014/main" id="{50F627DF-F9DE-E3C2-84A9-5D055E38967F}"/>
            </a:ext>
          </a:extLst>
        </xdr:cNvPr>
        <xdr:cNvSpPr txBox="1"/>
      </xdr:nvSpPr>
      <xdr:spPr>
        <a:xfrm>
          <a:off x="9677400" y="1098974"/>
          <a:ext cx="518754"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fld id="{099502F6-FC3A-4830-813C-EE1D2104952D}" type="TxLink">
            <a:rPr lang="en-US" sz="2000" b="1" i="0" u="none" strike="noStrike">
              <a:solidFill>
                <a:srgbClr val="000000"/>
              </a:solidFill>
              <a:latin typeface="Aptos"/>
            </a:rPr>
            <a:t>21</a:t>
          </a:fld>
          <a:endParaRPr lang="en-IN" sz="2000" b="1">
            <a:solidFill>
              <a:srgbClr val="14321E"/>
            </a:solidFill>
            <a:latin typeface="Aptos" panose="020B0004020202020204" pitchFamily="34" charset="0"/>
          </a:endParaRPr>
        </a:p>
      </xdr:txBody>
    </xdr:sp>
    <xdr:clientData/>
  </xdr:twoCellAnchor>
  <xdr:twoCellAnchor>
    <xdr:from>
      <xdr:col>19</xdr:col>
      <xdr:colOff>137163</xdr:colOff>
      <xdr:row>4</xdr:row>
      <xdr:rowOff>0</xdr:rowOff>
    </xdr:from>
    <xdr:to>
      <xdr:col>23</xdr:col>
      <xdr:colOff>318854</xdr:colOff>
      <xdr:row>7</xdr:row>
      <xdr:rowOff>172720</xdr:rowOff>
    </xdr:to>
    <xdr:sp macro="" textlink="">
      <xdr:nvSpPr>
        <xdr:cNvPr id="20" name="KPI_Card_5">
          <a:extLst>
            <a:ext uri="{FF2B5EF4-FFF2-40B4-BE49-F238E27FC236}">
              <a16:creationId xmlns:a16="http://schemas.microsoft.com/office/drawing/2014/main" id="{76FCAF8B-956C-611E-2CF8-FF52B318AB56}"/>
            </a:ext>
          </a:extLst>
        </xdr:cNvPr>
        <xdr:cNvSpPr/>
      </xdr:nvSpPr>
      <xdr:spPr>
        <a:xfrm>
          <a:off x="11430003" y="853440"/>
          <a:ext cx="2559131" cy="767080"/>
        </a:xfrm>
        <a:prstGeom prst="roundRect">
          <a:avLst>
            <a:gd name="adj" fmla="val 10000"/>
          </a:avLst>
        </a:prstGeom>
        <a:solidFill>
          <a:srgbClr val="FFFFFF"/>
        </a:solidFill>
        <a:ln w="12700">
          <a:solidFill>
            <a:srgbClr val="008250"/>
          </a:solidFill>
        </a:ln>
        <a:effectLst>
          <a:outerShdw blurRad="63500" dist="17961" dir="2699987" rotWithShape="0">
            <a:srgbClr val="B4C8BE">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365760</xdr:colOff>
      <xdr:row>4</xdr:row>
      <xdr:rowOff>133774</xdr:rowOff>
    </xdr:from>
    <xdr:to>
      <xdr:col>20</xdr:col>
      <xdr:colOff>254000</xdr:colOff>
      <xdr:row>7</xdr:row>
      <xdr:rowOff>22014</xdr:rowOff>
    </xdr:to>
    <xdr:sp macro="" textlink="">
      <xdr:nvSpPr>
        <xdr:cNvPr id="21" name="KPI_Icon_5">
          <a:extLst>
            <a:ext uri="{FF2B5EF4-FFF2-40B4-BE49-F238E27FC236}">
              <a16:creationId xmlns:a16="http://schemas.microsoft.com/office/drawing/2014/main" id="{4AEA44EC-951B-0038-A438-EACCD0C43A5E}"/>
            </a:ext>
          </a:extLst>
        </xdr:cNvPr>
        <xdr:cNvSpPr/>
      </xdr:nvSpPr>
      <xdr:spPr>
        <a:xfrm>
          <a:off x="11658600" y="987214"/>
          <a:ext cx="482600" cy="482600"/>
        </a:xfrm>
        <a:prstGeom prst="ellipse">
          <a:avLst/>
        </a:prstGeom>
        <a:solidFill>
          <a:srgbClr val="28648C"/>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700" b="1">
              <a:solidFill>
                <a:srgbClr val="FFFFFF"/>
              </a:solidFill>
            </a:rPr>
            <a:t>⏰</a:t>
          </a:r>
        </a:p>
      </xdr:txBody>
    </xdr:sp>
    <xdr:clientData/>
  </xdr:twoCellAnchor>
  <xdr:twoCellAnchor>
    <xdr:from>
      <xdr:col>20</xdr:col>
      <xdr:colOff>160866</xdr:colOff>
      <xdr:row>4</xdr:row>
      <xdr:rowOff>29634</xdr:rowOff>
    </xdr:from>
    <xdr:to>
      <xdr:col>24</xdr:col>
      <xdr:colOff>69426</xdr:colOff>
      <xdr:row>5</xdr:row>
      <xdr:rowOff>34714</xdr:rowOff>
    </xdr:to>
    <xdr:sp macro="" textlink="">
      <xdr:nvSpPr>
        <xdr:cNvPr id="22" name="KPI_Title_5">
          <a:extLst>
            <a:ext uri="{FF2B5EF4-FFF2-40B4-BE49-F238E27FC236}">
              <a16:creationId xmlns:a16="http://schemas.microsoft.com/office/drawing/2014/main" id="{0D77A904-07D4-A8C0-7CAF-15F0A01CA022}"/>
            </a:ext>
          </a:extLst>
        </xdr:cNvPr>
        <xdr:cNvSpPr txBox="1"/>
      </xdr:nvSpPr>
      <xdr:spPr>
        <a:xfrm>
          <a:off x="12048066" y="883074"/>
          <a:ext cx="2286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n-IN" sz="1400" b="1">
              <a:solidFill>
                <a:srgbClr val="005A37"/>
              </a:solidFill>
              <a:latin typeface="Aptos" panose="020B0004020202020204" pitchFamily="34" charset="0"/>
            </a:rPr>
            <a:t>Avg Project Age</a:t>
          </a:r>
        </a:p>
      </xdr:txBody>
    </xdr:sp>
    <xdr:clientData/>
  </xdr:twoCellAnchor>
  <xdr:twoCellAnchor>
    <xdr:from>
      <xdr:col>20</xdr:col>
      <xdr:colOff>406401</xdr:colOff>
      <xdr:row>4</xdr:row>
      <xdr:rowOff>194734</xdr:rowOff>
    </xdr:from>
    <xdr:to>
      <xdr:col>22</xdr:col>
      <xdr:colOff>473838</xdr:colOff>
      <xdr:row>6</xdr:row>
      <xdr:rowOff>190931</xdr:rowOff>
    </xdr:to>
    <xdr:sp macro="" textlink="Dashboard!$AF$6">
      <xdr:nvSpPr>
        <xdr:cNvPr id="23" name="KPI_Value_5">
          <a:extLst>
            <a:ext uri="{FF2B5EF4-FFF2-40B4-BE49-F238E27FC236}">
              <a16:creationId xmlns:a16="http://schemas.microsoft.com/office/drawing/2014/main" id="{2E36414E-4C4D-AC49-45D3-CD194CAC18E6}"/>
            </a:ext>
          </a:extLst>
        </xdr:cNvPr>
        <xdr:cNvSpPr txBox="1"/>
      </xdr:nvSpPr>
      <xdr:spPr>
        <a:xfrm>
          <a:off x="12293601" y="1048174"/>
          <a:ext cx="1256157" cy="39243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fld id="{44F5719D-386A-412F-8734-937800555F5A}" type="TxLink">
            <a:rPr lang="en-US" sz="2000" b="1" i="0" u="none" strike="noStrike">
              <a:solidFill>
                <a:srgbClr val="000000"/>
              </a:solidFill>
              <a:latin typeface="Aptos"/>
            </a:rPr>
            <a:t>2.4 yrs</a:t>
          </a:fld>
          <a:endParaRPr lang="en-IN" sz="2000" b="1">
            <a:solidFill>
              <a:srgbClr val="14321E"/>
            </a:solidFill>
            <a:latin typeface="Aptos" panose="020B0004020202020204" pitchFamily="34" charset="0"/>
          </a:endParaRPr>
        </a:p>
      </xdr:txBody>
    </xdr:sp>
    <xdr:clientData/>
  </xdr:twoCellAnchor>
  <xdr:twoCellAnchor>
    <xdr:from>
      <xdr:col>24</xdr:col>
      <xdr:colOff>137163</xdr:colOff>
      <xdr:row>4</xdr:row>
      <xdr:rowOff>0</xdr:rowOff>
    </xdr:from>
    <xdr:to>
      <xdr:col>28</xdr:col>
      <xdr:colOff>318854</xdr:colOff>
      <xdr:row>7</xdr:row>
      <xdr:rowOff>172720</xdr:rowOff>
    </xdr:to>
    <xdr:sp macro="" textlink="">
      <xdr:nvSpPr>
        <xdr:cNvPr id="24" name="KPI_Card_6">
          <a:extLst>
            <a:ext uri="{FF2B5EF4-FFF2-40B4-BE49-F238E27FC236}">
              <a16:creationId xmlns:a16="http://schemas.microsoft.com/office/drawing/2014/main" id="{AAECA7A0-5E81-9CE2-587F-D86598974963}"/>
            </a:ext>
          </a:extLst>
        </xdr:cNvPr>
        <xdr:cNvSpPr/>
      </xdr:nvSpPr>
      <xdr:spPr>
        <a:xfrm>
          <a:off x="14401803" y="853440"/>
          <a:ext cx="2559131" cy="767080"/>
        </a:xfrm>
        <a:prstGeom prst="roundRect">
          <a:avLst>
            <a:gd name="adj" fmla="val 10000"/>
          </a:avLst>
        </a:prstGeom>
        <a:solidFill>
          <a:srgbClr val="FFFFFF"/>
        </a:solidFill>
        <a:ln w="12700">
          <a:solidFill>
            <a:srgbClr val="008250"/>
          </a:solidFill>
        </a:ln>
        <a:effectLst>
          <a:outerShdw blurRad="63500" dist="17961" dir="2699987" rotWithShape="0">
            <a:srgbClr val="B4C8BE">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24</xdr:col>
      <xdr:colOff>281093</xdr:colOff>
      <xdr:row>4</xdr:row>
      <xdr:rowOff>142240</xdr:rowOff>
    </xdr:from>
    <xdr:to>
      <xdr:col>25</xdr:col>
      <xdr:colOff>169333</xdr:colOff>
      <xdr:row>7</xdr:row>
      <xdr:rowOff>30480</xdr:rowOff>
    </xdr:to>
    <xdr:sp macro="" textlink="">
      <xdr:nvSpPr>
        <xdr:cNvPr id="25" name="KPI_Icon_6">
          <a:extLst>
            <a:ext uri="{FF2B5EF4-FFF2-40B4-BE49-F238E27FC236}">
              <a16:creationId xmlns:a16="http://schemas.microsoft.com/office/drawing/2014/main" id="{1CA20E75-8CA1-01A7-09AD-A49377991D99}"/>
            </a:ext>
          </a:extLst>
        </xdr:cNvPr>
        <xdr:cNvSpPr/>
      </xdr:nvSpPr>
      <xdr:spPr>
        <a:xfrm>
          <a:off x="14545733" y="995680"/>
          <a:ext cx="482600" cy="482600"/>
        </a:xfrm>
        <a:prstGeom prst="ellipse">
          <a:avLst/>
        </a:prstGeom>
        <a:solidFill>
          <a:srgbClr val="28503C"/>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700" b="1">
              <a:solidFill>
                <a:srgbClr val="FFFFFF"/>
              </a:solidFill>
            </a:rPr>
            <a:t>%</a:t>
          </a:r>
        </a:p>
      </xdr:txBody>
    </xdr:sp>
    <xdr:clientData/>
  </xdr:twoCellAnchor>
  <xdr:twoCellAnchor>
    <xdr:from>
      <xdr:col>25</xdr:col>
      <xdr:colOff>84667</xdr:colOff>
      <xdr:row>4</xdr:row>
      <xdr:rowOff>29633</xdr:rowOff>
    </xdr:from>
    <xdr:to>
      <xdr:col>28</xdr:col>
      <xdr:colOff>587587</xdr:colOff>
      <xdr:row>5</xdr:row>
      <xdr:rowOff>34713</xdr:rowOff>
    </xdr:to>
    <xdr:sp macro="" textlink="">
      <xdr:nvSpPr>
        <xdr:cNvPr id="26" name="KPI_Title_6">
          <a:extLst>
            <a:ext uri="{FF2B5EF4-FFF2-40B4-BE49-F238E27FC236}">
              <a16:creationId xmlns:a16="http://schemas.microsoft.com/office/drawing/2014/main" id="{78AE95AA-AFC9-DAB1-3F14-E77355D6729E}"/>
            </a:ext>
          </a:extLst>
        </xdr:cNvPr>
        <xdr:cNvSpPr txBox="1"/>
      </xdr:nvSpPr>
      <xdr:spPr>
        <a:xfrm>
          <a:off x="14943667" y="883073"/>
          <a:ext cx="2286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n-IN" sz="1400" b="1">
              <a:solidFill>
                <a:srgbClr val="005A37"/>
              </a:solidFill>
              <a:latin typeface="Aptos" panose="020B0004020202020204" pitchFamily="34" charset="0"/>
            </a:rPr>
            <a:t>Budget Utilization</a:t>
          </a:r>
        </a:p>
      </xdr:txBody>
    </xdr:sp>
    <xdr:clientData/>
  </xdr:twoCellAnchor>
  <xdr:twoCellAnchor>
    <xdr:from>
      <xdr:col>25</xdr:col>
      <xdr:colOff>508001</xdr:colOff>
      <xdr:row>5</xdr:row>
      <xdr:rowOff>38947</xdr:rowOff>
    </xdr:from>
    <xdr:to>
      <xdr:col>27</xdr:col>
      <xdr:colOff>457252</xdr:colOff>
      <xdr:row>7</xdr:row>
      <xdr:rowOff>17855</xdr:rowOff>
    </xdr:to>
    <xdr:sp macro="" textlink="Dashboard!$AF$7">
      <xdr:nvSpPr>
        <xdr:cNvPr id="27" name="KPI_Value_6">
          <a:extLst>
            <a:ext uri="{FF2B5EF4-FFF2-40B4-BE49-F238E27FC236}">
              <a16:creationId xmlns:a16="http://schemas.microsoft.com/office/drawing/2014/main" id="{83B452BE-00E6-D0AD-1C6D-DF956B1E218C}"/>
            </a:ext>
          </a:extLst>
        </xdr:cNvPr>
        <xdr:cNvSpPr txBox="1"/>
      </xdr:nvSpPr>
      <xdr:spPr>
        <a:xfrm>
          <a:off x="15367001" y="1090507"/>
          <a:ext cx="1137971" cy="37514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fld id="{2EE1BB32-2A6F-4D05-8F02-6949043EEC1A}" type="TxLink">
            <a:rPr lang="en-US" sz="2000" b="1" i="0" u="none" strike="noStrike">
              <a:solidFill>
                <a:srgbClr val="000000"/>
              </a:solidFill>
              <a:latin typeface="Aptos"/>
            </a:rPr>
            <a:t>102.1%</a:t>
          </a:fld>
          <a:endParaRPr lang="en-IN" sz="2000" b="1">
            <a:solidFill>
              <a:srgbClr val="14321E"/>
            </a:solidFill>
            <a:latin typeface="Aptos" panose="020B0004020202020204" pitchFamily="34" charset="0"/>
          </a:endParaRPr>
        </a:p>
      </xdr:txBody>
    </xdr:sp>
    <xdr:clientData/>
  </xdr:twoCellAnchor>
  <xdr:twoCellAnchor>
    <xdr:from>
      <xdr:col>0</xdr:col>
      <xdr:colOff>25400</xdr:colOff>
      <xdr:row>9</xdr:row>
      <xdr:rowOff>12700</xdr:rowOff>
    </xdr:from>
    <xdr:to>
      <xdr:col>9</xdr:col>
      <xdr:colOff>568960</xdr:colOff>
      <xdr:row>18</xdr:row>
      <xdr:rowOff>156464</xdr:rowOff>
    </xdr:to>
    <xdr:graphicFrame macro="">
      <xdr:nvGraphicFramePr>
        <xdr:cNvPr id="28" name="Chart_Trend">
          <a:extLst>
            <a:ext uri="{FF2B5EF4-FFF2-40B4-BE49-F238E27FC236}">
              <a16:creationId xmlns:a16="http://schemas.microsoft.com/office/drawing/2014/main" id="{BA6F958D-20C7-0077-51A1-35015D6E87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25400</xdr:colOff>
      <xdr:row>9</xdr:row>
      <xdr:rowOff>12700</xdr:rowOff>
    </xdr:from>
    <xdr:to>
      <xdr:col>19</xdr:col>
      <xdr:colOff>124968</xdr:colOff>
      <xdr:row>18</xdr:row>
      <xdr:rowOff>178943</xdr:rowOff>
    </xdr:to>
    <xdr:graphicFrame macro="">
      <xdr:nvGraphicFramePr>
        <xdr:cNvPr id="29" name="Chart_Location">
          <a:extLst>
            <a:ext uri="{FF2B5EF4-FFF2-40B4-BE49-F238E27FC236}">
              <a16:creationId xmlns:a16="http://schemas.microsoft.com/office/drawing/2014/main" id="{0AC7151A-5545-2289-FCD5-F499FD089D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25400</xdr:colOff>
      <xdr:row>19</xdr:row>
      <xdr:rowOff>66320</xdr:rowOff>
    </xdr:from>
    <xdr:to>
      <xdr:col>4</xdr:col>
      <xdr:colOff>568960</xdr:colOff>
      <xdr:row>29</xdr:row>
      <xdr:rowOff>76201</xdr:rowOff>
    </xdr:to>
    <xdr:graphicFrame macro="">
      <xdr:nvGraphicFramePr>
        <xdr:cNvPr id="30" name="Chart_Status">
          <a:extLst>
            <a:ext uri="{FF2B5EF4-FFF2-40B4-BE49-F238E27FC236}">
              <a16:creationId xmlns:a16="http://schemas.microsoft.com/office/drawing/2014/main" id="{1097383D-888B-4371-CDFC-8B8A64D499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33871</xdr:colOff>
      <xdr:row>19</xdr:row>
      <xdr:rowOff>73051</xdr:rowOff>
    </xdr:from>
    <xdr:to>
      <xdr:col>9</xdr:col>
      <xdr:colOff>577431</xdr:colOff>
      <xdr:row>29</xdr:row>
      <xdr:rowOff>67730</xdr:rowOff>
    </xdr:to>
    <xdr:graphicFrame macro="">
      <xdr:nvGraphicFramePr>
        <xdr:cNvPr id="31" name="Chart_Category">
          <a:extLst>
            <a:ext uri="{FF2B5EF4-FFF2-40B4-BE49-F238E27FC236}">
              <a16:creationId xmlns:a16="http://schemas.microsoft.com/office/drawing/2014/main" id="{19E76C76-C607-3973-D8F1-08BA43A783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72390</xdr:colOff>
      <xdr:row>19</xdr:row>
      <xdr:rowOff>76200</xdr:rowOff>
    </xdr:from>
    <xdr:to>
      <xdr:col>17</xdr:col>
      <xdr:colOff>552145</xdr:colOff>
      <xdr:row>29</xdr:row>
      <xdr:rowOff>59055</xdr:rowOff>
    </xdr:to>
    <xdr:graphicFrame macro="">
      <xdr:nvGraphicFramePr>
        <xdr:cNvPr id="32" name="Chart_Department">
          <a:extLst>
            <a:ext uri="{FF2B5EF4-FFF2-40B4-BE49-F238E27FC236}">
              <a16:creationId xmlns:a16="http://schemas.microsoft.com/office/drawing/2014/main" id="{72BEDD68-A873-3FD7-64B4-C557FBC570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535941</xdr:colOff>
      <xdr:row>19</xdr:row>
      <xdr:rowOff>85090</xdr:rowOff>
    </xdr:from>
    <xdr:to>
      <xdr:col>25</xdr:col>
      <xdr:colOff>81586</xdr:colOff>
      <xdr:row>29</xdr:row>
      <xdr:rowOff>67945</xdr:rowOff>
    </xdr:to>
    <xdr:graphicFrame macro="">
      <xdr:nvGraphicFramePr>
        <xdr:cNvPr id="33" name="Chart_Priority">
          <a:extLst>
            <a:ext uri="{FF2B5EF4-FFF2-40B4-BE49-F238E27FC236}">
              <a16:creationId xmlns:a16="http://schemas.microsoft.com/office/drawing/2014/main" id="{3E3FBFFF-A1C5-4275-2B60-497A674922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19</xdr:col>
      <xdr:colOff>245533</xdr:colOff>
      <xdr:row>8</xdr:row>
      <xdr:rowOff>63077</xdr:rowOff>
    </xdr:from>
    <xdr:to>
      <xdr:col>22</xdr:col>
      <xdr:colOff>245533</xdr:colOff>
      <xdr:row>18</xdr:row>
      <xdr:rowOff>168529</xdr:rowOff>
    </xdr:to>
    <mc:AlternateContent xmlns:mc="http://schemas.openxmlformats.org/markup-compatibility/2006">
      <mc:Choice xmlns:a14="http://schemas.microsoft.com/office/drawing/2010/main" Requires="a14">
        <xdr:graphicFrame macro="">
          <xdr:nvGraphicFramePr>
            <xdr:cNvPr id="34" name="Category">
              <a:extLst>
                <a:ext uri="{FF2B5EF4-FFF2-40B4-BE49-F238E27FC236}">
                  <a16:creationId xmlns:a16="http://schemas.microsoft.com/office/drawing/2014/main" id="{E4C6C37F-6A48-4DC6-50AB-FFBF40279FBD}"/>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1506200" y="1705610"/>
              <a:ext cx="1778000" cy="19342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288714</xdr:colOff>
      <xdr:row>8</xdr:row>
      <xdr:rowOff>71121</xdr:rowOff>
    </xdr:from>
    <xdr:to>
      <xdr:col>24</xdr:col>
      <xdr:colOff>440335</xdr:colOff>
      <xdr:row>18</xdr:row>
      <xdr:rowOff>176573</xdr:rowOff>
    </xdr:to>
    <mc:AlternateContent xmlns:mc="http://schemas.openxmlformats.org/markup-compatibility/2006">
      <mc:Choice xmlns:a14="http://schemas.microsoft.com/office/drawing/2010/main" Requires="a14">
        <xdr:graphicFrame macro="">
          <xdr:nvGraphicFramePr>
            <xdr:cNvPr id="35" name="Status">
              <a:extLst>
                <a:ext uri="{FF2B5EF4-FFF2-40B4-BE49-F238E27FC236}">
                  <a16:creationId xmlns:a16="http://schemas.microsoft.com/office/drawing/2014/main" id="{12858507-A8EA-C43E-C90A-F3C25E9CD458}"/>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dr:sp macro="" textlink="">
          <xdr:nvSpPr>
            <xdr:cNvPr id="0" name=""/>
            <xdr:cNvSpPr>
              <a:spLocks noTextEdit="1"/>
            </xdr:cNvSpPr>
          </xdr:nvSpPr>
          <xdr:spPr>
            <a:xfrm>
              <a:off x="13327381" y="1713654"/>
              <a:ext cx="1336954" cy="19342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533358</xdr:colOff>
      <xdr:row>8</xdr:row>
      <xdr:rowOff>66929</xdr:rowOff>
    </xdr:from>
    <xdr:to>
      <xdr:col>27</xdr:col>
      <xdr:colOff>482540</xdr:colOff>
      <xdr:row>29</xdr:row>
      <xdr:rowOff>94870</xdr:rowOff>
    </xdr:to>
    <mc:AlternateContent xmlns:mc="http://schemas.openxmlformats.org/markup-compatibility/2006">
      <mc:Choice xmlns:a14="http://schemas.microsoft.com/office/drawing/2010/main" Requires="a14">
        <xdr:graphicFrame macro="">
          <xdr:nvGraphicFramePr>
            <xdr:cNvPr id="36" name="Location">
              <a:extLst>
                <a:ext uri="{FF2B5EF4-FFF2-40B4-BE49-F238E27FC236}">
                  <a16:creationId xmlns:a16="http://schemas.microsoft.com/office/drawing/2014/main" id="{BFF74EF4-F041-9F5E-3DE9-7FEF57D2EC30}"/>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dr:sp macro="" textlink="">
          <xdr:nvSpPr>
            <xdr:cNvPr id="0" name=""/>
            <xdr:cNvSpPr>
              <a:spLocks noTextEdit="1"/>
            </xdr:cNvSpPr>
          </xdr:nvSpPr>
          <xdr:spPr>
            <a:xfrm>
              <a:off x="14757358" y="1709462"/>
              <a:ext cx="1727182" cy="3880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22</xdr:col>
      <xdr:colOff>662940</xdr:colOff>
      <xdr:row>2</xdr:row>
      <xdr:rowOff>0</xdr:rowOff>
    </xdr:from>
    <xdr:to>
      <xdr:col>23</xdr:col>
      <xdr:colOff>110066</xdr:colOff>
      <xdr:row>2</xdr:row>
      <xdr:rowOff>91440</xdr:rowOff>
    </xdr:to>
    <xdr:sp macro="[0]!Dashboard.BuildProjectDashboard" textlink="">
      <xdr:nvSpPr>
        <xdr:cNvPr id="2" name="Rectangle: Rounded Corners 1">
          <a:extLst>
            <a:ext uri="{FF2B5EF4-FFF2-40B4-BE49-F238E27FC236}">
              <a16:creationId xmlns:a16="http://schemas.microsoft.com/office/drawing/2014/main" id="{C8487CAC-EDFB-412F-86A8-D3BC8874CFF2}"/>
            </a:ext>
          </a:extLst>
        </xdr:cNvPr>
        <xdr:cNvSpPr/>
      </xdr:nvSpPr>
      <xdr:spPr>
        <a:xfrm>
          <a:off x="17426940" y="601980"/>
          <a:ext cx="117686" cy="91440"/>
        </a:xfrm>
        <a:prstGeom prst="roundRect">
          <a:avLst>
            <a:gd name="adj" fmla="val 50000"/>
          </a:avLst>
        </a:prstGeom>
        <a:solidFill>
          <a:srgbClr val="005F3C"/>
        </a:solidFill>
        <a:ln>
          <a:solidFill>
            <a:schemeClr val="accent6">
              <a:lumMod val="20000"/>
              <a:lumOff val="80000"/>
            </a:schemeClr>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800" b="1">
              <a:solidFill>
                <a:schemeClr val="lt1"/>
              </a:solidFill>
              <a:effectLst/>
              <a:latin typeface="+mn-lt"/>
              <a:ea typeface="+mn-ea"/>
              <a:cs typeface="+mn-cs"/>
            </a:rPr>
            <a:t>Build Dashboard </a:t>
          </a:r>
          <a:endParaRPr lang="en-GB" sz="1800" b="1">
            <a:effectLst/>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maan" refreshedDate="46303.905175" createdVersion="3" refreshedVersion="8" minRefreshableVersion="3" recordCount="75" xr:uid="{4D8A08EF-AEB3-485D-9E19-78617030E45E}">
  <cacheSource type="worksheet">
    <worksheetSource ref="A1:S76" sheet="Data"/>
  </cacheSource>
  <cacheFields count="19">
    <cacheField name="Project ID" numFmtId="0">
      <sharedItems/>
    </cacheField>
    <cacheField name="Start Date" numFmtId="164">
      <sharedItems containsSemiMixedTypes="0" containsNonDate="0" containsDate="1" containsString="0" minDate="2023-01-24T00:00:00" maxDate="2025-06-21T00:00:00"/>
    </cacheField>
    <cacheField name="Category" numFmtId="0">
      <sharedItems count="6">
        <s v="R&amp;D"/>
        <s v="Operations"/>
        <s v="Construction"/>
        <s v="IT"/>
        <s v="HR"/>
        <s v="Marketing"/>
      </sharedItems>
    </cacheField>
    <cacheField name="Sub Category" numFmtId="0">
      <sharedItems/>
    </cacheField>
    <cacheField name="Project Name" numFmtId="0">
      <sharedItems/>
    </cacheField>
    <cacheField name="Location" numFmtId="0">
      <sharedItems count="9">
        <s v="Nashik"/>
        <s v="Mumbai"/>
        <s v="Pune"/>
        <s v="Kolkata"/>
        <s v="Bangalore"/>
        <s v="Ahmedabad"/>
        <s v="Chennai"/>
        <s v="Hyderabad"/>
        <s v="Delhi"/>
      </sharedItems>
    </cacheField>
    <cacheField name="Department" numFmtId="0">
      <sharedItems count="9">
        <s v="Production"/>
        <s v="Operations"/>
        <s v="Admin"/>
        <s v="Sales"/>
        <s v="R&amp;D"/>
        <s v="HR"/>
        <s v="Logistics"/>
        <s v="IT"/>
        <s v="Finance"/>
      </sharedItems>
    </cacheField>
    <cacheField name="Status" numFmtId="0">
      <sharedItems count="5">
        <s v="Completed"/>
        <s v="Active"/>
        <s v="Planning"/>
        <s v="Delayed"/>
        <s v="On Hold"/>
      </sharedItems>
    </cacheField>
    <cacheField name="Priority" numFmtId="0">
      <sharedItems count="3">
        <s v="High"/>
        <s v="Medium"/>
        <s v="Low"/>
      </sharedItems>
    </cacheField>
    <cacheField name="Budget (₹)" numFmtId="165">
      <sharedItems containsSemiMixedTypes="0" containsString="0" containsNumber="1" containsInteger="1" minValue="8100" maxValue="98000"/>
    </cacheField>
    <cacheField name="Actual Cost (₹)" numFmtId="165">
      <sharedItems containsSemiMixedTypes="0" containsString="0" containsNumber="1" containsInteger="1" minValue="10300" maxValue="98000"/>
    </cacheField>
    <cacheField name="Assigned To" numFmtId="0">
      <sharedItems/>
    </cacheField>
    <cacheField name="Progress (%)" numFmtId="0">
      <sharedItems containsSemiMixedTypes="0" containsString="0" containsNumber="1" containsInteger="1" minValue="2" maxValue="100"/>
    </cacheField>
    <cacheField name="Due Date" numFmtId="0">
      <sharedItems containsSemiMixedTypes="0" containsString="0" containsNumber="1" containsInteger="1" minValue="45299" maxValue="46466"/>
    </cacheField>
    <cacheField name="Month" numFmtId="0">
      <sharedItems count="12">
        <s v="Jan"/>
        <s v="Feb"/>
        <s v="Mar"/>
        <s v="Apr"/>
        <s v="May"/>
        <s v="Jun"/>
        <s v="Jul"/>
        <s v="Aug"/>
        <s v="Sep"/>
        <s v="Oct"/>
        <s v="Nov"/>
        <s v="Dec"/>
      </sharedItems>
    </cacheField>
    <cacheField name="Month No" numFmtId="0">
      <sharedItems containsSemiMixedTypes="0" containsString="0" containsNumber="1" containsInteger="1" minValue="1" maxValue="12"/>
    </cacheField>
    <cacheField name="Quarter" numFmtId="0">
      <sharedItems/>
    </cacheField>
    <cacheField name="Year" numFmtId="0">
      <sharedItems containsSemiMixedTypes="0" containsString="0" containsNumber="1" containsInteger="1" minValue="2023" maxValue="2025"/>
    </cacheField>
    <cacheField name="Project Age (Years)" numFmtId="0">
      <sharedItems containsSemiMixedTypes="0" containsString="0" containsNumber="1" minValue="1.3" maxValue="3.7"/>
    </cacheField>
  </cacheFields>
  <extLst>
    <ext xmlns:x14="http://schemas.microsoft.com/office/spreadsheetml/2009/9/main" uri="{725AE2AE-9491-48be-B2B4-4EB974FC3084}">
      <x14:pivotCacheDefinition pivotCacheId="7492989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5">
  <r>
    <s v="PRJ-001"/>
    <d v="2023-01-24T00:00:00"/>
    <x v="0"/>
    <s v="Product"/>
    <s v="New Product Line Development"/>
    <x v="0"/>
    <x v="0"/>
    <x v="0"/>
    <x v="0"/>
    <n v="15900"/>
    <n v="15900"/>
    <s v="Priya Patel"/>
    <n v="100"/>
    <n v="45550"/>
    <x v="0"/>
    <n v="1"/>
    <s v="Q1"/>
    <n v="2023"/>
    <n v="3.7"/>
  </r>
  <r>
    <s v="PRJ-002"/>
    <d v="2023-02-05T00:00:00"/>
    <x v="1"/>
    <s v="Supply Chain"/>
    <s v="Quality Improvement Drive"/>
    <x v="1"/>
    <x v="1"/>
    <x v="1"/>
    <x v="0"/>
    <n v="20000"/>
    <n v="20000"/>
    <s v="Priya Patel"/>
    <n v="32"/>
    <n v="45375"/>
    <x v="1"/>
    <n v="2"/>
    <s v="Q1"/>
    <n v="2023"/>
    <n v="3.7"/>
  </r>
  <r>
    <s v="PRJ-003"/>
    <d v="2023-03-19T00:00:00"/>
    <x v="2"/>
    <s v="Factory Expansion"/>
    <s v="Site Development Phase 1"/>
    <x v="1"/>
    <x v="2"/>
    <x v="2"/>
    <x v="0"/>
    <n v="17000"/>
    <n v="17000"/>
    <s v="Aarav Joshi"/>
    <n v="9"/>
    <n v="45610"/>
    <x v="2"/>
    <n v="3"/>
    <s v="Q1"/>
    <n v="2023"/>
    <n v="3.6"/>
  </r>
  <r>
    <s v="PRJ-004"/>
    <d v="2023-04-05T00:00:00"/>
    <x v="3"/>
    <s v="Cybersecurity"/>
    <s v="CRM Implementation"/>
    <x v="0"/>
    <x v="3"/>
    <x v="1"/>
    <x v="0"/>
    <n v="85000"/>
    <n v="85000"/>
    <s v="Aarav Joshi"/>
    <n v="49"/>
    <n v="45481"/>
    <x v="3"/>
    <n v="4"/>
    <s v="Q2"/>
    <n v="2023"/>
    <n v="3.5"/>
  </r>
  <r>
    <s v="PRJ-005"/>
    <d v="2023-04-20T00:00:00"/>
    <x v="2"/>
    <s v="Office Fitout"/>
    <s v="Interior Fitout - 2026"/>
    <x v="1"/>
    <x v="4"/>
    <x v="1"/>
    <x v="0"/>
    <n v="24600"/>
    <n v="24600"/>
    <s v="Rohit Mehta"/>
    <n v="81"/>
    <n v="45328"/>
    <x v="3"/>
    <n v="4"/>
    <s v="Q2"/>
    <n v="2023"/>
    <n v="3.5"/>
  </r>
  <r>
    <s v="PRJ-006"/>
    <d v="2023-05-05T00:00:00"/>
    <x v="0"/>
    <s v="Product"/>
    <s v="Material Research Initiative"/>
    <x v="2"/>
    <x v="0"/>
    <x v="2"/>
    <x v="1"/>
    <n v="79000"/>
    <n v="79000"/>
    <s v="Pooja Nair"/>
    <n v="7"/>
    <n v="45299"/>
    <x v="4"/>
    <n v="5"/>
    <s v="Q2"/>
    <n v="2023"/>
    <n v="3.4"/>
  </r>
  <r>
    <s v="PRJ-007"/>
    <d v="2023-05-17T00:00:00"/>
    <x v="1"/>
    <s v="Supply Chain"/>
    <s v="Supply Chain Optimization"/>
    <x v="1"/>
    <x v="1"/>
    <x v="3"/>
    <x v="0"/>
    <n v="84000"/>
    <n v="84000"/>
    <s v="Sneha Gupta"/>
    <n v="68"/>
    <n v="45317"/>
    <x v="4"/>
    <n v="5"/>
    <s v="Q2"/>
    <n v="2023"/>
    <n v="3.4"/>
  </r>
  <r>
    <s v="PRJ-008"/>
    <d v="2023-05-18T00:00:00"/>
    <x v="1"/>
    <s v="Process Improvement"/>
    <s v="Logistics Network Redesign"/>
    <x v="0"/>
    <x v="2"/>
    <x v="4"/>
    <x v="0"/>
    <n v="76000"/>
    <n v="76000"/>
    <s v="Meera Patel"/>
    <n v="29"/>
    <n v="45635"/>
    <x v="4"/>
    <n v="5"/>
    <s v="Q2"/>
    <n v="2023"/>
    <n v="3.4"/>
  </r>
  <r>
    <s v="PRJ-009"/>
    <d v="2023-05-28T00:00:00"/>
    <x v="4"/>
    <s v="Employee Engagement"/>
    <s v="Recruitment Drive 2022026"/>
    <x v="3"/>
    <x v="4"/>
    <x v="3"/>
    <x v="2"/>
    <n v="13000"/>
    <n v="13000"/>
    <s v="Ananya Sharma"/>
    <n v="42"/>
    <n v="45577"/>
    <x v="4"/>
    <n v="5"/>
    <s v="Q2"/>
    <n v="2023"/>
    <n v="3.4"/>
  </r>
  <r>
    <s v="PRJ-010"/>
    <d v="2023-06-10T00:00:00"/>
    <x v="5"/>
    <s v="Brand"/>
    <s v="Digital Marketing Drive"/>
    <x v="0"/>
    <x v="4"/>
    <x v="0"/>
    <x v="0"/>
    <n v="66000"/>
    <n v="66000"/>
    <s v="Meera Patel"/>
    <n v="100"/>
    <n v="45422"/>
    <x v="5"/>
    <n v="6"/>
    <s v="Q2"/>
    <n v="2023"/>
    <n v="3.3"/>
  </r>
  <r>
    <s v="PRJ-011"/>
    <d v="2023-06-16T00:00:00"/>
    <x v="1"/>
    <s v="Process Improvement"/>
    <s v="Logistics Network Redesign"/>
    <x v="1"/>
    <x v="4"/>
    <x v="1"/>
    <x v="1"/>
    <n v="28000"/>
    <n v="28000"/>
    <s v="Ananya Sharma"/>
    <n v="33"/>
    <n v="45720"/>
    <x v="5"/>
    <n v="6"/>
    <s v="Q2"/>
    <n v="2023"/>
    <n v="3.3"/>
  </r>
  <r>
    <s v="PRJ-012"/>
    <d v="2023-06-16T00:00:00"/>
    <x v="1"/>
    <s v="Quality"/>
    <s v="Supply Chain Optimization"/>
    <x v="2"/>
    <x v="1"/>
    <x v="3"/>
    <x v="2"/>
    <n v="40000"/>
    <n v="40000"/>
    <s v="Ananya Sharma"/>
    <n v="68"/>
    <n v="45469"/>
    <x v="5"/>
    <n v="6"/>
    <s v="Q2"/>
    <n v="2023"/>
    <n v="3.3"/>
  </r>
  <r>
    <s v="PRJ-013"/>
    <d v="2023-06-25T00:00:00"/>
    <x v="0"/>
    <s v="Product"/>
    <s v="Prototype Testing Phase 2"/>
    <x v="0"/>
    <x v="1"/>
    <x v="0"/>
    <x v="1"/>
    <n v="12100"/>
    <n v="12100"/>
    <s v="Vikram Reddy"/>
    <n v="100"/>
    <n v="45330"/>
    <x v="5"/>
    <n v="6"/>
    <s v="Q2"/>
    <n v="2023"/>
    <n v="3.3"/>
  </r>
  <r>
    <s v="PRJ-014"/>
    <d v="2023-07-22T00:00:00"/>
    <x v="3"/>
    <s v="Infrastructure"/>
    <s v="Legacy System Modernization"/>
    <x v="4"/>
    <x v="1"/>
    <x v="3"/>
    <x v="1"/>
    <n v="34000"/>
    <n v="34000"/>
    <s v="Rahul Sharma"/>
    <n v="71"/>
    <n v="45356"/>
    <x v="6"/>
    <n v="7"/>
    <s v="Q3"/>
    <n v="2023"/>
    <n v="3.2"/>
  </r>
  <r>
    <s v="PRJ-015"/>
    <d v="2023-07-30T00:00:00"/>
    <x v="2"/>
    <s v="Factory Expansion"/>
    <s v="Warehouse Expansion"/>
    <x v="5"/>
    <x v="3"/>
    <x v="0"/>
    <x v="1"/>
    <n v="14300"/>
    <n v="14300"/>
    <s v="Priya Patel"/>
    <n v="100"/>
    <n v="45513"/>
    <x v="6"/>
    <n v="7"/>
    <s v="Q3"/>
    <n v="2023"/>
    <n v="3.2"/>
  </r>
  <r>
    <s v="PRJ-016"/>
    <d v="2023-08-27T00:00:00"/>
    <x v="2"/>
    <s v="Factory Expansion"/>
    <s v="New Office Wing - 2024"/>
    <x v="4"/>
    <x v="3"/>
    <x v="1"/>
    <x v="1"/>
    <n v="25400"/>
    <n v="25400"/>
    <s v="Meera Patel"/>
    <n v="82"/>
    <n v="45510"/>
    <x v="7"/>
    <n v="8"/>
    <s v="Q3"/>
    <n v="2023"/>
    <n v="3.1"/>
  </r>
  <r>
    <s v="PRJ-017"/>
    <d v="2023-09-14T00:00:00"/>
    <x v="2"/>
    <s v="Office Fitout"/>
    <s v="Site Development Phase 1"/>
    <x v="6"/>
    <x v="5"/>
    <x v="3"/>
    <x v="1"/>
    <n v="25100"/>
    <n v="25100"/>
    <s v="Neha Gupta"/>
    <n v="50"/>
    <n v="45692"/>
    <x v="8"/>
    <n v="9"/>
    <s v="Q3"/>
    <n v="2023"/>
    <n v="3.1"/>
  </r>
  <r>
    <s v="PRJ-018"/>
    <d v="2023-09-15T00:00:00"/>
    <x v="5"/>
    <s v="Content"/>
    <s v="Digital Marketing Drive"/>
    <x v="0"/>
    <x v="3"/>
    <x v="2"/>
    <x v="0"/>
    <n v="72000"/>
    <n v="72000"/>
    <s v="Priya Patel"/>
    <n v="13"/>
    <n v="45671"/>
    <x v="8"/>
    <n v="9"/>
    <s v="Q3"/>
    <n v="2023"/>
    <n v="3.1"/>
  </r>
  <r>
    <s v="PRJ-019"/>
    <d v="2023-09-17T00:00:00"/>
    <x v="2"/>
    <s v="Infrastructure"/>
    <s v="Warehouse Expansion"/>
    <x v="1"/>
    <x v="2"/>
    <x v="2"/>
    <x v="0"/>
    <n v="23200"/>
    <n v="23200"/>
    <s v="Vikram Reddy"/>
    <n v="15"/>
    <n v="45483"/>
    <x v="8"/>
    <n v="9"/>
    <s v="Q3"/>
    <n v="2023"/>
    <n v="3.1"/>
  </r>
  <r>
    <s v="PRJ-020"/>
    <d v="2023-09-22T00:00:00"/>
    <x v="5"/>
    <s v="Events"/>
    <s v="Digital Marketing Drive"/>
    <x v="3"/>
    <x v="4"/>
    <x v="0"/>
    <x v="2"/>
    <n v="79000"/>
    <n v="79000"/>
    <s v="Aarav Joshi"/>
    <n v="100"/>
    <n v="45624"/>
    <x v="8"/>
    <n v="9"/>
    <s v="Q3"/>
    <n v="2023"/>
    <n v="3"/>
  </r>
  <r>
    <s v="PRJ-021"/>
    <d v="2023-10-09T00:00:00"/>
    <x v="2"/>
    <s v="Warehouse"/>
    <s v="New Office Wing - 2024"/>
    <x v="1"/>
    <x v="2"/>
    <x v="4"/>
    <x v="0"/>
    <n v="16000"/>
    <n v="16000"/>
    <s v="Divya Nair"/>
    <n v="35"/>
    <n v="45417"/>
    <x v="9"/>
    <n v="10"/>
    <s v="Q4"/>
    <n v="2023"/>
    <n v="3"/>
  </r>
  <r>
    <s v="PRJ-022"/>
    <d v="2023-10-22T00:00:00"/>
    <x v="3"/>
    <s v="Software"/>
    <s v="Security Audit 2026"/>
    <x v="6"/>
    <x v="6"/>
    <x v="1"/>
    <x v="1"/>
    <n v="26000"/>
    <n v="26000"/>
    <s v="Karthik Iyer"/>
    <n v="64"/>
    <n v="45545"/>
    <x v="9"/>
    <n v="10"/>
    <s v="Q4"/>
    <n v="2023"/>
    <n v="3"/>
  </r>
  <r>
    <s v="PRJ-023"/>
    <d v="2023-10-26T00:00:00"/>
    <x v="0"/>
    <s v="Innovation"/>
    <s v="New Product Line Development"/>
    <x v="3"/>
    <x v="7"/>
    <x v="1"/>
    <x v="1"/>
    <n v="68000"/>
    <n v="68000"/>
    <s v="Pooja Nair"/>
    <n v="36"/>
    <n v="45395"/>
    <x v="9"/>
    <n v="10"/>
    <s v="Q4"/>
    <n v="2023"/>
    <n v="3"/>
  </r>
  <r>
    <s v="PRJ-024"/>
    <d v="2023-11-15T00:00:00"/>
    <x v="1"/>
    <s v="Logistics"/>
    <s v="Logistics Network Redesign"/>
    <x v="1"/>
    <x v="7"/>
    <x v="1"/>
    <x v="1"/>
    <n v="38000"/>
    <n v="38000"/>
    <s v="Priya Patel"/>
    <n v="55"/>
    <n v="45475"/>
    <x v="10"/>
    <n v="11"/>
    <s v="Q4"/>
    <n v="2023"/>
    <n v="2.9"/>
  </r>
  <r>
    <s v="PRJ-025"/>
    <d v="2023-11-17T00:00:00"/>
    <x v="4"/>
    <s v="Training"/>
    <s v="Recruitment Drive 2022025"/>
    <x v="4"/>
    <x v="1"/>
    <x v="1"/>
    <x v="1"/>
    <n v="48000"/>
    <n v="48000"/>
    <s v="Vikram Reddy"/>
    <n v="54"/>
    <n v="45748"/>
    <x v="10"/>
    <n v="11"/>
    <s v="Q4"/>
    <n v="2023"/>
    <n v="2.9"/>
  </r>
  <r>
    <s v="PRJ-026"/>
    <d v="2023-11-24T00:00:00"/>
    <x v="5"/>
    <s v="Brand"/>
    <s v="Brand Campaign Q2"/>
    <x v="7"/>
    <x v="1"/>
    <x v="1"/>
    <x v="0"/>
    <n v="39000"/>
    <n v="39000"/>
    <s v="Rohit Mehta"/>
    <n v="89"/>
    <n v="45904"/>
    <x v="10"/>
    <n v="11"/>
    <s v="Q4"/>
    <n v="2023"/>
    <n v="2.9"/>
  </r>
  <r>
    <s v="PRJ-027"/>
    <d v="2023-12-04T00:00:00"/>
    <x v="0"/>
    <s v="Innovation"/>
    <s v="New Product Line Development"/>
    <x v="2"/>
    <x v="5"/>
    <x v="1"/>
    <x v="0"/>
    <n v="10300"/>
    <n v="10300"/>
    <s v="Pooja Nair"/>
    <n v="78"/>
    <n v="45648"/>
    <x v="11"/>
    <n v="12"/>
    <s v="Q4"/>
    <n v="2023"/>
    <n v="2.8"/>
  </r>
  <r>
    <s v="PRJ-028"/>
    <d v="2024-01-17T00:00:00"/>
    <x v="5"/>
    <s v="SEO"/>
    <s v="Product Launch Campaign"/>
    <x v="1"/>
    <x v="6"/>
    <x v="1"/>
    <x v="1"/>
    <n v="22000"/>
    <n v="22000"/>
    <s v="Rohit Mehta"/>
    <n v="65"/>
    <n v="45911"/>
    <x v="0"/>
    <n v="1"/>
    <s v="Q1"/>
    <n v="2024"/>
    <n v="2.7"/>
  </r>
  <r>
    <s v="PRJ-029"/>
    <d v="2024-02-01T00:00:00"/>
    <x v="2"/>
    <s v="Infrastructure"/>
    <s v="Interior Fitout - 2025"/>
    <x v="3"/>
    <x v="7"/>
    <x v="1"/>
    <x v="1"/>
    <n v="15800"/>
    <n v="15800"/>
    <s v="Ananya Sharma"/>
    <n v="58"/>
    <n v="45763"/>
    <x v="1"/>
    <n v="2"/>
    <s v="Q1"/>
    <n v="2024"/>
    <n v="2.7"/>
  </r>
  <r>
    <s v="PRJ-030"/>
    <d v="2024-02-03T00:00:00"/>
    <x v="0"/>
    <s v="Process"/>
    <s v="New Product Line Development"/>
    <x v="1"/>
    <x v="0"/>
    <x v="1"/>
    <x v="0"/>
    <n v="13800"/>
    <n v="13800"/>
    <s v="Rohit Mehta"/>
    <n v="66"/>
    <n v="45887"/>
    <x v="1"/>
    <n v="2"/>
    <s v="Q1"/>
    <n v="2024"/>
    <n v="2.7"/>
  </r>
  <r>
    <s v="PRJ-031"/>
    <d v="2024-02-08T00:00:00"/>
    <x v="5"/>
    <s v="Content"/>
    <s v="Product Launch Campaign"/>
    <x v="6"/>
    <x v="5"/>
    <x v="4"/>
    <x v="0"/>
    <n v="46000"/>
    <n v="46000"/>
    <s v="Ananya Joshi"/>
    <n v="12"/>
    <n v="45753"/>
    <x v="1"/>
    <n v="2"/>
    <s v="Q1"/>
    <n v="2024"/>
    <n v="2.7"/>
  </r>
  <r>
    <s v="PRJ-032"/>
    <d v="2024-02-13T00:00:00"/>
    <x v="1"/>
    <s v="Supply Chain"/>
    <s v="Logistics Network Redesign"/>
    <x v="1"/>
    <x v="2"/>
    <x v="1"/>
    <x v="2"/>
    <n v="80000"/>
    <n v="80000"/>
    <s v="Priya Patel"/>
    <n v="53"/>
    <n v="45970"/>
    <x v="1"/>
    <n v="2"/>
    <s v="Q1"/>
    <n v="2024"/>
    <n v="2.7"/>
  </r>
  <r>
    <s v="PRJ-033"/>
    <d v="2024-02-27T00:00:00"/>
    <x v="5"/>
    <s v="Events"/>
    <s v="Brand Campaign Q3"/>
    <x v="7"/>
    <x v="4"/>
    <x v="3"/>
    <x v="0"/>
    <n v="80000"/>
    <n v="80000"/>
    <s v="Priya Patel"/>
    <n v="56"/>
    <n v="45948"/>
    <x v="1"/>
    <n v="2"/>
    <s v="Q1"/>
    <n v="2024"/>
    <n v="2.6"/>
  </r>
  <r>
    <s v="PRJ-034"/>
    <d v="2024-03-04T00:00:00"/>
    <x v="4"/>
    <s v="Recruitment"/>
    <s v="HR Policy Overhaul"/>
    <x v="6"/>
    <x v="4"/>
    <x v="1"/>
    <x v="1"/>
    <n v="84000"/>
    <n v="84000"/>
    <s v="Meera Patel"/>
    <n v="31"/>
    <n v="45574"/>
    <x v="2"/>
    <n v="3"/>
    <s v="Q1"/>
    <n v="2024"/>
    <n v="2.6"/>
  </r>
  <r>
    <s v="PRJ-035"/>
    <d v="2024-03-11T00:00:00"/>
    <x v="4"/>
    <s v="Policy"/>
    <s v="Employee Engagement Initiative"/>
    <x v="5"/>
    <x v="4"/>
    <x v="1"/>
    <x v="1"/>
    <n v="23000"/>
    <n v="23000"/>
    <s v="Priya Patel"/>
    <n v="68"/>
    <n v="46008"/>
    <x v="2"/>
    <n v="3"/>
    <s v="Q1"/>
    <n v="2024"/>
    <n v="2.6"/>
  </r>
  <r>
    <s v="PRJ-036"/>
    <d v="2024-03-23T00:00:00"/>
    <x v="2"/>
    <s v="Office Fitout"/>
    <s v="Factory Floor Upgrade"/>
    <x v="5"/>
    <x v="5"/>
    <x v="2"/>
    <x v="2"/>
    <n v="19500"/>
    <n v="19500"/>
    <s v="Priya Patel"/>
    <n v="3"/>
    <n v="45697"/>
    <x v="2"/>
    <n v="3"/>
    <s v="Q1"/>
    <n v="2024"/>
    <n v="2.5"/>
  </r>
  <r>
    <s v="PRJ-037"/>
    <d v="2024-03-31T00:00:00"/>
    <x v="5"/>
    <s v="Content"/>
    <s v="SEO Optimization Project"/>
    <x v="3"/>
    <x v="7"/>
    <x v="1"/>
    <x v="0"/>
    <n v="63000"/>
    <n v="63000"/>
    <s v="Priya Patel"/>
    <n v="71"/>
    <n v="45659"/>
    <x v="2"/>
    <n v="3"/>
    <s v="Q1"/>
    <n v="2024"/>
    <n v="2.5"/>
  </r>
  <r>
    <s v="PRJ-038"/>
    <d v="2024-05-16T00:00:00"/>
    <x v="4"/>
    <s v="Policy"/>
    <s v="HR Policy Overhaul"/>
    <x v="1"/>
    <x v="1"/>
    <x v="0"/>
    <x v="0"/>
    <n v="63000"/>
    <n v="63000"/>
    <s v="Sneha Gupta"/>
    <n v="100"/>
    <n v="45917"/>
    <x v="4"/>
    <n v="5"/>
    <s v="Q2"/>
    <n v="2024"/>
    <n v="2.4"/>
  </r>
  <r>
    <s v="PRJ-039"/>
    <d v="2024-05-30T00:00:00"/>
    <x v="3"/>
    <s v="Cybersecurity"/>
    <s v="Data Center Upgrade"/>
    <x v="3"/>
    <x v="3"/>
    <x v="3"/>
    <x v="0"/>
    <n v="11800"/>
    <n v="11800"/>
    <s v="Sneha Gupta"/>
    <n v="68"/>
    <n v="45907"/>
    <x v="4"/>
    <n v="5"/>
    <s v="Q2"/>
    <n v="2024"/>
    <n v="2.4"/>
  </r>
  <r>
    <s v="PRJ-040"/>
    <d v="2024-07-20T00:00:00"/>
    <x v="0"/>
    <s v="Prototype"/>
    <s v="New Product Line Development"/>
    <x v="1"/>
    <x v="7"/>
    <x v="3"/>
    <x v="0"/>
    <n v="8100"/>
    <n v="81000"/>
    <s v="Priya Patel"/>
    <n v="73"/>
    <n v="45760"/>
    <x v="6"/>
    <n v="7"/>
    <s v="Q3"/>
    <n v="2024"/>
    <n v="2.2000000000000002"/>
  </r>
  <r>
    <s v="PRJ-041"/>
    <d v="2024-07-21T00:00:00"/>
    <x v="3"/>
    <s v="Hardware"/>
    <s v="Network Refresh 2024"/>
    <x v="5"/>
    <x v="3"/>
    <x v="1"/>
    <x v="0"/>
    <n v="78000"/>
    <n v="78000"/>
    <s v="Karthik Iyer"/>
    <n v="80"/>
    <n v="45856"/>
    <x v="6"/>
    <n v="7"/>
    <s v="Q3"/>
    <n v="2024"/>
    <n v="2.2000000000000002"/>
  </r>
  <r>
    <s v="PRJ-042"/>
    <d v="2024-08-04T00:00:00"/>
    <x v="2"/>
    <s v="Office Fitout"/>
    <s v="Site Development Phase 4"/>
    <x v="6"/>
    <x v="8"/>
    <x v="3"/>
    <x v="2"/>
    <n v="80000"/>
    <n v="80000"/>
    <s v="Meera Patel"/>
    <n v="54"/>
    <n v="46060"/>
    <x v="7"/>
    <n v="8"/>
    <s v="Q3"/>
    <n v="2024"/>
    <n v="2.2000000000000002"/>
  </r>
  <r>
    <s v="PRJ-043"/>
    <d v="2024-08-30T00:00:00"/>
    <x v="1"/>
    <s v="Quality"/>
    <s v="Process Automation Phase 4"/>
    <x v="3"/>
    <x v="0"/>
    <x v="2"/>
    <x v="1"/>
    <n v="33000"/>
    <n v="33000"/>
    <s v="Pooja Nair"/>
    <n v="2"/>
    <n v="46008"/>
    <x v="7"/>
    <n v="8"/>
    <s v="Q3"/>
    <n v="2024"/>
    <n v="2.1"/>
  </r>
  <r>
    <s v="PRJ-044"/>
    <d v="2024-09-01T00:00:00"/>
    <x v="5"/>
    <s v="Content"/>
    <s v="Content Strategy Overhaul"/>
    <x v="0"/>
    <x v="5"/>
    <x v="3"/>
    <x v="0"/>
    <n v="82000"/>
    <n v="82000"/>
    <s v="Karthik Iyer"/>
    <n v="56"/>
    <n v="45824"/>
    <x v="8"/>
    <n v="9"/>
    <s v="Q3"/>
    <n v="2024"/>
    <n v="2.1"/>
  </r>
  <r>
    <s v="PRJ-045"/>
    <d v="2024-09-04T00:00:00"/>
    <x v="0"/>
    <s v="Process"/>
    <s v="New Product Line Development"/>
    <x v="0"/>
    <x v="1"/>
    <x v="1"/>
    <x v="0"/>
    <n v="11600"/>
    <n v="11600"/>
    <s v="Vikram Reddy"/>
    <n v="36"/>
    <n v="45895"/>
    <x v="8"/>
    <n v="9"/>
    <s v="Q3"/>
    <n v="2024"/>
    <n v="2.1"/>
  </r>
  <r>
    <s v="PRJ-046"/>
    <d v="2024-09-05T00:00:00"/>
    <x v="0"/>
    <s v="Prototype"/>
    <s v="New Product Line Development"/>
    <x v="3"/>
    <x v="5"/>
    <x v="3"/>
    <x v="1"/>
    <n v="81000"/>
    <n v="81000"/>
    <s v="Ananya Joshi"/>
    <n v="77"/>
    <n v="45858"/>
    <x v="8"/>
    <n v="9"/>
    <s v="Q3"/>
    <n v="2024"/>
    <n v="2.1"/>
  </r>
  <r>
    <s v="PRJ-047"/>
    <d v="2024-09-16T00:00:00"/>
    <x v="0"/>
    <s v="Innovation"/>
    <s v="New Product Line Development"/>
    <x v="4"/>
    <x v="4"/>
    <x v="0"/>
    <x v="1"/>
    <n v="12200"/>
    <n v="12200"/>
    <s v="Sneha Gupta"/>
    <n v="100"/>
    <n v="45923"/>
    <x v="8"/>
    <n v="9"/>
    <s v="Q3"/>
    <n v="2024"/>
    <n v="2.1"/>
  </r>
  <r>
    <s v="PRJ-048"/>
    <d v="2024-09-16T00:00:00"/>
    <x v="4"/>
    <s v="Employee Engagement"/>
    <s v="Leadership Training Program"/>
    <x v="0"/>
    <x v="0"/>
    <x v="1"/>
    <x v="0"/>
    <n v="64000"/>
    <n v="64000"/>
    <s v="Vikram Reddy"/>
    <n v="90"/>
    <n v="46054"/>
    <x v="8"/>
    <n v="9"/>
    <s v="Q3"/>
    <n v="2024"/>
    <n v="2.1"/>
  </r>
  <r>
    <s v="PRJ-049"/>
    <d v="2024-10-10T00:00:00"/>
    <x v="5"/>
    <s v="Digital"/>
    <s v="Digital Marketing Drive"/>
    <x v="8"/>
    <x v="0"/>
    <x v="1"/>
    <x v="0"/>
    <n v="15000"/>
    <n v="15000"/>
    <s v="Karthik Iyer"/>
    <n v="33"/>
    <n v="46037"/>
    <x v="9"/>
    <n v="10"/>
    <s v="Q4"/>
    <n v="2024"/>
    <n v="2"/>
  </r>
  <r>
    <s v="PRJ-050"/>
    <d v="2024-10-25T00:00:00"/>
    <x v="5"/>
    <s v="SEO"/>
    <s v="SEO Optimization Project"/>
    <x v="8"/>
    <x v="7"/>
    <x v="1"/>
    <x v="0"/>
    <n v="66000"/>
    <n v="66000"/>
    <s v="Arjun Singh"/>
    <n v="63"/>
    <n v="46134"/>
    <x v="9"/>
    <n v="10"/>
    <s v="Q4"/>
    <n v="2024"/>
    <n v="2"/>
  </r>
  <r>
    <s v="PRJ-051"/>
    <d v="2024-10-28T00:00:00"/>
    <x v="5"/>
    <s v="SEO"/>
    <s v="SEO Optimization Project"/>
    <x v="2"/>
    <x v="8"/>
    <x v="2"/>
    <x v="0"/>
    <n v="48000"/>
    <n v="48000"/>
    <s v="Arjun Singh"/>
    <n v="7"/>
    <n v="46200"/>
    <x v="9"/>
    <n v="10"/>
    <s v="Q4"/>
    <n v="2024"/>
    <n v="1.9"/>
  </r>
  <r>
    <s v="PRJ-052"/>
    <d v="2024-10-30T00:00:00"/>
    <x v="3"/>
    <s v="Software"/>
    <s v="Security Audit 2024"/>
    <x v="2"/>
    <x v="3"/>
    <x v="1"/>
    <x v="0"/>
    <n v="11900"/>
    <n v="11900"/>
    <s v="Rahul Sharma"/>
    <n v="39"/>
    <n v="45760"/>
    <x v="9"/>
    <n v="10"/>
    <s v="Q4"/>
    <n v="2024"/>
    <n v="1.9"/>
  </r>
  <r>
    <s v="PRJ-053"/>
    <d v="2024-11-25T00:00:00"/>
    <x v="5"/>
    <s v="SEO"/>
    <s v="Product Launch Campaign"/>
    <x v="4"/>
    <x v="8"/>
    <x v="0"/>
    <x v="0"/>
    <n v="64000"/>
    <n v="64000"/>
    <s v="Suresh Kumar"/>
    <n v="100"/>
    <n v="45922"/>
    <x v="10"/>
    <n v="11"/>
    <s v="Q4"/>
    <n v="2024"/>
    <n v="1.9"/>
  </r>
  <r>
    <s v="PRJ-054"/>
    <d v="2024-11-28T00:00:00"/>
    <x v="1"/>
    <s v="Quality"/>
    <s v="Process Automation Phase 4"/>
    <x v="0"/>
    <x v="6"/>
    <x v="1"/>
    <x v="0"/>
    <n v="72000"/>
    <n v="72000"/>
    <s v="Vikram Reddy"/>
    <n v="85"/>
    <n v="46204"/>
    <x v="10"/>
    <n v="11"/>
    <s v="Q4"/>
    <n v="2024"/>
    <n v="1.9"/>
  </r>
  <r>
    <s v="PRJ-055"/>
    <d v="2024-11-30T00:00:00"/>
    <x v="4"/>
    <s v="Employee Engagement"/>
    <s v="Recruitment Drive 2022025"/>
    <x v="5"/>
    <x v="3"/>
    <x v="0"/>
    <x v="1"/>
    <n v="52000"/>
    <n v="52000"/>
    <s v="Ananya Sharma"/>
    <n v="100"/>
    <n v="45813"/>
    <x v="10"/>
    <n v="11"/>
    <s v="Q4"/>
    <n v="2024"/>
    <n v="1.9"/>
  </r>
  <r>
    <s v="PRJ-056"/>
    <d v="2024-12-05T00:00:00"/>
    <x v="1"/>
    <s v="Process Improvement"/>
    <s v="Logistics Network Redesign"/>
    <x v="1"/>
    <x v="7"/>
    <x v="1"/>
    <x v="1"/>
    <n v="78000"/>
    <n v="78000"/>
    <s v="Ananya Joshi"/>
    <n v="84"/>
    <n v="46291"/>
    <x v="11"/>
    <n v="12"/>
    <s v="Q4"/>
    <n v="2024"/>
    <n v="1.8"/>
  </r>
  <r>
    <s v="PRJ-057"/>
    <d v="2024-12-31T00:00:00"/>
    <x v="5"/>
    <s v="Events"/>
    <s v="Digital Marketing Drive"/>
    <x v="1"/>
    <x v="1"/>
    <x v="1"/>
    <x v="1"/>
    <n v="25000"/>
    <n v="25000"/>
    <s v="Rohit Mehta"/>
    <n v="31"/>
    <n v="46153"/>
    <x v="11"/>
    <n v="12"/>
    <s v="Q4"/>
    <n v="2024"/>
    <n v="1.8"/>
  </r>
  <r>
    <s v="PRJ-058"/>
    <d v="2025-01-07T00:00:00"/>
    <x v="5"/>
    <s v="Content"/>
    <s v="Brand Campaign Q2"/>
    <x v="8"/>
    <x v="0"/>
    <x v="3"/>
    <x v="0"/>
    <n v="81000"/>
    <n v="81000"/>
    <s v="Ananya Sharma"/>
    <n v="49"/>
    <n v="45950"/>
    <x v="0"/>
    <n v="1"/>
    <s v="Q1"/>
    <n v="2025"/>
    <n v="1.7"/>
  </r>
  <r>
    <s v="PRJ-059"/>
    <d v="2025-01-30T00:00:00"/>
    <x v="2"/>
    <s v="Office Fitout"/>
    <s v="Site Development Phase 4"/>
    <x v="8"/>
    <x v="4"/>
    <x v="1"/>
    <x v="0"/>
    <n v="16300"/>
    <n v="16300"/>
    <s v="Rahul Sharma"/>
    <n v="35"/>
    <n v="46249"/>
    <x v="0"/>
    <n v="1"/>
    <s v="Q1"/>
    <n v="2025"/>
    <n v="1.7"/>
  </r>
  <r>
    <s v="PRJ-060"/>
    <d v="2025-02-01T00:00:00"/>
    <x v="1"/>
    <s v="Logistics"/>
    <s v="Quality Improvement Drive"/>
    <x v="2"/>
    <x v="8"/>
    <x v="1"/>
    <x v="0"/>
    <n v="81000"/>
    <n v="81000"/>
    <s v="Rahul Sharma"/>
    <n v="35"/>
    <n v="45864"/>
    <x v="1"/>
    <n v="2"/>
    <s v="Q1"/>
    <n v="2025"/>
    <n v="1.7"/>
  </r>
  <r>
    <s v="PRJ-061"/>
    <d v="2025-02-21T00:00:00"/>
    <x v="3"/>
    <s v="Cybersecurity"/>
    <s v="Cloud Migration - 2024"/>
    <x v="0"/>
    <x v="6"/>
    <x v="1"/>
    <x v="2"/>
    <n v="56000"/>
    <n v="56000"/>
    <s v="Neha Gupta"/>
    <n v="43"/>
    <n v="46096"/>
    <x v="1"/>
    <n v="2"/>
    <s v="Q1"/>
    <n v="2025"/>
    <n v="1.6"/>
  </r>
  <r>
    <s v="PRJ-062"/>
    <d v="2025-02-21T00:00:00"/>
    <x v="0"/>
    <s v="Prototype"/>
    <s v="Prototype Testing Phase 1"/>
    <x v="3"/>
    <x v="5"/>
    <x v="1"/>
    <x v="1"/>
    <n v="67000"/>
    <n v="67000"/>
    <s v="Arjun Singh"/>
    <n v="73"/>
    <n v="46002"/>
    <x v="1"/>
    <n v="2"/>
    <s v="Q1"/>
    <n v="2025"/>
    <n v="1.6"/>
  </r>
  <r>
    <s v="PRJ-063"/>
    <d v="2025-02-25T00:00:00"/>
    <x v="3"/>
    <s v="Hardware"/>
    <s v="Cloud Migration - 2024"/>
    <x v="1"/>
    <x v="3"/>
    <x v="1"/>
    <x v="0"/>
    <n v="85000"/>
    <n v="85000"/>
    <s v="Vikram Reddy"/>
    <n v="42"/>
    <n v="46101"/>
    <x v="1"/>
    <n v="2"/>
    <s v="Q1"/>
    <n v="2025"/>
    <n v="1.6"/>
  </r>
  <r>
    <s v="PRJ-064"/>
    <d v="2025-03-03T00:00:00"/>
    <x v="1"/>
    <s v="Quality"/>
    <s v="Supply Chain Optimization"/>
    <x v="2"/>
    <x v="8"/>
    <x v="1"/>
    <x v="1"/>
    <n v="34000"/>
    <n v="34000"/>
    <s v="Divya Nair"/>
    <n v="66"/>
    <n v="45933"/>
    <x v="2"/>
    <n v="3"/>
    <s v="Q1"/>
    <n v="2025"/>
    <n v="1.6"/>
  </r>
  <r>
    <s v="PRJ-065"/>
    <d v="2025-03-16T00:00:00"/>
    <x v="0"/>
    <s v="Product"/>
    <s v="Material Research Initiative"/>
    <x v="5"/>
    <x v="7"/>
    <x v="1"/>
    <x v="2"/>
    <n v="86000"/>
    <n v="86000"/>
    <s v="Neha Gupta"/>
    <n v="91"/>
    <n v="45908"/>
    <x v="2"/>
    <n v="3"/>
    <s v="Q1"/>
    <n v="2025"/>
    <n v="1.6"/>
  </r>
  <r>
    <s v="PRJ-066"/>
    <d v="2025-04-09T00:00:00"/>
    <x v="3"/>
    <s v="Infrastructure"/>
    <s v="Cloud Migration - 2026"/>
    <x v="2"/>
    <x v="1"/>
    <x v="4"/>
    <x v="1"/>
    <n v="96000"/>
    <n v="96000"/>
    <s v="Suresh Kumar"/>
    <n v="34"/>
    <n v="45985"/>
    <x v="3"/>
    <n v="4"/>
    <s v="Q2"/>
    <n v="2025"/>
    <n v="1.5"/>
  </r>
  <r>
    <s v="PRJ-067"/>
    <d v="2025-04-21T00:00:00"/>
    <x v="1"/>
    <s v="Process Improvement"/>
    <s v="Supply Chain Optimization"/>
    <x v="0"/>
    <x v="7"/>
    <x v="1"/>
    <x v="1"/>
    <n v="42000"/>
    <n v="42000"/>
    <s v="Karthik Iyer"/>
    <n v="49"/>
    <n v="46027"/>
    <x v="3"/>
    <n v="4"/>
    <s v="Q2"/>
    <n v="2025"/>
    <n v="1.5"/>
  </r>
  <r>
    <s v="PRJ-068"/>
    <d v="2025-04-21T00:00:00"/>
    <x v="1"/>
    <s v="Logistics"/>
    <s v="Process Automation Phase 4"/>
    <x v="1"/>
    <x v="8"/>
    <x v="4"/>
    <x v="1"/>
    <n v="43000"/>
    <n v="43000"/>
    <s v="Karthik Iyer"/>
    <n v="13"/>
    <n v="46042"/>
    <x v="3"/>
    <n v="4"/>
    <s v="Q2"/>
    <n v="2025"/>
    <n v="1.5"/>
  </r>
  <r>
    <s v="PRJ-069"/>
    <d v="2025-04-22T00:00:00"/>
    <x v="3"/>
    <s v="Hardware"/>
    <s v="BI Dashboard Project"/>
    <x v="7"/>
    <x v="8"/>
    <x v="1"/>
    <x v="0"/>
    <n v="12200"/>
    <n v="12200"/>
    <s v="Meera Patel"/>
    <n v="71"/>
    <n v="45968"/>
    <x v="3"/>
    <n v="4"/>
    <s v="Q2"/>
    <n v="2025"/>
    <n v="1.5"/>
  </r>
  <r>
    <s v="PRJ-070"/>
    <d v="2025-05-10T00:00:00"/>
    <x v="2"/>
    <s v="Infrastructure"/>
    <s v="New Office Wing - 2024"/>
    <x v="8"/>
    <x v="8"/>
    <x v="2"/>
    <x v="0"/>
    <n v="19900"/>
    <n v="19900"/>
    <s v="Sneha Gupta"/>
    <n v="9"/>
    <n v="46193"/>
    <x v="4"/>
    <n v="5"/>
    <s v="Q2"/>
    <n v="2025"/>
    <n v="1.4"/>
  </r>
  <r>
    <s v="PRJ-071"/>
    <d v="2025-05-19T00:00:00"/>
    <x v="0"/>
    <s v="Process"/>
    <s v="Material Research Initiative"/>
    <x v="2"/>
    <x v="8"/>
    <x v="3"/>
    <x v="1"/>
    <n v="43000"/>
    <n v="43000"/>
    <s v="Pooja Nair"/>
    <n v="59"/>
    <n v="46354"/>
    <x v="4"/>
    <n v="5"/>
    <s v="Q2"/>
    <n v="2025"/>
    <n v="1.4"/>
  </r>
  <r>
    <s v="PRJ-072"/>
    <d v="2025-06-03T00:00:00"/>
    <x v="3"/>
    <s v="Cybersecurity"/>
    <s v="BI Dashboard Project"/>
    <x v="1"/>
    <x v="0"/>
    <x v="3"/>
    <x v="1"/>
    <n v="76000"/>
    <n v="76000"/>
    <s v="Suresh Kumar"/>
    <n v="50"/>
    <n v="45963"/>
    <x v="5"/>
    <n v="6"/>
    <s v="Q2"/>
    <n v="2025"/>
    <n v="1.3"/>
  </r>
  <r>
    <s v="PRJ-073"/>
    <d v="2025-06-15T00:00:00"/>
    <x v="5"/>
    <s v="SEO"/>
    <s v="Digital Marketing Drive"/>
    <x v="4"/>
    <x v="7"/>
    <x v="1"/>
    <x v="1"/>
    <n v="49000"/>
    <n v="49000"/>
    <s v="Aarav Joshi"/>
    <n v="38"/>
    <n v="46024"/>
    <x v="5"/>
    <n v="6"/>
    <s v="Q2"/>
    <n v="2025"/>
    <n v="1.3"/>
  </r>
  <r>
    <s v="PRJ-074"/>
    <d v="2025-06-18T00:00:00"/>
    <x v="0"/>
    <s v="Product"/>
    <s v="Process Innovation Project"/>
    <x v="5"/>
    <x v="7"/>
    <x v="3"/>
    <x v="1"/>
    <n v="15800"/>
    <n v="15800"/>
    <s v="Suresh Kumar"/>
    <n v="64"/>
    <n v="46466"/>
    <x v="5"/>
    <n v="6"/>
    <s v="Q2"/>
    <n v="2025"/>
    <n v="1.3"/>
  </r>
  <r>
    <s v="PRJ-075"/>
    <d v="2025-06-20T00:00:00"/>
    <x v="0"/>
    <s v="Process"/>
    <s v="New Product Line Development"/>
    <x v="8"/>
    <x v="2"/>
    <x v="4"/>
    <x v="0"/>
    <n v="98000"/>
    <n v="98000"/>
    <s v="Ananya Sharma"/>
    <n v="28"/>
    <n v="46172"/>
    <x v="5"/>
    <n v="6"/>
    <s v="Q2"/>
    <n v="2025"/>
    <n v="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BF1C4B-3ED0-4A93-8D31-72BDF25907B1}" name="PT_KPI" cacheId="131" applyNumberFormats="0" applyBorderFormats="0" applyFontFormats="0" applyPatternFormats="0" applyAlignmentFormats="0" applyWidthHeightFormats="1" dataCaption="Values" updatedVersion="8" minRefreshableVersion="3" showCalcMbrs="0" useAutoFormatting="1" rowGrandTotals="0" colGrandTotals="0" itemPrintTitles="1" createdVersion="3" indent="0" compact="0" compactData="0" multipleFieldFilters="0">
  <location ref="T3:V5" firstHeaderRow="1" firstDataRow="2" firstDataCol="0"/>
  <pivotFields count="19">
    <pivotField dataField="1" compact="0" outline="0" showAll="0"/>
    <pivotField compact="0" numFmtId="164" outline="0" showAll="0"/>
    <pivotField compact="0" outline="0" showAll="0">
      <items count="7">
        <item x="2"/>
        <item x="4"/>
        <item x="3"/>
        <item x="5"/>
        <item x="1"/>
        <item x="0"/>
        <item t="default"/>
      </items>
    </pivotField>
    <pivotField compact="0" outline="0" showAll="0"/>
    <pivotField compact="0" outline="0" showAll="0"/>
    <pivotField compact="0" outline="0" showAll="0">
      <items count="10">
        <item x="5"/>
        <item x="4"/>
        <item x="6"/>
        <item x="8"/>
        <item x="7"/>
        <item x="3"/>
        <item x="1"/>
        <item x="0"/>
        <item x="2"/>
        <item t="default"/>
      </items>
    </pivotField>
    <pivotField compact="0" outline="0" showAll="0"/>
    <pivotField compact="0" outline="0" showAll="0">
      <items count="6">
        <item x="1"/>
        <item x="0"/>
        <item x="3"/>
        <item x="4"/>
        <item x="2"/>
        <item t="default"/>
      </items>
    </pivotField>
    <pivotField compact="0" outline="0" showAll="0"/>
    <pivotField dataField="1" compact="0" numFmtId="165" outline="0" showAll="0"/>
    <pivotField dataField="1"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Items count="1">
    <i/>
  </rowItems>
  <colFields count="1">
    <field x="-2"/>
  </colFields>
  <colItems count="3">
    <i>
      <x/>
    </i>
    <i i="1">
      <x v="1"/>
    </i>
    <i i="2">
      <x v="2"/>
    </i>
  </colItems>
  <dataFields count="3">
    <dataField name="Total Projects" fld="0" subtotal="count" baseField="0" baseItem="0"/>
    <dataField name="Total Actual Cost" fld="10" baseField="0" baseItem="0"/>
    <dataField name="Total Budget" fld="9"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27DD5B-4AA9-441E-92CB-AA5C663F7A0F}" name="PT_ByPriority" cacheId="131" applyNumberFormats="0" applyBorderFormats="0" applyFontFormats="0" applyPatternFormats="0" applyAlignmentFormats="0" applyWidthHeightFormats="1" dataCaption="Values" updatedVersion="8" minRefreshableVersion="3" showCalcMbrs="0" useAutoFormatting="1" rowGrandTotals="0" colGrandTotals="0" itemPrintTitles="1" createdVersion="3" indent="0" compact="0" compactData="0" multipleFieldFilters="0">
  <location ref="Q3:R6" firstHeaderRow="1" firstDataRow="1" firstDataCol="1"/>
  <pivotFields count="19">
    <pivotField dataField="1" compact="0" outline="0" showAll="0"/>
    <pivotField compact="0" numFmtId="164" outline="0" showAll="0"/>
    <pivotField compact="0" outline="0" showAll="0">
      <items count="7">
        <item x="2"/>
        <item x="4"/>
        <item x="3"/>
        <item x="5"/>
        <item x="1"/>
        <item x="0"/>
        <item t="default"/>
      </items>
    </pivotField>
    <pivotField compact="0" outline="0" showAll="0"/>
    <pivotField compact="0" outline="0" showAll="0"/>
    <pivotField compact="0" outline="0" showAll="0">
      <items count="10">
        <item x="5"/>
        <item x="4"/>
        <item x="6"/>
        <item x="8"/>
        <item x="7"/>
        <item x="3"/>
        <item x="1"/>
        <item x="0"/>
        <item x="2"/>
        <item t="default"/>
      </items>
    </pivotField>
    <pivotField compact="0" outline="0" showAll="0"/>
    <pivotField compact="0" outline="0" showAll="0">
      <items count="6">
        <item x="1"/>
        <item x="0"/>
        <item x="3"/>
        <item x="4"/>
        <item x="2"/>
        <item t="default"/>
      </items>
    </pivotField>
    <pivotField axis="axisRow" compact="0" outline="0" showAll="0">
      <items count="4">
        <item x="0"/>
        <item x="2"/>
        <item x="1"/>
        <item t="default"/>
      </items>
    </pivotField>
    <pivotField compact="0" numFmtId="165"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8"/>
  </rowFields>
  <rowItems count="3">
    <i>
      <x/>
    </i>
    <i>
      <x v="1"/>
    </i>
    <i>
      <x v="2"/>
    </i>
  </rowItems>
  <colItems count="1">
    <i/>
  </colItems>
  <dataFields count="1">
    <dataField name="Project Count" fld="0" subtotal="count" baseField="0" baseItem="0" numFmtId="3"/>
  </dataFields>
  <formats count="1">
    <format dxfId="0">
      <pivotArea outline="0" collapsedLevelsAreSubtotals="1"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DFE7B87-5D8E-48E9-A53A-C26D657CEB45}" name="PT_ByStatus" cacheId="131" applyNumberFormats="0" applyBorderFormats="0" applyFontFormats="0" applyPatternFormats="0" applyAlignmentFormats="0" applyWidthHeightFormats="1" dataCaption="Values" updatedVersion="8" minRefreshableVersion="3" showCalcMbrs="0" useAutoFormatting="1" rowGrandTotals="0" colGrandTotals="0" itemPrintTitles="1" createdVersion="3" indent="0" compact="0" compactData="0" multipleFieldFilters="0">
  <location ref="N3:O8" firstHeaderRow="1" firstDataRow="1" firstDataCol="1"/>
  <pivotFields count="19">
    <pivotField dataField="1" compact="0" outline="0" showAll="0"/>
    <pivotField compact="0" numFmtId="164" outline="0" showAll="0"/>
    <pivotField compact="0" outline="0" showAll="0">
      <items count="7">
        <item x="2"/>
        <item x="4"/>
        <item x="3"/>
        <item x="5"/>
        <item x="1"/>
        <item x="0"/>
        <item t="default"/>
      </items>
    </pivotField>
    <pivotField compact="0" outline="0" showAll="0"/>
    <pivotField compact="0" outline="0" showAll="0"/>
    <pivotField compact="0" outline="0" showAll="0">
      <items count="10">
        <item x="5"/>
        <item x="4"/>
        <item x="6"/>
        <item x="8"/>
        <item x="7"/>
        <item x="3"/>
        <item x="1"/>
        <item x="0"/>
        <item x="2"/>
        <item t="default"/>
      </items>
    </pivotField>
    <pivotField compact="0" outline="0" showAll="0"/>
    <pivotField axis="axisRow" compact="0" outline="0" showAll="0">
      <items count="6">
        <item x="1"/>
        <item x="0"/>
        <item x="3"/>
        <item x="4"/>
        <item x="2"/>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5">
    <i>
      <x/>
    </i>
    <i>
      <x v="1"/>
    </i>
    <i>
      <x v="2"/>
    </i>
    <i>
      <x v="3"/>
    </i>
    <i>
      <x v="4"/>
    </i>
  </rowItems>
  <colItems count="1">
    <i/>
  </colItems>
  <dataFields count="1">
    <dataField name="Project Count" fld="0" subtotal="count" baseField="0" baseItem="0" numFmtId="3"/>
  </dataFields>
  <formats count="1">
    <format dxfId="1">
      <pivotArea outline="0" collapsedLevelsAreSubtotals="1"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1DF1874-09CD-4E88-BF55-194EDDA54E14}" name="PT_ByDepartment" cacheId="131" applyNumberFormats="0" applyBorderFormats="0" applyFontFormats="0" applyPatternFormats="0" applyAlignmentFormats="0" applyWidthHeightFormats="1" dataCaption="Values" updatedVersion="8" minRefreshableVersion="3" showCalcMbrs="0" useAutoFormatting="1" rowGrandTotals="0" colGrandTotals="0" itemPrintTitles="1" createdVersion="3" indent="0" compact="0" compactData="0" multipleFieldFilters="0">
  <location ref="K3:L12" firstHeaderRow="1" firstDataRow="1" firstDataCol="1"/>
  <pivotFields count="19">
    <pivotField dataField="1" compact="0" outline="0" showAll="0"/>
    <pivotField compact="0" numFmtId="164" outline="0" showAll="0"/>
    <pivotField compact="0" outline="0" showAll="0">
      <items count="7">
        <item x="2"/>
        <item x="4"/>
        <item x="3"/>
        <item x="5"/>
        <item x="1"/>
        <item x="0"/>
        <item t="default"/>
      </items>
    </pivotField>
    <pivotField compact="0" outline="0" showAll="0"/>
    <pivotField compact="0" outline="0" showAll="0"/>
    <pivotField compact="0" outline="0" showAll="0">
      <items count="10">
        <item x="5"/>
        <item x="4"/>
        <item x="6"/>
        <item x="8"/>
        <item x="7"/>
        <item x="3"/>
        <item x="1"/>
        <item x="0"/>
        <item x="2"/>
        <item t="default"/>
      </items>
    </pivotField>
    <pivotField axis="axisRow" compact="0" outline="0" showAll="0">
      <items count="10">
        <item x="2"/>
        <item x="8"/>
        <item x="5"/>
        <item x="7"/>
        <item x="6"/>
        <item x="1"/>
        <item x="0"/>
        <item x="4"/>
        <item x="3"/>
        <item t="default"/>
      </items>
    </pivotField>
    <pivotField compact="0" outline="0" showAll="0">
      <items count="6">
        <item x="1"/>
        <item x="0"/>
        <item x="3"/>
        <item x="4"/>
        <item x="2"/>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6"/>
  </rowFields>
  <rowItems count="9">
    <i>
      <x/>
    </i>
    <i>
      <x v="1"/>
    </i>
    <i>
      <x v="2"/>
    </i>
    <i>
      <x v="3"/>
    </i>
    <i>
      <x v="4"/>
    </i>
    <i>
      <x v="5"/>
    </i>
    <i>
      <x v="6"/>
    </i>
    <i>
      <x v="7"/>
    </i>
    <i>
      <x v="8"/>
    </i>
  </rowItems>
  <colItems count="1">
    <i/>
  </colItems>
  <dataFields count="1">
    <dataField name="Project Count" fld="0" subtotal="count" baseField="0" baseItem="0" numFmtId="3"/>
  </dataFields>
  <formats count="1">
    <format dxfId="2">
      <pivotArea outline="0" collapsedLevelsAreSubtotals="1"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D4153B9-8296-451D-A890-AB0A916D218F}" name="PT_ByLocation" cacheId="131" applyNumberFormats="0" applyBorderFormats="0" applyFontFormats="0" applyPatternFormats="0" applyAlignmentFormats="0" applyWidthHeightFormats="1" dataCaption="Values" updatedVersion="8" minRefreshableVersion="3" showCalcMbrs="0" useAutoFormatting="1" rowGrandTotals="0" colGrandTotals="0" itemPrintTitles="1" createdVersion="3" indent="0" compact="0" compactData="0" multipleFieldFilters="0">
  <location ref="H3:I12" firstHeaderRow="1" firstDataRow="1" firstDataCol="1"/>
  <pivotFields count="19">
    <pivotField dataField="1" compact="0" outline="0" showAll="0"/>
    <pivotField compact="0" numFmtId="164" outline="0" showAll="0"/>
    <pivotField compact="0" outline="0" showAll="0">
      <items count="7">
        <item x="2"/>
        <item x="4"/>
        <item x="3"/>
        <item x="5"/>
        <item x="1"/>
        <item x="0"/>
        <item t="default"/>
      </items>
    </pivotField>
    <pivotField compact="0" outline="0" showAll="0"/>
    <pivotField compact="0" outline="0" showAll="0"/>
    <pivotField axis="axisRow" compact="0" outline="0" showAll="0">
      <items count="10">
        <item x="5"/>
        <item x="4"/>
        <item x="6"/>
        <item x="8"/>
        <item x="7"/>
        <item x="3"/>
        <item x="1"/>
        <item x="0"/>
        <item x="2"/>
        <item t="default"/>
      </items>
    </pivotField>
    <pivotField compact="0" outline="0" showAll="0"/>
    <pivotField compact="0" outline="0" showAll="0">
      <items count="6">
        <item x="1"/>
        <item x="0"/>
        <item x="3"/>
        <item x="4"/>
        <item x="2"/>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5"/>
  </rowFields>
  <rowItems count="9">
    <i>
      <x/>
    </i>
    <i>
      <x v="1"/>
    </i>
    <i>
      <x v="2"/>
    </i>
    <i>
      <x v="3"/>
    </i>
    <i>
      <x v="4"/>
    </i>
    <i>
      <x v="5"/>
    </i>
    <i>
      <x v="6"/>
    </i>
    <i>
      <x v="7"/>
    </i>
    <i>
      <x v="8"/>
    </i>
  </rowItems>
  <colItems count="1">
    <i/>
  </colItems>
  <dataFields count="1">
    <dataField name="Project Count" fld="0" subtotal="count" baseField="0" baseItem="0" numFmtId="3"/>
  </dataFields>
  <formats count="1">
    <format dxfId="3">
      <pivotArea outline="0" collapsedLevelsAreSubtotals="1"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2E3E4C2-21F1-4129-9049-3B795D02D2B0}" name="PT_ByCategory" cacheId="131" applyNumberFormats="0" applyBorderFormats="0" applyFontFormats="0" applyPatternFormats="0" applyAlignmentFormats="0" applyWidthHeightFormats="1" dataCaption="Values" updatedVersion="8" minRefreshableVersion="3" showCalcMbrs="0" useAutoFormatting="1" rowGrandTotals="0" colGrandTotals="0" itemPrintTitles="1" createdVersion="3" indent="0" compact="0" compactData="0" multipleFieldFilters="0">
  <location ref="D3:F10" firstHeaderRow="1" firstDataRow="2" firstDataCol="1"/>
  <pivotFields count="19">
    <pivotField dataField="1" compact="0" outline="0" showAll="0"/>
    <pivotField compact="0" numFmtId="164" outline="0" showAll="0"/>
    <pivotField axis="axisRow" compact="0" outline="0" showAll="0">
      <items count="7">
        <item x="2"/>
        <item x="4"/>
        <item x="3"/>
        <item x="5"/>
        <item x="1"/>
        <item x="0"/>
        <item t="default"/>
      </items>
    </pivotField>
    <pivotField compact="0" outline="0" showAll="0"/>
    <pivotField compact="0" outline="0" showAll="0"/>
    <pivotField compact="0" outline="0" showAll="0">
      <items count="10">
        <item x="5"/>
        <item x="4"/>
        <item x="6"/>
        <item x="8"/>
        <item x="7"/>
        <item x="3"/>
        <item x="1"/>
        <item x="0"/>
        <item x="2"/>
        <item t="default"/>
      </items>
    </pivotField>
    <pivotField compact="0" outline="0" showAll="0"/>
    <pivotField compact="0" outline="0" showAll="0">
      <items count="6">
        <item x="1"/>
        <item x="0"/>
        <item x="3"/>
        <item x="4"/>
        <item x="2"/>
        <item t="default"/>
      </items>
    </pivotField>
    <pivotField compact="0" outline="0" showAll="0"/>
    <pivotField compact="0" numFmtId="165" outline="0" showAll="0"/>
    <pivotField dataField="1"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6">
    <i>
      <x/>
    </i>
    <i>
      <x v="1"/>
    </i>
    <i>
      <x v="2"/>
    </i>
    <i>
      <x v="3"/>
    </i>
    <i>
      <x v="4"/>
    </i>
    <i>
      <x v="5"/>
    </i>
  </rowItems>
  <colFields count="1">
    <field x="-2"/>
  </colFields>
  <colItems count="2">
    <i>
      <x/>
    </i>
    <i i="1">
      <x v="1"/>
    </i>
  </colItems>
  <dataFields count="2">
    <dataField name="Project Count" fld="0" subtotal="count" baseField="0" baseItem="0" numFmtId="3"/>
    <dataField name="Sum of Actual" fld="10" baseField="0" baseItem="0" numFmtId="165"/>
  </dataFields>
  <formats count="2">
    <format dxfId="5">
      <pivotArea outline="0" fieldPosition="0">
        <references count="1">
          <reference field="4294967294" count="1" selected="0">
            <x v="0"/>
          </reference>
        </references>
      </pivotArea>
    </format>
    <format dxfId="4">
      <pivotArea outline="0" fieldPosition="0">
        <references count="1">
          <reference field="4294967294" count="1" selected="0">
            <x v="1"/>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F0D7EA1-7E0B-4BAA-AF29-1C2D4EAA7FD0}" name="PT_MonthlyStarts" cacheId="131" applyNumberFormats="0" applyBorderFormats="0" applyFontFormats="0" applyPatternFormats="0" applyAlignmentFormats="0" applyWidthHeightFormats="1" dataCaption="Values" updatedVersion="8" minRefreshableVersion="3" showCalcMbrs="0" useAutoFormatting="1" rowGrandTotals="0" colGrandTotals="0" itemPrintTitles="1" createdVersion="3" indent="0" compact="0" compactData="0" multipleFieldFilters="0">
  <location ref="A3:B15" firstHeaderRow="1" firstDataRow="1" firstDataCol="1"/>
  <pivotFields count="19">
    <pivotField compact="0" outline="0" showAll="0"/>
    <pivotField compact="0" numFmtId="164" outline="0" showAll="0"/>
    <pivotField compact="0" outline="0" showAll="0">
      <items count="7">
        <item x="2"/>
        <item x="4"/>
        <item x="3"/>
        <item x="5"/>
        <item x="1"/>
        <item x="0"/>
        <item t="default"/>
      </items>
    </pivotField>
    <pivotField compact="0" outline="0" showAll="0"/>
    <pivotField compact="0" outline="0" showAll="0"/>
    <pivotField compact="0" outline="0" showAll="0">
      <items count="10">
        <item x="5"/>
        <item x="4"/>
        <item x="6"/>
        <item x="8"/>
        <item x="7"/>
        <item x="3"/>
        <item x="1"/>
        <item x="0"/>
        <item x="2"/>
        <item t="default"/>
      </items>
    </pivotField>
    <pivotField compact="0" outline="0" showAll="0"/>
    <pivotField compact="0" outline="0" showAll="0">
      <items count="6">
        <item x="1"/>
        <item x="0"/>
        <item x="3"/>
        <item x="4"/>
        <item x="2"/>
        <item t="default"/>
      </items>
    </pivotField>
    <pivotField compact="0" outline="0" showAll="0"/>
    <pivotField compact="0" numFmtId="165" outline="0" showAll="0"/>
    <pivotField dataField="1" compact="0" numFmtId="165" outline="0" showAll="0"/>
    <pivotField compact="0" outline="0" showAll="0"/>
    <pivotField compact="0" outline="0" showAll="0"/>
    <pivotField compact="0" outline="0" showAll="0"/>
    <pivotField axis="axisRow" compact="0" outline="0" showAll="0">
      <items count="13">
        <item x="0"/>
        <item x="1"/>
        <item x="2"/>
        <item x="3"/>
        <item x="4"/>
        <item x="5"/>
        <item x="6"/>
        <item x="7"/>
        <item x="8"/>
        <item x="9"/>
        <item x="10"/>
        <item x="11"/>
        <item t="default"/>
      </items>
    </pivotField>
    <pivotField compact="0" outline="0" showAll="0"/>
    <pivotField compact="0" outline="0" showAll="0"/>
    <pivotField compact="0" outline="0" showAll="0"/>
    <pivotField compact="0" outline="0" showAll="0"/>
  </pivotFields>
  <rowFields count="1">
    <field x="14"/>
  </rowFields>
  <rowItems count="12">
    <i>
      <x/>
    </i>
    <i>
      <x v="1"/>
    </i>
    <i>
      <x v="2"/>
    </i>
    <i>
      <x v="3"/>
    </i>
    <i>
      <x v="4"/>
    </i>
    <i>
      <x v="5"/>
    </i>
    <i>
      <x v="6"/>
    </i>
    <i>
      <x v="7"/>
    </i>
    <i>
      <x v="8"/>
    </i>
    <i>
      <x v="9"/>
    </i>
    <i>
      <x v="10"/>
    </i>
    <i>
      <x v="11"/>
    </i>
  </rowItems>
  <colItems count="1">
    <i/>
  </colItems>
  <dataFields count="1">
    <dataField name="Sum of Actual" fld="10" baseField="0" baseItem="0" numFmtId="165"/>
  </dataFields>
  <formats count="1">
    <format dxfId="6">
      <pivotArea outline="0" collapsedLevelsAreSubtotals="1"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305423E3-1F20-4A8B-A5C3-5D0CBD0F6850}" sourceName="Category">
  <pivotTables>
    <pivotTable tabId="5" name="PT_MonthlyStarts"/>
    <pivotTable tabId="5" name="PT_KPI"/>
    <pivotTable tabId="5" name="PT_ByPriority"/>
    <pivotTable tabId="5" name="PT_ByStatus"/>
    <pivotTable tabId="5" name="PT_ByDepartment"/>
    <pivotTable tabId="5" name="PT_ByLocation"/>
    <pivotTable tabId="5" name="PT_ByCategory"/>
  </pivotTables>
  <data>
    <tabular pivotCacheId="749298900">
      <items count="6">
        <i x="2" s="1"/>
        <i x="4" s="1"/>
        <i x="3" s="1"/>
        <i x="5"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E1A72B6C-BDE2-4590-BC09-97C811E97CFF}" sourceName="Status">
  <pivotTables>
    <pivotTable tabId="5" name="PT_MonthlyStarts"/>
    <pivotTable tabId="5" name="PT_KPI"/>
    <pivotTable tabId="5" name="PT_ByPriority"/>
    <pivotTable tabId="5" name="PT_ByStatus"/>
    <pivotTable tabId="5" name="PT_ByDepartment"/>
    <pivotTable tabId="5" name="PT_ByLocation"/>
    <pivotTable tabId="5" name="PT_ByCategory"/>
  </pivotTables>
  <data>
    <tabular pivotCacheId="749298900">
      <items count="5">
        <i x="1" s="1"/>
        <i x="0" s="1"/>
        <i x="3" s="1"/>
        <i x="4"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40B0A15C-DF6E-41F5-8477-8B43499FAE16}" sourceName="Location">
  <pivotTables>
    <pivotTable tabId="5" name="PT_MonthlyStarts"/>
    <pivotTable tabId="5" name="PT_KPI"/>
    <pivotTable tabId="5" name="PT_ByPriority"/>
    <pivotTable tabId="5" name="PT_ByStatus"/>
    <pivotTable tabId="5" name="PT_ByDepartment"/>
    <pivotTable tabId="5" name="PT_ByLocation"/>
    <pivotTable tabId="5" name="PT_ByCategory"/>
  </pivotTables>
  <data>
    <tabular pivotCacheId="749298900">
      <items count="9">
        <i x="5" s="1"/>
        <i x="4" s="1"/>
        <i x="6" s="1"/>
        <i x="8" s="1"/>
        <i x="7" s="1"/>
        <i x="3" s="1"/>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78080A1-1AF5-4ADB-AB56-536A3EA7526E}" cache="Slicer_Category" caption="Category" style="SlicerStyleDark3" rowHeight="234950"/>
  <slicer name="Status" xr10:uid="{A90E478B-D426-4068-BB47-F7AC92796E6E}" cache="Slicer_Status" caption="Status" style="SlicerStyleDark3" rowHeight="234950"/>
  <slicer name="Location" xr10:uid="{B2932F45-3668-4FEE-91ED-5DE0A4E933C3}" cache="Slicer_Location" caption="Location" style="SlicerStyleDark3"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C647044-8F3E-4ABF-A5FA-58BB451132E9}" name="tblProjects" displayName="tblProjects" ref="A1:S76" totalsRowShown="0" headerRowDxfId="7" dataDxfId="27">
  <tableColumns count="19">
    <tableColumn id="1" xr3:uid="{35DFC1B7-9E17-452E-8069-E03F504C3276}" name="Project ID" dataDxfId="14"/>
    <tableColumn id="2" xr3:uid="{990B7E83-A0B2-4D5F-A338-05CD451A78A3}" name="Start Date" dataDxfId="12"/>
    <tableColumn id="3" xr3:uid="{5A763BE4-72A5-4EF3-9D89-BB0C74932A11}" name="Category" dataDxfId="13"/>
    <tableColumn id="4" xr3:uid="{4609F3FB-2D78-4173-A04C-9B350CD429E8}" name="Sub Category" dataDxfId="26"/>
    <tableColumn id="5" xr3:uid="{656A0BEB-AD25-4F3D-BB38-2A62EE06A760}" name="Project Name" dataDxfId="25"/>
    <tableColumn id="6" xr3:uid="{6294FAFE-BAE0-4389-9F58-9CE669058B85}" name="Location" dataDxfId="24"/>
    <tableColumn id="7" xr3:uid="{8727771A-2B81-4453-A188-D618C84A5173}" name="Department" dataDxfId="23"/>
    <tableColumn id="8" xr3:uid="{86D77007-1487-49F9-B761-C2240DF33DC0}" name="Status" dataDxfId="22"/>
    <tableColumn id="9" xr3:uid="{DD00DF84-9D49-4E3C-BA3D-8151EF4C86CF}" name="Priority" dataDxfId="11"/>
    <tableColumn id="10" xr3:uid="{67A8DF48-CF4F-4C98-9411-BAD9854AC3AF}" name="Budget (₹)" dataDxfId="10"/>
    <tableColumn id="11" xr3:uid="{2E028708-AF06-497B-B062-46F8A47D1148}" name="Actual Cost (₹)" dataDxfId="8"/>
    <tableColumn id="12" xr3:uid="{E2BF12E5-1B4E-45BC-AD04-C23C4CD4BDDF}" name="Assigned To" dataDxfId="9"/>
    <tableColumn id="13" xr3:uid="{715960C7-FEF9-424D-8AE1-B2D991B1A6C1}" name="Progress (%)" dataDxfId="21"/>
    <tableColumn id="14" xr3:uid="{41CBF33C-D036-43B7-B24A-21C1EAEDD866}" name="Due Date" dataDxfId="20"/>
    <tableColumn id="15" xr3:uid="{F284F1A7-9B3B-4D4A-B13D-84F87A3F9770}" name="Month" dataDxfId="19">
      <calculatedColumnFormula>TEXT(tblProjects[[#This Row],[Start Date]],"mmm")</calculatedColumnFormula>
    </tableColumn>
    <tableColumn id="16" xr3:uid="{83AFE8DC-DED1-4057-A653-66B8B0519C90}" name="Month No" dataDxfId="18">
      <calculatedColumnFormula>MONTH(tblProjects[[#This Row],[Start Date]])</calculatedColumnFormula>
    </tableColumn>
    <tableColumn id="17" xr3:uid="{C182CB77-BCA2-4ECE-AF9B-85D80B1FF010}" name="Quarter" dataDxfId="17">
      <calculatedColumnFormula>"Q"&amp;ROUNDUP(MONTH(tblProjects[[#This Row],[Start Date]])/3,0)</calculatedColumnFormula>
    </tableColumn>
    <tableColumn id="18" xr3:uid="{2BE752EA-ED12-4B03-83B6-6E1239CDF988}" name="Year" dataDxfId="16">
      <calculatedColumnFormula>YEAR(tblProjects[[#This Row],[Start Date]])</calculatedColumnFormula>
    </tableColumn>
    <tableColumn id="19" xr3:uid="{1D051550-63B8-4D1E-BB41-9BE26A395A12}" name="Project Age (Years)" dataDxfId="15">
      <calculatedColumnFormula>IFERROR(ROUND((TODAY()-tblProjects[[#This Row],[Start Date]])/365.25,1),0)</calculatedColumnFormula>
    </tableColumn>
  </tableColumns>
  <tableStyleInfo name="TableStyleMedium4" showFirstColumn="1"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22AE-78CC-4DBF-82CF-A3D7B2C3D4BE}">
  <sheetPr>
    <tabColor rgb="FF006E46"/>
    <pageSetUpPr fitToPage="1"/>
  </sheetPr>
  <dimension ref="AF1:AF34"/>
  <sheetViews>
    <sheetView showGridLines="0" topLeftCell="A4" zoomScale="90" zoomScaleNormal="90" workbookViewId="0"/>
  </sheetViews>
  <sheetFormatPr defaultRowHeight="25.8"/>
  <cols>
    <col min="1" max="30" width="7.796875" style="10" customWidth="1"/>
    <col min="31" max="31" width="8.796875" style="10"/>
    <col min="32" max="34" width="0" style="10" hidden="1" customWidth="1"/>
    <col min="35" max="16384" width="8.796875" style="10"/>
  </cols>
  <sheetData>
    <row r="1" spans="32:32" ht="19.95" customHeight="1"/>
    <row r="2" spans="32:32" ht="19.95" customHeight="1">
      <c r="AF2" s="11">
        <f>IFERROR(GETPIVOTDATA("Total Projects",Pivot!$T$3),0)</f>
        <v>75</v>
      </c>
    </row>
    <row r="3" spans="32:32" ht="19.95" customHeight="1">
      <c r="AF3" s="12">
        <f>IFERROR(GETPIVOTDATA("Total Actual Cost",Pivot!$T$3),0)</f>
        <v>3556700</v>
      </c>
    </row>
    <row r="4" spans="32:32" ht="7.95" customHeight="1">
      <c r="AF4" s="11">
        <f>IFERROR(COUNTIF(tblProjects[Status],"Active"),0)</f>
        <v>37</v>
      </c>
    </row>
    <row r="5" spans="32:32" ht="16.05" customHeight="1">
      <c r="AF5" s="11">
        <f>IFERROR(COUNTIF(tblProjects[Status],"On Hold")+COUNTIF(tblProjects[Status],"Delayed"),0)</f>
        <v>21</v>
      </c>
    </row>
    <row r="6" spans="32:32" ht="16.05" customHeight="1">
      <c r="AF6" s="13">
        <f ca="1">IFERROR(AVERAGE(tblProjects[Project Age (Years)]),0)</f>
        <v>2.421333333333334</v>
      </c>
    </row>
    <row r="7" spans="32:32" ht="16.05" customHeight="1">
      <c r="AF7" s="14">
        <f>IFERROR(AF3/GETPIVOTDATA("Total Budget",Pivot!$T$3),0)</f>
        <v>1.0209254262586831</v>
      </c>
    </row>
    <row r="8" spans="32:32" ht="16.05" customHeight="1"/>
    <row r="9" spans="32:32" ht="6" customHeight="1"/>
    <row r="10" spans="32:32" ht="15" customHeight="1"/>
    <row r="11" spans="32:32" ht="15" customHeight="1"/>
    <row r="12" spans="32:32" ht="15" customHeight="1"/>
    <row r="13" spans="32:32" ht="15" customHeight="1"/>
    <row r="14" spans="32:32" ht="15" customHeight="1"/>
    <row r="15" spans="32:32" ht="15" customHeight="1"/>
    <row r="16" spans="32:32"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6" customHeight="1"/>
    <row r="29" ht="15" customHeight="1"/>
    <row r="30" ht="15" customHeight="1"/>
    <row r="31" ht="15" customHeight="1"/>
    <row r="32" ht="15" customHeight="1"/>
    <row r="33" ht="15" customHeight="1"/>
    <row r="34" ht="15" customHeight="1"/>
  </sheetData>
  <pageMargins left="0.7" right="0.7" top="0.75" bottom="0.75" header="0.3" footer="0.3"/>
  <pageSetup scale="5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A1561-72AE-4D4F-B442-1AA9EA4BED79}">
  <dimension ref="A2:V72"/>
  <sheetViews>
    <sheetView showGridLines="0" workbookViewId="0"/>
  </sheetViews>
  <sheetFormatPr defaultRowHeight="13.8"/>
  <cols>
    <col min="1" max="1" width="8.296875" bestFit="1" customWidth="1"/>
    <col min="2" max="2" width="13.19921875" bestFit="1" customWidth="1"/>
    <col min="3" max="3" width="0.8984375" customWidth="1"/>
    <col min="4" max="4" width="11" bestFit="1" customWidth="1"/>
    <col min="5" max="5" width="12.796875" bestFit="1" customWidth="1"/>
    <col min="6" max="6" width="13.19921875" bestFit="1" customWidth="1"/>
    <col min="7" max="7" width="0.8984375" customWidth="1"/>
    <col min="8" max="8" width="10.3984375" bestFit="1" customWidth="1"/>
    <col min="9" max="9" width="12.796875" bestFit="1" customWidth="1"/>
    <col min="10" max="10" width="0.8984375" customWidth="1"/>
    <col min="11" max="11" width="13.19921875" bestFit="1" customWidth="1"/>
    <col min="12" max="12" width="12.796875" bestFit="1" customWidth="1"/>
    <col min="13" max="13" width="0.8984375" customWidth="1"/>
    <col min="14" max="14" width="9.5" bestFit="1" customWidth="1"/>
    <col min="15" max="15" width="12.796875" bestFit="1" customWidth="1"/>
    <col min="16" max="16" width="0.8984375" customWidth="1"/>
    <col min="17" max="17" width="9.296875" bestFit="1" customWidth="1"/>
    <col min="18" max="18" width="12.796875" bestFit="1" customWidth="1"/>
    <col min="19" max="19" width="0.8984375" customWidth="1"/>
    <col min="20" max="20" width="13" bestFit="1" customWidth="1"/>
    <col min="21" max="21" width="15.796875" bestFit="1" customWidth="1"/>
    <col min="22" max="22" width="12" bestFit="1" customWidth="1"/>
  </cols>
  <sheetData>
    <row r="2" spans="1:22">
      <c r="A2" t="s">
        <v>208</v>
      </c>
      <c r="D2" t="s">
        <v>210</v>
      </c>
      <c r="H2" t="s">
        <v>213</v>
      </c>
      <c r="K2" t="s">
        <v>214</v>
      </c>
      <c r="N2" t="s">
        <v>215</v>
      </c>
      <c r="Q2" t="s">
        <v>216</v>
      </c>
      <c r="T2" t="s">
        <v>217</v>
      </c>
    </row>
    <row r="3" spans="1:22">
      <c r="A3" s="6" t="s">
        <v>14</v>
      </c>
      <c r="B3" t="s">
        <v>209</v>
      </c>
      <c r="E3" s="6" t="s">
        <v>212</v>
      </c>
      <c r="H3" s="6" t="s">
        <v>5</v>
      </c>
      <c r="I3" t="s">
        <v>211</v>
      </c>
      <c r="K3" s="6" t="s">
        <v>6</v>
      </c>
      <c r="L3" t="s">
        <v>211</v>
      </c>
      <c r="N3" s="6" t="s">
        <v>7</v>
      </c>
      <c r="O3" t="s">
        <v>211</v>
      </c>
      <c r="Q3" s="6" t="s">
        <v>8</v>
      </c>
      <c r="R3" t="s">
        <v>211</v>
      </c>
      <c r="T3" s="6" t="s">
        <v>212</v>
      </c>
    </row>
    <row r="4" spans="1:22">
      <c r="A4" t="s">
        <v>196</v>
      </c>
      <c r="B4" s="8">
        <v>135200</v>
      </c>
      <c r="D4" s="6" t="s">
        <v>2</v>
      </c>
      <c r="E4" t="s">
        <v>211</v>
      </c>
      <c r="F4" t="s">
        <v>209</v>
      </c>
      <c r="H4" t="s">
        <v>88</v>
      </c>
      <c r="I4" s="9">
        <v>7</v>
      </c>
      <c r="K4" t="s">
        <v>38</v>
      </c>
      <c r="L4" s="9">
        <v>6</v>
      </c>
      <c r="N4" t="s">
        <v>33</v>
      </c>
      <c r="O4" s="9">
        <v>37</v>
      </c>
      <c r="Q4" t="s">
        <v>26</v>
      </c>
      <c r="R4" s="9">
        <v>37</v>
      </c>
      <c r="T4" t="s">
        <v>218</v>
      </c>
      <c r="U4" t="s">
        <v>219</v>
      </c>
      <c r="V4" t="s">
        <v>220</v>
      </c>
    </row>
    <row r="5" spans="1:22">
      <c r="A5" t="s">
        <v>197</v>
      </c>
      <c r="B5" s="8">
        <v>544600</v>
      </c>
      <c r="D5" t="s">
        <v>35</v>
      </c>
      <c r="E5" s="9">
        <v>12</v>
      </c>
      <c r="F5" s="8">
        <v>297100</v>
      </c>
      <c r="H5" t="s">
        <v>84</v>
      </c>
      <c r="I5" s="9">
        <v>6</v>
      </c>
      <c r="K5" t="s">
        <v>149</v>
      </c>
      <c r="L5" s="9">
        <v>9</v>
      </c>
      <c r="N5" t="s">
        <v>25</v>
      </c>
      <c r="O5" s="9">
        <v>9</v>
      </c>
      <c r="Q5" t="s">
        <v>69</v>
      </c>
      <c r="R5" s="9">
        <v>8</v>
      </c>
      <c r="T5" s="7">
        <v>75</v>
      </c>
      <c r="U5" s="7">
        <v>3556700</v>
      </c>
      <c r="V5" s="7">
        <v>3483800</v>
      </c>
    </row>
    <row r="6" spans="1:22">
      <c r="A6" t="s">
        <v>198</v>
      </c>
      <c r="B6" s="8">
        <v>326500</v>
      </c>
      <c r="D6" t="s">
        <v>65</v>
      </c>
      <c r="E6" s="9">
        <v>7</v>
      </c>
      <c r="F6" s="8">
        <v>347000</v>
      </c>
      <c r="H6" t="s">
        <v>92</v>
      </c>
      <c r="I6" s="9">
        <v>5</v>
      </c>
      <c r="K6" t="s">
        <v>65</v>
      </c>
      <c r="L6" s="9">
        <v>7</v>
      </c>
      <c r="N6" t="s">
        <v>57</v>
      </c>
      <c r="O6" s="9">
        <v>15</v>
      </c>
      <c r="Q6" t="s">
        <v>53</v>
      </c>
      <c r="R6" s="9">
        <v>30</v>
      </c>
    </row>
    <row r="7" spans="1:22">
      <c r="A7" t="s">
        <v>199</v>
      </c>
      <c r="B7" s="8">
        <v>302800</v>
      </c>
      <c r="D7" t="s">
        <v>42</v>
      </c>
      <c r="E7" s="9">
        <v>11</v>
      </c>
      <c r="F7" s="8">
        <v>571900</v>
      </c>
      <c r="H7" t="s">
        <v>161</v>
      </c>
      <c r="I7" s="9">
        <v>6</v>
      </c>
      <c r="K7" t="s">
        <v>42</v>
      </c>
      <c r="L7" s="9">
        <v>11</v>
      </c>
      <c r="N7" t="s">
        <v>62</v>
      </c>
      <c r="O7" s="9">
        <v>6</v>
      </c>
    </row>
    <row r="8" spans="1:22">
      <c r="A8" t="s">
        <v>200</v>
      </c>
      <c r="B8" s="8">
        <v>389700</v>
      </c>
      <c r="D8" t="s">
        <v>72</v>
      </c>
      <c r="E8" s="9">
        <v>16</v>
      </c>
      <c r="F8" s="8">
        <v>897000</v>
      </c>
      <c r="H8" t="s">
        <v>115</v>
      </c>
      <c r="I8" s="9">
        <v>3</v>
      </c>
      <c r="K8" t="s">
        <v>105</v>
      </c>
      <c r="L8" s="9">
        <v>4</v>
      </c>
      <c r="N8" t="s">
        <v>39</v>
      </c>
      <c r="O8" s="9">
        <v>8</v>
      </c>
    </row>
    <row r="9" spans="1:22">
      <c r="A9" t="s">
        <v>201</v>
      </c>
      <c r="B9" s="8">
        <v>384900</v>
      </c>
      <c r="D9" t="s">
        <v>29</v>
      </c>
      <c r="E9" s="9">
        <v>14</v>
      </c>
      <c r="F9" s="8">
        <v>749000</v>
      </c>
      <c r="H9" t="s">
        <v>68</v>
      </c>
      <c r="I9" s="9">
        <v>9</v>
      </c>
      <c r="K9" t="s">
        <v>29</v>
      </c>
      <c r="L9" s="9">
        <v>11</v>
      </c>
    </row>
    <row r="10" spans="1:22">
      <c r="A10" t="s">
        <v>202</v>
      </c>
      <c r="B10" s="8">
        <v>207300</v>
      </c>
      <c r="D10" t="s">
        <v>20</v>
      </c>
      <c r="E10" s="9">
        <v>15</v>
      </c>
      <c r="F10" s="8">
        <v>694700</v>
      </c>
      <c r="H10" t="s">
        <v>32</v>
      </c>
      <c r="I10" s="9">
        <v>18</v>
      </c>
      <c r="K10" t="s">
        <v>24</v>
      </c>
      <c r="L10" s="9">
        <v>8</v>
      </c>
    </row>
    <row r="11" spans="1:22">
      <c r="A11" t="s">
        <v>203</v>
      </c>
      <c r="B11" s="8">
        <v>138400</v>
      </c>
      <c r="H11" t="s">
        <v>23</v>
      </c>
      <c r="I11" s="9">
        <v>12</v>
      </c>
      <c r="K11" t="s">
        <v>20</v>
      </c>
      <c r="L11" s="9">
        <v>10</v>
      </c>
    </row>
    <row r="12" spans="1:22">
      <c r="A12" t="s">
        <v>204</v>
      </c>
      <c r="B12" s="8">
        <v>450100</v>
      </c>
      <c r="H12" t="s">
        <v>52</v>
      </c>
      <c r="I12" s="9">
        <v>9</v>
      </c>
      <c r="K12" t="s">
        <v>45</v>
      </c>
      <c r="L12" s="9">
        <v>9</v>
      </c>
    </row>
    <row r="13" spans="1:22">
      <c r="A13" t="s">
        <v>205</v>
      </c>
      <c r="B13" s="8">
        <v>250900</v>
      </c>
    </row>
    <row r="14" spans="1:22">
      <c r="A14" t="s">
        <v>206</v>
      </c>
      <c r="B14" s="8">
        <v>313000</v>
      </c>
    </row>
    <row r="15" spans="1:22">
      <c r="A15" t="s">
        <v>207</v>
      </c>
      <c r="B15" s="8">
        <v>113300</v>
      </c>
    </row>
    <row r="60" spans="1:18">
      <c r="A60" t="s">
        <v>14</v>
      </c>
      <c r="B60" t="s">
        <v>221</v>
      </c>
      <c r="E60" t="s">
        <v>2</v>
      </c>
      <c r="F60" t="s">
        <v>222</v>
      </c>
      <c r="H60" t="s">
        <v>5</v>
      </c>
      <c r="I60" t="s">
        <v>222</v>
      </c>
      <c r="K60" t="s">
        <v>6</v>
      </c>
      <c r="L60" t="s">
        <v>222</v>
      </c>
      <c r="N60" t="s">
        <v>7</v>
      </c>
      <c r="O60" t="s">
        <v>222</v>
      </c>
      <c r="Q60" t="s">
        <v>8</v>
      </c>
      <c r="R60" t="s">
        <v>222</v>
      </c>
    </row>
    <row r="61" spans="1:18">
      <c r="A61" t="str">
        <f>Pivot!$A$4</f>
        <v>Jan</v>
      </c>
      <c r="B61" s="8">
        <f>Pivot!$B$4</f>
        <v>135200</v>
      </c>
      <c r="E61" t="str">
        <f>Pivot!$D$5</f>
        <v>Construction</v>
      </c>
      <c r="F61" s="9">
        <f>Pivot!$E$5</f>
        <v>12</v>
      </c>
      <c r="H61" t="str">
        <f>Pivot!$H$4</f>
        <v>Ahmedabad</v>
      </c>
      <c r="I61" s="9">
        <f>Pivot!$I$4</f>
        <v>7</v>
      </c>
      <c r="K61" t="str">
        <f>Pivot!$K$4</f>
        <v>Admin</v>
      </c>
      <c r="L61" s="9">
        <f>Pivot!$L$4</f>
        <v>6</v>
      </c>
      <c r="N61" t="str">
        <f>Pivot!$N$4</f>
        <v>Active</v>
      </c>
      <c r="O61" s="9">
        <f>Pivot!$O$4</f>
        <v>37</v>
      </c>
      <c r="Q61" t="str">
        <f>Pivot!$Q$4</f>
        <v>High</v>
      </c>
      <c r="R61" s="9">
        <f>Pivot!$R$4</f>
        <v>37</v>
      </c>
    </row>
    <row r="62" spans="1:18">
      <c r="A62" t="str">
        <f>Pivot!$A$5</f>
        <v>Feb</v>
      </c>
      <c r="B62" s="8">
        <f>Pivot!$B$5</f>
        <v>544600</v>
      </c>
      <c r="E62" t="str">
        <f>Pivot!$D$6</f>
        <v>HR</v>
      </c>
      <c r="F62" s="9">
        <f>Pivot!$E$6</f>
        <v>7</v>
      </c>
      <c r="H62" t="str">
        <f>Pivot!$H$5</f>
        <v>Bangalore</v>
      </c>
      <c r="I62" s="9">
        <f>Pivot!$I$5</f>
        <v>6</v>
      </c>
      <c r="K62" t="str">
        <f>Pivot!$K$5</f>
        <v>Finance</v>
      </c>
      <c r="L62" s="9">
        <f>Pivot!$L$5</f>
        <v>9</v>
      </c>
      <c r="N62" t="str">
        <f>Pivot!$N$5</f>
        <v>Completed</v>
      </c>
      <c r="O62" s="9">
        <f>Pivot!$O$5</f>
        <v>9</v>
      </c>
      <c r="Q62" t="str">
        <f>Pivot!$Q$5</f>
        <v>Low</v>
      </c>
      <c r="R62" s="9">
        <f>Pivot!$R$5</f>
        <v>8</v>
      </c>
    </row>
    <row r="63" spans="1:18">
      <c r="A63" t="str">
        <f>Pivot!$A$6</f>
        <v>Mar</v>
      </c>
      <c r="B63" s="8">
        <f>Pivot!$B$6</f>
        <v>326500</v>
      </c>
      <c r="E63" t="str">
        <f>Pivot!$D$7</f>
        <v>IT</v>
      </c>
      <c r="F63" s="9">
        <f>Pivot!$E$7</f>
        <v>11</v>
      </c>
      <c r="H63" t="str">
        <f>Pivot!$H$6</f>
        <v>Chennai</v>
      </c>
      <c r="I63" s="9">
        <f>Pivot!$I$6</f>
        <v>5</v>
      </c>
      <c r="K63" t="str">
        <f>Pivot!$K$6</f>
        <v>HR</v>
      </c>
      <c r="L63" s="9">
        <f>Pivot!$L$6</f>
        <v>7</v>
      </c>
      <c r="N63" t="str">
        <f>Pivot!$N$6</f>
        <v>Delayed</v>
      </c>
      <c r="O63" s="9">
        <f>Pivot!$O$6</f>
        <v>15</v>
      </c>
      <c r="Q63" t="str">
        <f>Pivot!$Q$6</f>
        <v>Medium</v>
      </c>
      <c r="R63" s="9">
        <f>Pivot!$R$6</f>
        <v>30</v>
      </c>
    </row>
    <row r="64" spans="1:18">
      <c r="A64" t="str">
        <f>Pivot!$A$7</f>
        <v>Apr</v>
      </c>
      <c r="B64" s="8">
        <f>Pivot!$B$7</f>
        <v>302800</v>
      </c>
      <c r="E64" t="str">
        <f>Pivot!$D$8</f>
        <v>Marketing</v>
      </c>
      <c r="F64" s="9">
        <f>Pivot!$E$8</f>
        <v>16</v>
      </c>
      <c r="H64" t="str">
        <f>Pivot!$H$7</f>
        <v>Delhi</v>
      </c>
      <c r="I64" s="9">
        <f>Pivot!$I$7</f>
        <v>6</v>
      </c>
      <c r="K64" t="str">
        <f>Pivot!$K$7</f>
        <v>IT</v>
      </c>
      <c r="L64" s="9">
        <f>Pivot!$L$7</f>
        <v>11</v>
      </c>
      <c r="N64" t="str">
        <f>Pivot!$N$7</f>
        <v>On Hold</v>
      </c>
      <c r="O64" s="9">
        <f>Pivot!$O$7</f>
        <v>6</v>
      </c>
    </row>
    <row r="65" spans="1:15">
      <c r="A65" t="str">
        <f>Pivot!$A$8</f>
        <v>May</v>
      </c>
      <c r="B65" s="8">
        <f>Pivot!$B$8</f>
        <v>389700</v>
      </c>
      <c r="E65" t="str">
        <f>Pivot!$D$9</f>
        <v>Operations</v>
      </c>
      <c r="F65" s="9">
        <f>Pivot!$E$9</f>
        <v>14</v>
      </c>
      <c r="H65" t="str">
        <f>Pivot!$H$8</f>
        <v>Hyderabad</v>
      </c>
      <c r="I65" s="9">
        <f>Pivot!$I$8</f>
        <v>3</v>
      </c>
      <c r="K65" t="str">
        <f>Pivot!$K$8</f>
        <v>Logistics</v>
      </c>
      <c r="L65" s="9">
        <f>Pivot!$L$8</f>
        <v>4</v>
      </c>
      <c r="N65" t="str">
        <f>Pivot!$N$8</f>
        <v>Planning</v>
      </c>
      <c r="O65" s="9">
        <f>Pivot!$O$8</f>
        <v>8</v>
      </c>
    </row>
    <row r="66" spans="1:15">
      <c r="A66" t="str">
        <f>Pivot!$A$9</f>
        <v>Jun</v>
      </c>
      <c r="B66" s="8">
        <f>Pivot!$B$9</f>
        <v>384900</v>
      </c>
      <c r="E66" t="str">
        <f>Pivot!$D$10</f>
        <v>R&amp;D</v>
      </c>
      <c r="F66" s="9">
        <f>Pivot!$E$10</f>
        <v>15</v>
      </c>
      <c r="H66" t="str">
        <f>Pivot!$H$9</f>
        <v>Kolkata</v>
      </c>
      <c r="I66" s="9">
        <f>Pivot!$I$9</f>
        <v>9</v>
      </c>
      <c r="K66" t="str">
        <f>Pivot!$K$9</f>
        <v>Operations</v>
      </c>
      <c r="L66" s="9">
        <f>Pivot!$L$9</f>
        <v>11</v>
      </c>
    </row>
    <row r="67" spans="1:15">
      <c r="A67" t="str">
        <f>Pivot!$A$10</f>
        <v>Jul</v>
      </c>
      <c r="B67" s="8">
        <f>Pivot!$B$10</f>
        <v>207300</v>
      </c>
      <c r="H67" t="str">
        <f>Pivot!$H$10</f>
        <v>Mumbai</v>
      </c>
      <c r="I67" s="9">
        <f>Pivot!$I$10</f>
        <v>18</v>
      </c>
      <c r="K67" t="str">
        <f>Pivot!$K$10</f>
        <v>Production</v>
      </c>
      <c r="L67" s="9">
        <f>Pivot!$L$10</f>
        <v>8</v>
      </c>
    </row>
    <row r="68" spans="1:15">
      <c r="A68" t="str">
        <f>Pivot!$A$11</f>
        <v>Aug</v>
      </c>
      <c r="B68" s="8">
        <f>Pivot!$B$11</f>
        <v>138400</v>
      </c>
      <c r="H68" t="str">
        <f>Pivot!$H$11</f>
        <v>Nashik</v>
      </c>
      <c r="I68" s="9">
        <f>Pivot!$I$11</f>
        <v>12</v>
      </c>
      <c r="K68" t="str">
        <f>Pivot!$K$11</f>
        <v>R&amp;D</v>
      </c>
      <c r="L68" s="9">
        <f>Pivot!$L$11</f>
        <v>10</v>
      </c>
    </row>
    <row r="69" spans="1:15">
      <c r="A69" t="str">
        <f>Pivot!$A$12</f>
        <v>Sep</v>
      </c>
      <c r="B69" s="8">
        <f>Pivot!$B$12</f>
        <v>450100</v>
      </c>
      <c r="H69" t="str">
        <f>Pivot!$H$12</f>
        <v>Pune</v>
      </c>
      <c r="I69" s="9">
        <f>Pivot!$I$12</f>
        <v>9</v>
      </c>
      <c r="K69" t="str">
        <f>Pivot!$K$12</f>
        <v>Sales</v>
      </c>
      <c r="L69" s="9">
        <f>Pivot!$L$12</f>
        <v>9</v>
      </c>
    </row>
    <row r="70" spans="1:15">
      <c r="A70" t="str">
        <f>Pivot!$A$13</f>
        <v>Oct</v>
      </c>
      <c r="B70" s="8">
        <f>Pivot!$B$13</f>
        <v>250900</v>
      </c>
    </row>
    <row r="71" spans="1:15">
      <c r="A71" t="str">
        <f>Pivot!$A$14</f>
        <v>Nov</v>
      </c>
      <c r="B71" s="8">
        <f>Pivot!$B$14</f>
        <v>313000</v>
      </c>
    </row>
    <row r="72" spans="1:15">
      <c r="A72" t="str">
        <f>Pivot!$A$15</f>
        <v>Dec</v>
      </c>
      <c r="B72" s="8">
        <f>Pivot!$B$15</f>
        <v>113300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6F69B-B12F-429C-B58C-08A905EC493A}">
  <sheetPr codeName="Dashboard"/>
  <dimension ref="A1:S76"/>
  <sheetViews>
    <sheetView tabSelected="1" workbookViewId="0">
      <selection activeCell="C5" sqref="C5"/>
    </sheetView>
  </sheetViews>
  <sheetFormatPr defaultRowHeight="13.8"/>
  <cols>
    <col min="1" max="1" width="8" bestFit="1" customWidth="1"/>
    <col min="2" max="2" width="11.5" bestFit="1" customWidth="1"/>
    <col min="3" max="3" width="11" bestFit="1" customWidth="1"/>
    <col min="4" max="4" width="19.59765625" bestFit="1" customWidth="1"/>
    <col min="5" max="5" width="26.796875" bestFit="1" customWidth="1"/>
    <col min="6" max="6" width="10.3984375" bestFit="1" customWidth="1"/>
    <col min="7" max="7" width="9.69921875" bestFit="1" customWidth="1"/>
    <col min="8" max="8" width="9.5" bestFit="1" customWidth="1"/>
    <col min="9" max="9" width="7.296875" bestFit="1" customWidth="1"/>
    <col min="10" max="10" width="8.5" bestFit="1" customWidth="1"/>
    <col min="11" max="11" width="6.69921875" bestFit="1" customWidth="1"/>
    <col min="12" max="12" width="13.69921875" bestFit="1" customWidth="1"/>
    <col min="14" max="14" width="5.8984375" bestFit="1" customWidth="1"/>
    <col min="15" max="16" width="6.296875" bestFit="1" customWidth="1"/>
    <col min="17" max="17" width="7.5" bestFit="1" customWidth="1"/>
    <col min="18" max="18" width="5" bestFit="1" customWidth="1"/>
    <col min="19" max="19" width="11.09765625" bestFit="1" customWidth="1"/>
  </cols>
  <sheetData>
    <row r="1" spans="1:19" s="5" customFormat="1" ht="33.6" customHeight="1">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row>
    <row r="2" spans="1:19">
      <c r="A2" s="2" t="s">
        <v>19</v>
      </c>
      <c r="B2" s="3">
        <v>44950</v>
      </c>
      <c r="C2" s="2" t="s">
        <v>20</v>
      </c>
      <c r="D2" s="2" t="s">
        <v>21</v>
      </c>
      <c r="E2" s="2" t="s">
        <v>22</v>
      </c>
      <c r="F2" s="2" t="s">
        <v>23</v>
      </c>
      <c r="G2" s="2" t="s">
        <v>24</v>
      </c>
      <c r="H2" s="2" t="s">
        <v>25</v>
      </c>
      <c r="I2" s="2" t="s">
        <v>26</v>
      </c>
      <c r="J2" s="4">
        <v>15900</v>
      </c>
      <c r="K2" s="4">
        <v>15900</v>
      </c>
      <c r="L2" s="2" t="s">
        <v>27</v>
      </c>
      <c r="M2" s="2">
        <v>100</v>
      </c>
      <c r="N2" s="2">
        <v>45550</v>
      </c>
      <c r="O2" s="2" t="str">
        <f>TEXT(tblProjects[[#This Row],[Start Date]],"mmm")</f>
        <v>Jan</v>
      </c>
      <c r="P2" s="2">
        <f>MONTH(tblProjects[[#This Row],[Start Date]])</f>
        <v>1</v>
      </c>
      <c r="Q2" s="2" t="str">
        <f>"Q"&amp;ROUNDUP(MONTH(tblProjects[[#This Row],[Start Date]])/3,0)</f>
        <v>Q1</v>
      </c>
      <c r="R2" s="2">
        <f>YEAR(tblProjects[[#This Row],[Start Date]])</f>
        <v>2023</v>
      </c>
      <c r="S2" s="2">
        <f ca="1">IFERROR(ROUND((TODAY()-tblProjects[[#This Row],[Start Date]])/365.25,1),0)</f>
        <v>3.7</v>
      </c>
    </row>
    <row r="3" spans="1:19">
      <c r="A3" s="2" t="s">
        <v>28</v>
      </c>
      <c r="B3" s="3">
        <v>44962</v>
      </c>
      <c r="C3" s="2" t="s">
        <v>29</v>
      </c>
      <c r="D3" s="2" t="s">
        <v>30</v>
      </c>
      <c r="E3" s="2" t="s">
        <v>31</v>
      </c>
      <c r="F3" s="2" t="s">
        <v>32</v>
      </c>
      <c r="G3" s="2" t="s">
        <v>29</v>
      </c>
      <c r="H3" s="2" t="s">
        <v>33</v>
      </c>
      <c r="I3" s="2" t="s">
        <v>26</v>
      </c>
      <c r="J3" s="4">
        <v>20000</v>
      </c>
      <c r="K3" s="4">
        <v>20000</v>
      </c>
      <c r="L3" s="2" t="s">
        <v>27</v>
      </c>
      <c r="M3" s="2">
        <v>32</v>
      </c>
      <c r="N3" s="2">
        <v>45375</v>
      </c>
      <c r="O3" s="2" t="str">
        <f>TEXT(tblProjects[[#This Row],[Start Date]],"mmm")</f>
        <v>Feb</v>
      </c>
      <c r="P3" s="2">
        <f>MONTH(tblProjects[[#This Row],[Start Date]])</f>
        <v>2</v>
      </c>
      <c r="Q3" s="2" t="str">
        <f>"Q"&amp;ROUNDUP(MONTH(tblProjects[[#This Row],[Start Date]])/3,0)</f>
        <v>Q1</v>
      </c>
      <c r="R3" s="2">
        <f>YEAR(tblProjects[[#This Row],[Start Date]])</f>
        <v>2023</v>
      </c>
      <c r="S3" s="2">
        <f ca="1">IFERROR(ROUND((TODAY()-tblProjects[[#This Row],[Start Date]])/365.25,1),0)</f>
        <v>3.7</v>
      </c>
    </row>
    <row r="4" spans="1:19">
      <c r="A4" s="2" t="s">
        <v>34</v>
      </c>
      <c r="B4" s="3">
        <v>45004</v>
      </c>
      <c r="C4" s="2" t="s">
        <v>35</v>
      </c>
      <c r="D4" s="2" t="s">
        <v>36</v>
      </c>
      <c r="E4" s="2" t="s">
        <v>37</v>
      </c>
      <c r="F4" s="2" t="s">
        <v>32</v>
      </c>
      <c r="G4" s="2" t="s">
        <v>38</v>
      </c>
      <c r="H4" s="2" t="s">
        <v>39</v>
      </c>
      <c r="I4" s="2" t="s">
        <v>26</v>
      </c>
      <c r="J4" s="4">
        <v>17000</v>
      </c>
      <c r="K4" s="4">
        <v>17000</v>
      </c>
      <c r="L4" s="2" t="s">
        <v>40</v>
      </c>
      <c r="M4" s="2">
        <v>9</v>
      </c>
      <c r="N4" s="2">
        <v>45610</v>
      </c>
      <c r="O4" s="2" t="str">
        <f>TEXT(tblProjects[[#This Row],[Start Date]],"mmm")</f>
        <v>Mar</v>
      </c>
      <c r="P4" s="2">
        <f>MONTH(tblProjects[[#This Row],[Start Date]])</f>
        <v>3</v>
      </c>
      <c r="Q4" s="2" t="str">
        <f>"Q"&amp;ROUNDUP(MONTH(tblProjects[[#This Row],[Start Date]])/3,0)</f>
        <v>Q1</v>
      </c>
      <c r="R4" s="2">
        <f>YEAR(tblProjects[[#This Row],[Start Date]])</f>
        <v>2023</v>
      </c>
      <c r="S4" s="2">
        <f ca="1">IFERROR(ROUND((TODAY()-tblProjects[[#This Row],[Start Date]])/365.25,1),0)</f>
        <v>3.6</v>
      </c>
    </row>
    <row r="5" spans="1:19">
      <c r="A5" s="2" t="s">
        <v>41</v>
      </c>
      <c r="B5" s="3">
        <v>45021</v>
      </c>
      <c r="C5" s="2" t="s">
        <v>42</v>
      </c>
      <c r="D5" s="2" t="s">
        <v>43</v>
      </c>
      <c r="E5" s="2" t="s">
        <v>44</v>
      </c>
      <c r="F5" s="2" t="s">
        <v>23</v>
      </c>
      <c r="G5" s="2" t="s">
        <v>45</v>
      </c>
      <c r="H5" s="2" t="s">
        <v>33</v>
      </c>
      <c r="I5" s="2" t="s">
        <v>26</v>
      </c>
      <c r="J5" s="4">
        <v>85000</v>
      </c>
      <c r="K5" s="4">
        <v>85000</v>
      </c>
      <c r="L5" s="2" t="s">
        <v>40</v>
      </c>
      <c r="M5" s="2">
        <v>49</v>
      </c>
      <c r="N5" s="2">
        <v>45481</v>
      </c>
      <c r="O5" s="2" t="str">
        <f>TEXT(tblProjects[[#This Row],[Start Date]],"mmm")</f>
        <v>Apr</v>
      </c>
      <c r="P5" s="2">
        <f>MONTH(tblProjects[[#This Row],[Start Date]])</f>
        <v>4</v>
      </c>
      <c r="Q5" s="2" t="str">
        <f>"Q"&amp;ROUNDUP(MONTH(tblProjects[[#This Row],[Start Date]])/3,0)</f>
        <v>Q2</v>
      </c>
      <c r="R5" s="2">
        <f>YEAR(tblProjects[[#This Row],[Start Date]])</f>
        <v>2023</v>
      </c>
      <c r="S5" s="2">
        <f ca="1">IFERROR(ROUND((TODAY()-tblProjects[[#This Row],[Start Date]])/365.25,1),0)</f>
        <v>3.5</v>
      </c>
    </row>
    <row r="6" spans="1:19">
      <c r="A6" s="2" t="s">
        <v>46</v>
      </c>
      <c r="B6" s="3">
        <v>45036</v>
      </c>
      <c r="C6" s="2" t="s">
        <v>35</v>
      </c>
      <c r="D6" s="2" t="s">
        <v>47</v>
      </c>
      <c r="E6" s="2" t="s">
        <v>48</v>
      </c>
      <c r="F6" s="2" t="s">
        <v>32</v>
      </c>
      <c r="G6" s="2" t="s">
        <v>20</v>
      </c>
      <c r="H6" s="2" t="s">
        <v>33</v>
      </c>
      <c r="I6" s="2" t="s">
        <v>26</v>
      </c>
      <c r="J6" s="4">
        <v>24600</v>
      </c>
      <c r="K6" s="4">
        <v>24600</v>
      </c>
      <c r="L6" s="2" t="s">
        <v>49</v>
      </c>
      <c r="M6" s="2">
        <v>81</v>
      </c>
      <c r="N6" s="2">
        <v>45328</v>
      </c>
      <c r="O6" s="2" t="str">
        <f>TEXT(tblProjects[[#This Row],[Start Date]],"mmm")</f>
        <v>Apr</v>
      </c>
      <c r="P6" s="2">
        <f>MONTH(tblProjects[[#This Row],[Start Date]])</f>
        <v>4</v>
      </c>
      <c r="Q6" s="2" t="str">
        <f>"Q"&amp;ROUNDUP(MONTH(tblProjects[[#This Row],[Start Date]])/3,0)</f>
        <v>Q2</v>
      </c>
      <c r="R6" s="2">
        <f>YEAR(tblProjects[[#This Row],[Start Date]])</f>
        <v>2023</v>
      </c>
      <c r="S6" s="2">
        <f ca="1">IFERROR(ROUND((TODAY()-tblProjects[[#This Row],[Start Date]])/365.25,1),0)</f>
        <v>3.5</v>
      </c>
    </row>
    <row r="7" spans="1:19">
      <c r="A7" s="2" t="s">
        <v>50</v>
      </c>
      <c r="B7" s="3">
        <v>45051</v>
      </c>
      <c r="C7" s="2" t="s">
        <v>20</v>
      </c>
      <c r="D7" s="2" t="s">
        <v>21</v>
      </c>
      <c r="E7" s="2" t="s">
        <v>51</v>
      </c>
      <c r="F7" s="2" t="s">
        <v>52</v>
      </c>
      <c r="G7" s="2" t="s">
        <v>24</v>
      </c>
      <c r="H7" s="2" t="s">
        <v>39</v>
      </c>
      <c r="I7" s="2" t="s">
        <v>53</v>
      </c>
      <c r="J7" s="4">
        <v>79000</v>
      </c>
      <c r="K7" s="4">
        <v>79000</v>
      </c>
      <c r="L7" s="2" t="s">
        <v>54</v>
      </c>
      <c r="M7" s="2">
        <v>7</v>
      </c>
      <c r="N7" s="2">
        <v>45299</v>
      </c>
      <c r="O7" s="2" t="str">
        <f>TEXT(tblProjects[[#This Row],[Start Date]],"mmm")</f>
        <v>May</v>
      </c>
      <c r="P7" s="2">
        <f>MONTH(tblProjects[[#This Row],[Start Date]])</f>
        <v>5</v>
      </c>
      <c r="Q7" s="2" t="str">
        <f>"Q"&amp;ROUNDUP(MONTH(tblProjects[[#This Row],[Start Date]])/3,0)</f>
        <v>Q2</v>
      </c>
      <c r="R7" s="2">
        <f>YEAR(tblProjects[[#This Row],[Start Date]])</f>
        <v>2023</v>
      </c>
      <c r="S7" s="2">
        <f ca="1">IFERROR(ROUND((TODAY()-tblProjects[[#This Row],[Start Date]])/365.25,1),0)</f>
        <v>3.4</v>
      </c>
    </row>
    <row r="8" spans="1:19">
      <c r="A8" s="2" t="s">
        <v>55</v>
      </c>
      <c r="B8" s="3">
        <v>45063</v>
      </c>
      <c r="C8" s="2" t="s">
        <v>29</v>
      </c>
      <c r="D8" s="2" t="s">
        <v>30</v>
      </c>
      <c r="E8" s="2" t="s">
        <v>56</v>
      </c>
      <c r="F8" s="2" t="s">
        <v>32</v>
      </c>
      <c r="G8" s="2" t="s">
        <v>29</v>
      </c>
      <c r="H8" s="2" t="s">
        <v>57</v>
      </c>
      <c r="I8" s="2" t="s">
        <v>26</v>
      </c>
      <c r="J8" s="4">
        <v>84000</v>
      </c>
      <c r="K8" s="4">
        <v>84000</v>
      </c>
      <c r="L8" s="2" t="s">
        <v>58</v>
      </c>
      <c r="M8" s="2">
        <v>68</v>
      </c>
      <c r="N8" s="2">
        <v>45317</v>
      </c>
      <c r="O8" s="2" t="str">
        <f>TEXT(tblProjects[[#This Row],[Start Date]],"mmm")</f>
        <v>May</v>
      </c>
      <c r="P8" s="2">
        <f>MONTH(tblProjects[[#This Row],[Start Date]])</f>
        <v>5</v>
      </c>
      <c r="Q8" s="2" t="str">
        <f>"Q"&amp;ROUNDUP(MONTH(tblProjects[[#This Row],[Start Date]])/3,0)</f>
        <v>Q2</v>
      </c>
      <c r="R8" s="2">
        <f>YEAR(tblProjects[[#This Row],[Start Date]])</f>
        <v>2023</v>
      </c>
      <c r="S8" s="2">
        <f ca="1">IFERROR(ROUND((TODAY()-tblProjects[[#This Row],[Start Date]])/365.25,1),0)</f>
        <v>3.4</v>
      </c>
    </row>
    <row r="9" spans="1:19">
      <c r="A9" s="2" t="s">
        <v>59</v>
      </c>
      <c r="B9" s="3">
        <v>45064</v>
      </c>
      <c r="C9" s="2" t="s">
        <v>29</v>
      </c>
      <c r="D9" s="2" t="s">
        <v>60</v>
      </c>
      <c r="E9" s="2" t="s">
        <v>61</v>
      </c>
      <c r="F9" s="2" t="s">
        <v>23</v>
      </c>
      <c r="G9" s="2" t="s">
        <v>38</v>
      </c>
      <c r="H9" s="2" t="s">
        <v>62</v>
      </c>
      <c r="I9" s="2" t="s">
        <v>26</v>
      </c>
      <c r="J9" s="4">
        <v>76000</v>
      </c>
      <c r="K9" s="4">
        <v>76000</v>
      </c>
      <c r="L9" s="2" t="s">
        <v>63</v>
      </c>
      <c r="M9" s="2">
        <v>29</v>
      </c>
      <c r="N9" s="2">
        <v>45635</v>
      </c>
      <c r="O9" s="2" t="str">
        <f>TEXT(tblProjects[[#This Row],[Start Date]],"mmm")</f>
        <v>May</v>
      </c>
      <c r="P9" s="2">
        <f>MONTH(tblProjects[[#This Row],[Start Date]])</f>
        <v>5</v>
      </c>
      <c r="Q9" s="2" t="str">
        <f>"Q"&amp;ROUNDUP(MONTH(tblProjects[[#This Row],[Start Date]])/3,0)</f>
        <v>Q2</v>
      </c>
      <c r="R9" s="2">
        <f>YEAR(tblProjects[[#This Row],[Start Date]])</f>
        <v>2023</v>
      </c>
      <c r="S9" s="2">
        <f ca="1">IFERROR(ROUND((TODAY()-tblProjects[[#This Row],[Start Date]])/365.25,1),0)</f>
        <v>3.4</v>
      </c>
    </row>
    <row r="10" spans="1:19">
      <c r="A10" s="2" t="s">
        <v>64</v>
      </c>
      <c r="B10" s="3">
        <v>45074</v>
      </c>
      <c r="C10" s="2" t="s">
        <v>65</v>
      </c>
      <c r="D10" s="2" t="s">
        <v>66</v>
      </c>
      <c r="E10" s="2" t="s">
        <v>67</v>
      </c>
      <c r="F10" s="2" t="s">
        <v>68</v>
      </c>
      <c r="G10" s="2" t="s">
        <v>20</v>
      </c>
      <c r="H10" s="2" t="s">
        <v>57</v>
      </c>
      <c r="I10" s="2" t="s">
        <v>69</v>
      </c>
      <c r="J10" s="4">
        <v>13000</v>
      </c>
      <c r="K10" s="4">
        <v>13000</v>
      </c>
      <c r="L10" s="2" t="s">
        <v>70</v>
      </c>
      <c r="M10" s="2">
        <v>42</v>
      </c>
      <c r="N10" s="2">
        <v>45577</v>
      </c>
      <c r="O10" s="2" t="str">
        <f>TEXT(tblProjects[[#This Row],[Start Date]],"mmm")</f>
        <v>May</v>
      </c>
      <c r="P10" s="2">
        <f>MONTH(tblProjects[[#This Row],[Start Date]])</f>
        <v>5</v>
      </c>
      <c r="Q10" s="2" t="str">
        <f>"Q"&amp;ROUNDUP(MONTH(tblProjects[[#This Row],[Start Date]])/3,0)</f>
        <v>Q2</v>
      </c>
      <c r="R10" s="2">
        <f>YEAR(tblProjects[[#This Row],[Start Date]])</f>
        <v>2023</v>
      </c>
      <c r="S10" s="2">
        <f ca="1">IFERROR(ROUND((TODAY()-tblProjects[[#This Row],[Start Date]])/365.25,1),0)</f>
        <v>3.4</v>
      </c>
    </row>
    <row r="11" spans="1:19">
      <c r="A11" s="2" t="s">
        <v>71</v>
      </c>
      <c r="B11" s="3">
        <v>45087</v>
      </c>
      <c r="C11" s="2" t="s">
        <v>72</v>
      </c>
      <c r="D11" s="2" t="s">
        <v>73</v>
      </c>
      <c r="E11" s="2" t="s">
        <v>74</v>
      </c>
      <c r="F11" s="2" t="s">
        <v>23</v>
      </c>
      <c r="G11" s="2" t="s">
        <v>20</v>
      </c>
      <c r="H11" s="2" t="s">
        <v>25</v>
      </c>
      <c r="I11" s="2" t="s">
        <v>26</v>
      </c>
      <c r="J11" s="4">
        <v>66000</v>
      </c>
      <c r="K11" s="4">
        <v>66000</v>
      </c>
      <c r="L11" s="2" t="s">
        <v>63</v>
      </c>
      <c r="M11" s="2">
        <v>100</v>
      </c>
      <c r="N11" s="2">
        <v>45422</v>
      </c>
      <c r="O11" s="2" t="str">
        <f>TEXT(tblProjects[[#This Row],[Start Date]],"mmm")</f>
        <v>Jun</v>
      </c>
      <c r="P11" s="2">
        <f>MONTH(tblProjects[[#This Row],[Start Date]])</f>
        <v>6</v>
      </c>
      <c r="Q11" s="2" t="str">
        <f>"Q"&amp;ROUNDUP(MONTH(tblProjects[[#This Row],[Start Date]])/3,0)</f>
        <v>Q2</v>
      </c>
      <c r="R11" s="2">
        <f>YEAR(tblProjects[[#This Row],[Start Date]])</f>
        <v>2023</v>
      </c>
      <c r="S11" s="2">
        <f ca="1">IFERROR(ROUND((TODAY()-tblProjects[[#This Row],[Start Date]])/365.25,1),0)</f>
        <v>3.3</v>
      </c>
    </row>
    <row r="12" spans="1:19">
      <c r="A12" s="2" t="s">
        <v>75</v>
      </c>
      <c r="B12" s="3">
        <v>45093</v>
      </c>
      <c r="C12" s="2" t="s">
        <v>29</v>
      </c>
      <c r="D12" s="2" t="s">
        <v>60</v>
      </c>
      <c r="E12" s="2" t="s">
        <v>61</v>
      </c>
      <c r="F12" s="2" t="s">
        <v>32</v>
      </c>
      <c r="G12" s="2" t="s">
        <v>20</v>
      </c>
      <c r="H12" s="2" t="s">
        <v>33</v>
      </c>
      <c r="I12" s="2" t="s">
        <v>53</v>
      </c>
      <c r="J12" s="4">
        <v>28000</v>
      </c>
      <c r="K12" s="4">
        <v>28000</v>
      </c>
      <c r="L12" s="2" t="s">
        <v>70</v>
      </c>
      <c r="M12" s="2">
        <v>33</v>
      </c>
      <c r="N12" s="2">
        <v>45720</v>
      </c>
      <c r="O12" s="2" t="str">
        <f>TEXT(tblProjects[[#This Row],[Start Date]],"mmm")</f>
        <v>Jun</v>
      </c>
      <c r="P12" s="2">
        <f>MONTH(tblProjects[[#This Row],[Start Date]])</f>
        <v>6</v>
      </c>
      <c r="Q12" s="2" t="str">
        <f>"Q"&amp;ROUNDUP(MONTH(tblProjects[[#This Row],[Start Date]])/3,0)</f>
        <v>Q2</v>
      </c>
      <c r="R12" s="2">
        <f>YEAR(tblProjects[[#This Row],[Start Date]])</f>
        <v>2023</v>
      </c>
      <c r="S12" s="2">
        <f ca="1">IFERROR(ROUND((TODAY()-tblProjects[[#This Row],[Start Date]])/365.25,1),0)</f>
        <v>3.3</v>
      </c>
    </row>
    <row r="13" spans="1:19">
      <c r="A13" s="2" t="s">
        <v>76</v>
      </c>
      <c r="B13" s="3">
        <v>45093</v>
      </c>
      <c r="C13" s="2" t="s">
        <v>29</v>
      </c>
      <c r="D13" s="2" t="s">
        <v>77</v>
      </c>
      <c r="E13" s="2" t="s">
        <v>56</v>
      </c>
      <c r="F13" s="2" t="s">
        <v>52</v>
      </c>
      <c r="G13" s="2" t="s">
        <v>29</v>
      </c>
      <c r="H13" s="2" t="s">
        <v>57</v>
      </c>
      <c r="I13" s="2" t="s">
        <v>69</v>
      </c>
      <c r="J13" s="4">
        <v>40000</v>
      </c>
      <c r="K13" s="4">
        <v>40000</v>
      </c>
      <c r="L13" s="2" t="s">
        <v>70</v>
      </c>
      <c r="M13" s="2">
        <v>68</v>
      </c>
      <c r="N13" s="2">
        <v>45469</v>
      </c>
      <c r="O13" s="2" t="str">
        <f>TEXT(tblProjects[[#This Row],[Start Date]],"mmm")</f>
        <v>Jun</v>
      </c>
      <c r="P13" s="2">
        <f>MONTH(tblProjects[[#This Row],[Start Date]])</f>
        <v>6</v>
      </c>
      <c r="Q13" s="2" t="str">
        <f>"Q"&amp;ROUNDUP(MONTH(tblProjects[[#This Row],[Start Date]])/3,0)</f>
        <v>Q2</v>
      </c>
      <c r="R13" s="2">
        <f>YEAR(tblProjects[[#This Row],[Start Date]])</f>
        <v>2023</v>
      </c>
      <c r="S13" s="2">
        <f ca="1">IFERROR(ROUND((TODAY()-tblProjects[[#This Row],[Start Date]])/365.25,1),0)</f>
        <v>3.3</v>
      </c>
    </row>
    <row r="14" spans="1:19">
      <c r="A14" s="2" t="s">
        <v>78</v>
      </c>
      <c r="B14" s="3">
        <v>45102</v>
      </c>
      <c r="C14" s="2" t="s">
        <v>20</v>
      </c>
      <c r="D14" s="2" t="s">
        <v>21</v>
      </c>
      <c r="E14" s="2" t="s">
        <v>79</v>
      </c>
      <c r="F14" s="2" t="s">
        <v>23</v>
      </c>
      <c r="G14" s="2" t="s">
        <v>29</v>
      </c>
      <c r="H14" s="2" t="s">
        <v>25</v>
      </c>
      <c r="I14" s="2" t="s">
        <v>53</v>
      </c>
      <c r="J14" s="4">
        <v>12100</v>
      </c>
      <c r="K14" s="4">
        <v>12100</v>
      </c>
      <c r="L14" s="2" t="s">
        <v>80</v>
      </c>
      <c r="M14" s="2">
        <v>100</v>
      </c>
      <c r="N14" s="2">
        <v>45330</v>
      </c>
      <c r="O14" s="2" t="str">
        <f>TEXT(tblProjects[[#This Row],[Start Date]],"mmm")</f>
        <v>Jun</v>
      </c>
      <c r="P14" s="2">
        <f>MONTH(tblProjects[[#This Row],[Start Date]])</f>
        <v>6</v>
      </c>
      <c r="Q14" s="2" t="str">
        <f>"Q"&amp;ROUNDUP(MONTH(tblProjects[[#This Row],[Start Date]])/3,0)</f>
        <v>Q2</v>
      </c>
      <c r="R14" s="2">
        <f>YEAR(tblProjects[[#This Row],[Start Date]])</f>
        <v>2023</v>
      </c>
      <c r="S14" s="2">
        <f ca="1">IFERROR(ROUND((TODAY()-tblProjects[[#This Row],[Start Date]])/365.25,1),0)</f>
        <v>3.3</v>
      </c>
    </row>
    <row r="15" spans="1:19">
      <c r="A15" s="2" t="s">
        <v>81</v>
      </c>
      <c r="B15" s="3">
        <v>45129</v>
      </c>
      <c r="C15" s="2" t="s">
        <v>42</v>
      </c>
      <c r="D15" s="2" t="s">
        <v>82</v>
      </c>
      <c r="E15" s="2" t="s">
        <v>83</v>
      </c>
      <c r="F15" s="2" t="s">
        <v>84</v>
      </c>
      <c r="G15" s="2" t="s">
        <v>29</v>
      </c>
      <c r="H15" s="2" t="s">
        <v>57</v>
      </c>
      <c r="I15" s="2" t="s">
        <v>53</v>
      </c>
      <c r="J15" s="4">
        <v>34000</v>
      </c>
      <c r="K15" s="4">
        <v>34000</v>
      </c>
      <c r="L15" s="2" t="s">
        <v>85</v>
      </c>
      <c r="M15" s="2">
        <v>71</v>
      </c>
      <c r="N15" s="2">
        <v>45356</v>
      </c>
      <c r="O15" s="2" t="str">
        <f>TEXT(tblProjects[[#This Row],[Start Date]],"mmm")</f>
        <v>Jul</v>
      </c>
      <c r="P15" s="2">
        <f>MONTH(tblProjects[[#This Row],[Start Date]])</f>
        <v>7</v>
      </c>
      <c r="Q15" s="2" t="str">
        <f>"Q"&amp;ROUNDUP(MONTH(tblProjects[[#This Row],[Start Date]])/3,0)</f>
        <v>Q3</v>
      </c>
      <c r="R15" s="2">
        <f>YEAR(tblProjects[[#This Row],[Start Date]])</f>
        <v>2023</v>
      </c>
      <c r="S15" s="2">
        <f ca="1">IFERROR(ROUND((TODAY()-tblProjects[[#This Row],[Start Date]])/365.25,1),0)</f>
        <v>3.2</v>
      </c>
    </row>
    <row r="16" spans="1:19">
      <c r="A16" s="2" t="s">
        <v>86</v>
      </c>
      <c r="B16" s="3">
        <v>45137</v>
      </c>
      <c r="C16" s="2" t="s">
        <v>35</v>
      </c>
      <c r="D16" s="2" t="s">
        <v>36</v>
      </c>
      <c r="E16" s="2" t="s">
        <v>87</v>
      </c>
      <c r="F16" s="2" t="s">
        <v>88</v>
      </c>
      <c r="G16" s="2" t="s">
        <v>45</v>
      </c>
      <c r="H16" s="2" t="s">
        <v>25</v>
      </c>
      <c r="I16" s="2" t="s">
        <v>53</v>
      </c>
      <c r="J16" s="4">
        <v>14300</v>
      </c>
      <c r="K16" s="4">
        <v>14300</v>
      </c>
      <c r="L16" s="2" t="s">
        <v>27</v>
      </c>
      <c r="M16" s="2">
        <v>100</v>
      </c>
      <c r="N16" s="2">
        <v>45513</v>
      </c>
      <c r="O16" s="2" t="str">
        <f>TEXT(tblProjects[[#This Row],[Start Date]],"mmm")</f>
        <v>Jul</v>
      </c>
      <c r="P16" s="2">
        <f>MONTH(tblProjects[[#This Row],[Start Date]])</f>
        <v>7</v>
      </c>
      <c r="Q16" s="2" t="str">
        <f>"Q"&amp;ROUNDUP(MONTH(tblProjects[[#This Row],[Start Date]])/3,0)</f>
        <v>Q3</v>
      </c>
      <c r="R16" s="2">
        <f>YEAR(tblProjects[[#This Row],[Start Date]])</f>
        <v>2023</v>
      </c>
      <c r="S16" s="2">
        <f ca="1">IFERROR(ROUND((TODAY()-tblProjects[[#This Row],[Start Date]])/365.25,1),0)</f>
        <v>3.2</v>
      </c>
    </row>
    <row r="17" spans="1:19">
      <c r="A17" s="2" t="s">
        <v>89</v>
      </c>
      <c r="B17" s="3">
        <v>45165</v>
      </c>
      <c r="C17" s="2" t="s">
        <v>35</v>
      </c>
      <c r="D17" s="2" t="s">
        <v>36</v>
      </c>
      <c r="E17" s="2" t="s">
        <v>90</v>
      </c>
      <c r="F17" s="2" t="s">
        <v>84</v>
      </c>
      <c r="G17" s="2" t="s">
        <v>45</v>
      </c>
      <c r="H17" s="2" t="s">
        <v>33</v>
      </c>
      <c r="I17" s="2" t="s">
        <v>53</v>
      </c>
      <c r="J17" s="4">
        <v>25400</v>
      </c>
      <c r="K17" s="4">
        <v>25400</v>
      </c>
      <c r="L17" s="2" t="s">
        <v>63</v>
      </c>
      <c r="M17" s="2">
        <v>82</v>
      </c>
      <c r="N17" s="2">
        <v>45510</v>
      </c>
      <c r="O17" s="2" t="str">
        <f>TEXT(tblProjects[[#This Row],[Start Date]],"mmm")</f>
        <v>Aug</v>
      </c>
      <c r="P17" s="2">
        <f>MONTH(tblProjects[[#This Row],[Start Date]])</f>
        <v>8</v>
      </c>
      <c r="Q17" s="2" t="str">
        <f>"Q"&amp;ROUNDUP(MONTH(tblProjects[[#This Row],[Start Date]])/3,0)</f>
        <v>Q3</v>
      </c>
      <c r="R17" s="2">
        <f>YEAR(tblProjects[[#This Row],[Start Date]])</f>
        <v>2023</v>
      </c>
      <c r="S17" s="2">
        <f ca="1">IFERROR(ROUND((TODAY()-tblProjects[[#This Row],[Start Date]])/365.25,1),0)</f>
        <v>3.1</v>
      </c>
    </row>
    <row r="18" spans="1:19">
      <c r="A18" s="2" t="s">
        <v>91</v>
      </c>
      <c r="B18" s="3">
        <v>45183</v>
      </c>
      <c r="C18" s="2" t="s">
        <v>35</v>
      </c>
      <c r="D18" s="2" t="s">
        <v>47</v>
      </c>
      <c r="E18" s="2" t="s">
        <v>37</v>
      </c>
      <c r="F18" s="2" t="s">
        <v>92</v>
      </c>
      <c r="G18" s="2" t="s">
        <v>65</v>
      </c>
      <c r="H18" s="2" t="s">
        <v>57</v>
      </c>
      <c r="I18" s="2" t="s">
        <v>53</v>
      </c>
      <c r="J18" s="4">
        <v>25100</v>
      </c>
      <c r="K18" s="4">
        <v>25100</v>
      </c>
      <c r="L18" s="2" t="s">
        <v>93</v>
      </c>
      <c r="M18" s="2">
        <v>50</v>
      </c>
      <c r="N18" s="2">
        <v>45692</v>
      </c>
      <c r="O18" s="2" t="str">
        <f>TEXT(tblProjects[[#This Row],[Start Date]],"mmm")</f>
        <v>Sep</v>
      </c>
      <c r="P18" s="2">
        <f>MONTH(tblProjects[[#This Row],[Start Date]])</f>
        <v>9</v>
      </c>
      <c r="Q18" s="2" t="str">
        <f>"Q"&amp;ROUNDUP(MONTH(tblProjects[[#This Row],[Start Date]])/3,0)</f>
        <v>Q3</v>
      </c>
      <c r="R18" s="2">
        <f>YEAR(tblProjects[[#This Row],[Start Date]])</f>
        <v>2023</v>
      </c>
      <c r="S18" s="2">
        <f ca="1">IFERROR(ROUND((TODAY()-tblProjects[[#This Row],[Start Date]])/365.25,1),0)</f>
        <v>3.1</v>
      </c>
    </row>
    <row r="19" spans="1:19">
      <c r="A19" s="2" t="s">
        <v>94</v>
      </c>
      <c r="B19" s="3">
        <v>45184</v>
      </c>
      <c r="C19" s="2" t="s">
        <v>72</v>
      </c>
      <c r="D19" s="2" t="s">
        <v>95</v>
      </c>
      <c r="E19" s="2" t="s">
        <v>74</v>
      </c>
      <c r="F19" s="2" t="s">
        <v>23</v>
      </c>
      <c r="G19" s="2" t="s">
        <v>45</v>
      </c>
      <c r="H19" s="2" t="s">
        <v>39</v>
      </c>
      <c r="I19" s="2" t="s">
        <v>26</v>
      </c>
      <c r="J19" s="4">
        <v>72000</v>
      </c>
      <c r="K19" s="4">
        <v>72000</v>
      </c>
      <c r="L19" s="2" t="s">
        <v>27</v>
      </c>
      <c r="M19" s="2">
        <v>13</v>
      </c>
      <c r="N19" s="2">
        <v>45671</v>
      </c>
      <c r="O19" s="2" t="str">
        <f>TEXT(tblProjects[[#This Row],[Start Date]],"mmm")</f>
        <v>Sep</v>
      </c>
      <c r="P19" s="2">
        <f>MONTH(tblProjects[[#This Row],[Start Date]])</f>
        <v>9</v>
      </c>
      <c r="Q19" s="2" t="str">
        <f>"Q"&amp;ROUNDUP(MONTH(tblProjects[[#This Row],[Start Date]])/3,0)</f>
        <v>Q3</v>
      </c>
      <c r="R19" s="2">
        <f>YEAR(tblProjects[[#This Row],[Start Date]])</f>
        <v>2023</v>
      </c>
      <c r="S19" s="2">
        <f ca="1">IFERROR(ROUND((TODAY()-tblProjects[[#This Row],[Start Date]])/365.25,1),0)</f>
        <v>3.1</v>
      </c>
    </row>
    <row r="20" spans="1:19">
      <c r="A20" s="2" t="s">
        <v>96</v>
      </c>
      <c r="B20" s="3">
        <v>45186</v>
      </c>
      <c r="C20" s="2" t="s">
        <v>35</v>
      </c>
      <c r="D20" s="2" t="s">
        <v>82</v>
      </c>
      <c r="E20" s="2" t="s">
        <v>87</v>
      </c>
      <c r="F20" s="2" t="s">
        <v>32</v>
      </c>
      <c r="G20" s="2" t="s">
        <v>38</v>
      </c>
      <c r="H20" s="2" t="s">
        <v>39</v>
      </c>
      <c r="I20" s="2" t="s">
        <v>26</v>
      </c>
      <c r="J20" s="4">
        <v>23200</v>
      </c>
      <c r="K20" s="4">
        <v>23200</v>
      </c>
      <c r="L20" s="2" t="s">
        <v>80</v>
      </c>
      <c r="M20" s="2">
        <v>15</v>
      </c>
      <c r="N20" s="2">
        <v>45483</v>
      </c>
      <c r="O20" s="2" t="str">
        <f>TEXT(tblProjects[[#This Row],[Start Date]],"mmm")</f>
        <v>Sep</v>
      </c>
      <c r="P20" s="2">
        <f>MONTH(tblProjects[[#This Row],[Start Date]])</f>
        <v>9</v>
      </c>
      <c r="Q20" s="2" t="str">
        <f>"Q"&amp;ROUNDUP(MONTH(tblProjects[[#This Row],[Start Date]])/3,0)</f>
        <v>Q3</v>
      </c>
      <c r="R20" s="2">
        <f>YEAR(tblProjects[[#This Row],[Start Date]])</f>
        <v>2023</v>
      </c>
      <c r="S20" s="2">
        <f ca="1">IFERROR(ROUND((TODAY()-tblProjects[[#This Row],[Start Date]])/365.25,1),0)</f>
        <v>3.1</v>
      </c>
    </row>
    <row r="21" spans="1:19">
      <c r="A21" s="2" t="s">
        <v>97</v>
      </c>
      <c r="B21" s="3">
        <v>45191</v>
      </c>
      <c r="C21" s="2" t="s">
        <v>72</v>
      </c>
      <c r="D21" s="2" t="s">
        <v>98</v>
      </c>
      <c r="E21" s="2" t="s">
        <v>74</v>
      </c>
      <c r="F21" s="2" t="s">
        <v>68</v>
      </c>
      <c r="G21" s="2" t="s">
        <v>20</v>
      </c>
      <c r="H21" s="2" t="s">
        <v>25</v>
      </c>
      <c r="I21" s="2" t="s">
        <v>69</v>
      </c>
      <c r="J21" s="4">
        <v>79000</v>
      </c>
      <c r="K21" s="4">
        <v>79000</v>
      </c>
      <c r="L21" s="2" t="s">
        <v>40</v>
      </c>
      <c r="M21" s="2">
        <v>100</v>
      </c>
      <c r="N21" s="2">
        <v>45624</v>
      </c>
      <c r="O21" s="2" t="str">
        <f>TEXT(tblProjects[[#This Row],[Start Date]],"mmm")</f>
        <v>Sep</v>
      </c>
      <c r="P21" s="2">
        <f>MONTH(tblProjects[[#This Row],[Start Date]])</f>
        <v>9</v>
      </c>
      <c r="Q21" s="2" t="str">
        <f>"Q"&amp;ROUNDUP(MONTH(tblProjects[[#This Row],[Start Date]])/3,0)</f>
        <v>Q3</v>
      </c>
      <c r="R21" s="2">
        <f>YEAR(tblProjects[[#This Row],[Start Date]])</f>
        <v>2023</v>
      </c>
      <c r="S21" s="2">
        <f ca="1">IFERROR(ROUND((TODAY()-tblProjects[[#This Row],[Start Date]])/365.25,1),0)</f>
        <v>3</v>
      </c>
    </row>
    <row r="22" spans="1:19">
      <c r="A22" s="2" t="s">
        <v>99</v>
      </c>
      <c r="B22" s="3">
        <v>45208</v>
      </c>
      <c r="C22" s="2" t="s">
        <v>35</v>
      </c>
      <c r="D22" s="2" t="s">
        <v>100</v>
      </c>
      <c r="E22" s="2" t="s">
        <v>90</v>
      </c>
      <c r="F22" s="2" t="s">
        <v>32</v>
      </c>
      <c r="G22" s="2" t="s">
        <v>38</v>
      </c>
      <c r="H22" s="2" t="s">
        <v>62</v>
      </c>
      <c r="I22" s="2" t="s">
        <v>26</v>
      </c>
      <c r="J22" s="4">
        <v>16000</v>
      </c>
      <c r="K22" s="4">
        <v>16000</v>
      </c>
      <c r="L22" s="2" t="s">
        <v>101</v>
      </c>
      <c r="M22" s="2">
        <v>35</v>
      </c>
      <c r="N22" s="2">
        <v>45417</v>
      </c>
      <c r="O22" s="2" t="str">
        <f>TEXT(tblProjects[[#This Row],[Start Date]],"mmm")</f>
        <v>Oct</v>
      </c>
      <c r="P22" s="2">
        <f>MONTH(tblProjects[[#This Row],[Start Date]])</f>
        <v>10</v>
      </c>
      <c r="Q22" s="2" t="str">
        <f>"Q"&amp;ROUNDUP(MONTH(tblProjects[[#This Row],[Start Date]])/3,0)</f>
        <v>Q4</v>
      </c>
      <c r="R22" s="2">
        <f>YEAR(tblProjects[[#This Row],[Start Date]])</f>
        <v>2023</v>
      </c>
      <c r="S22" s="2">
        <f ca="1">IFERROR(ROUND((TODAY()-tblProjects[[#This Row],[Start Date]])/365.25,1),0)</f>
        <v>3</v>
      </c>
    </row>
    <row r="23" spans="1:19">
      <c r="A23" s="2" t="s">
        <v>102</v>
      </c>
      <c r="B23" s="3">
        <v>45221</v>
      </c>
      <c r="C23" s="2" t="s">
        <v>42</v>
      </c>
      <c r="D23" s="2" t="s">
        <v>103</v>
      </c>
      <c r="E23" s="2" t="s">
        <v>104</v>
      </c>
      <c r="F23" s="2" t="s">
        <v>92</v>
      </c>
      <c r="G23" s="2" t="s">
        <v>105</v>
      </c>
      <c r="H23" s="2" t="s">
        <v>33</v>
      </c>
      <c r="I23" s="2" t="s">
        <v>53</v>
      </c>
      <c r="J23" s="4">
        <v>26000</v>
      </c>
      <c r="K23" s="4">
        <v>26000</v>
      </c>
      <c r="L23" s="2" t="s">
        <v>106</v>
      </c>
      <c r="M23" s="2">
        <v>64</v>
      </c>
      <c r="N23" s="2">
        <v>45545</v>
      </c>
      <c r="O23" s="2" t="str">
        <f>TEXT(tblProjects[[#This Row],[Start Date]],"mmm")</f>
        <v>Oct</v>
      </c>
      <c r="P23" s="2">
        <f>MONTH(tblProjects[[#This Row],[Start Date]])</f>
        <v>10</v>
      </c>
      <c r="Q23" s="2" t="str">
        <f>"Q"&amp;ROUNDUP(MONTH(tblProjects[[#This Row],[Start Date]])/3,0)</f>
        <v>Q4</v>
      </c>
      <c r="R23" s="2">
        <f>YEAR(tblProjects[[#This Row],[Start Date]])</f>
        <v>2023</v>
      </c>
      <c r="S23" s="2">
        <f ca="1">IFERROR(ROUND((TODAY()-tblProjects[[#This Row],[Start Date]])/365.25,1),0)</f>
        <v>3</v>
      </c>
    </row>
    <row r="24" spans="1:19">
      <c r="A24" s="2" t="s">
        <v>107</v>
      </c>
      <c r="B24" s="3">
        <v>45225</v>
      </c>
      <c r="C24" s="2" t="s">
        <v>20</v>
      </c>
      <c r="D24" s="2" t="s">
        <v>108</v>
      </c>
      <c r="E24" s="2" t="s">
        <v>22</v>
      </c>
      <c r="F24" s="2" t="s">
        <v>68</v>
      </c>
      <c r="G24" s="2" t="s">
        <v>42</v>
      </c>
      <c r="H24" s="2" t="s">
        <v>33</v>
      </c>
      <c r="I24" s="2" t="s">
        <v>53</v>
      </c>
      <c r="J24" s="4">
        <v>68000</v>
      </c>
      <c r="K24" s="4">
        <v>68000</v>
      </c>
      <c r="L24" s="2" t="s">
        <v>54</v>
      </c>
      <c r="M24" s="2">
        <v>36</v>
      </c>
      <c r="N24" s="2">
        <v>45395</v>
      </c>
      <c r="O24" s="2" t="str">
        <f>TEXT(tblProjects[[#This Row],[Start Date]],"mmm")</f>
        <v>Oct</v>
      </c>
      <c r="P24" s="2">
        <f>MONTH(tblProjects[[#This Row],[Start Date]])</f>
        <v>10</v>
      </c>
      <c r="Q24" s="2" t="str">
        <f>"Q"&amp;ROUNDUP(MONTH(tblProjects[[#This Row],[Start Date]])/3,0)</f>
        <v>Q4</v>
      </c>
      <c r="R24" s="2">
        <f>YEAR(tblProjects[[#This Row],[Start Date]])</f>
        <v>2023</v>
      </c>
      <c r="S24" s="2">
        <f ca="1">IFERROR(ROUND((TODAY()-tblProjects[[#This Row],[Start Date]])/365.25,1),0)</f>
        <v>3</v>
      </c>
    </row>
    <row r="25" spans="1:19">
      <c r="A25" s="2" t="s">
        <v>109</v>
      </c>
      <c r="B25" s="3">
        <v>45245</v>
      </c>
      <c r="C25" s="2" t="s">
        <v>29</v>
      </c>
      <c r="D25" s="2" t="s">
        <v>105</v>
      </c>
      <c r="E25" s="2" t="s">
        <v>61</v>
      </c>
      <c r="F25" s="2" t="s">
        <v>32</v>
      </c>
      <c r="G25" s="2" t="s">
        <v>42</v>
      </c>
      <c r="H25" s="2" t="s">
        <v>33</v>
      </c>
      <c r="I25" s="2" t="s">
        <v>53</v>
      </c>
      <c r="J25" s="4">
        <v>38000</v>
      </c>
      <c r="K25" s="4">
        <v>38000</v>
      </c>
      <c r="L25" s="2" t="s">
        <v>27</v>
      </c>
      <c r="M25" s="2">
        <v>55</v>
      </c>
      <c r="N25" s="2">
        <v>45475</v>
      </c>
      <c r="O25" s="2" t="str">
        <f>TEXT(tblProjects[[#This Row],[Start Date]],"mmm")</f>
        <v>Nov</v>
      </c>
      <c r="P25" s="2">
        <f>MONTH(tblProjects[[#This Row],[Start Date]])</f>
        <v>11</v>
      </c>
      <c r="Q25" s="2" t="str">
        <f>"Q"&amp;ROUNDUP(MONTH(tblProjects[[#This Row],[Start Date]])/3,0)</f>
        <v>Q4</v>
      </c>
      <c r="R25" s="2">
        <f>YEAR(tblProjects[[#This Row],[Start Date]])</f>
        <v>2023</v>
      </c>
      <c r="S25" s="2">
        <f ca="1">IFERROR(ROUND((TODAY()-tblProjects[[#This Row],[Start Date]])/365.25,1),0)</f>
        <v>2.9</v>
      </c>
    </row>
    <row r="26" spans="1:19">
      <c r="A26" s="2" t="s">
        <v>110</v>
      </c>
      <c r="B26" s="3">
        <v>45247</v>
      </c>
      <c r="C26" s="2" t="s">
        <v>65</v>
      </c>
      <c r="D26" s="2" t="s">
        <v>111</v>
      </c>
      <c r="E26" s="2" t="s">
        <v>112</v>
      </c>
      <c r="F26" s="2" t="s">
        <v>84</v>
      </c>
      <c r="G26" s="2" t="s">
        <v>29</v>
      </c>
      <c r="H26" s="2" t="s">
        <v>33</v>
      </c>
      <c r="I26" s="2" t="s">
        <v>53</v>
      </c>
      <c r="J26" s="4">
        <v>48000</v>
      </c>
      <c r="K26" s="4">
        <v>48000</v>
      </c>
      <c r="L26" s="2" t="s">
        <v>80</v>
      </c>
      <c r="M26" s="2">
        <v>54</v>
      </c>
      <c r="N26" s="2">
        <v>45748</v>
      </c>
      <c r="O26" s="2" t="str">
        <f>TEXT(tblProjects[[#This Row],[Start Date]],"mmm")</f>
        <v>Nov</v>
      </c>
      <c r="P26" s="2">
        <f>MONTH(tblProjects[[#This Row],[Start Date]])</f>
        <v>11</v>
      </c>
      <c r="Q26" s="2" t="str">
        <f>"Q"&amp;ROUNDUP(MONTH(tblProjects[[#This Row],[Start Date]])/3,0)</f>
        <v>Q4</v>
      </c>
      <c r="R26" s="2">
        <f>YEAR(tblProjects[[#This Row],[Start Date]])</f>
        <v>2023</v>
      </c>
      <c r="S26" s="2">
        <f ca="1">IFERROR(ROUND((TODAY()-tblProjects[[#This Row],[Start Date]])/365.25,1),0)</f>
        <v>2.9</v>
      </c>
    </row>
    <row r="27" spans="1:19">
      <c r="A27" s="2" t="s">
        <v>113</v>
      </c>
      <c r="B27" s="3">
        <v>45254</v>
      </c>
      <c r="C27" s="2" t="s">
        <v>72</v>
      </c>
      <c r="D27" s="2" t="s">
        <v>73</v>
      </c>
      <c r="E27" s="2" t="s">
        <v>114</v>
      </c>
      <c r="F27" s="2" t="s">
        <v>115</v>
      </c>
      <c r="G27" s="2" t="s">
        <v>29</v>
      </c>
      <c r="H27" s="2" t="s">
        <v>33</v>
      </c>
      <c r="I27" s="2" t="s">
        <v>26</v>
      </c>
      <c r="J27" s="4">
        <v>39000</v>
      </c>
      <c r="K27" s="4">
        <v>39000</v>
      </c>
      <c r="L27" s="2" t="s">
        <v>49</v>
      </c>
      <c r="M27" s="2">
        <v>89</v>
      </c>
      <c r="N27" s="2">
        <v>45904</v>
      </c>
      <c r="O27" s="2" t="str">
        <f>TEXT(tblProjects[[#This Row],[Start Date]],"mmm")</f>
        <v>Nov</v>
      </c>
      <c r="P27" s="2">
        <f>MONTH(tblProjects[[#This Row],[Start Date]])</f>
        <v>11</v>
      </c>
      <c r="Q27" s="2" t="str">
        <f>"Q"&amp;ROUNDUP(MONTH(tblProjects[[#This Row],[Start Date]])/3,0)</f>
        <v>Q4</v>
      </c>
      <c r="R27" s="2">
        <f>YEAR(tblProjects[[#This Row],[Start Date]])</f>
        <v>2023</v>
      </c>
      <c r="S27" s="2">
        <f ca="1">IFERROR(ROUND((TODAY()-tblProjects[[#This Row],[Start Date]])/365.25,1),0)</f>
        <v>2.9</v>
      </c>
    </row>
    <row r="28" spans="1:19">
      <c r="A28" s="2" t="s">
        <v>116</v>
      </c>
      <c r="B28" s="3">
        <v>45264</v>
      </c>
      <c r="C28" s="2" t="s">
        <v>20</v>
      </c>
      <c r="D28" s="2" t="s">
        <v>108</v>
      </c>
      <c r="E28" s="2" t="s">
        <v>22</v>
      </c>
      <c r="F28" s="2" t="s">
        <v>52</v>
      </c>
      <c r="G28" s="2" t="s">
        <v>65</v>
      </c>
      <c r="H28" s="2" t="s">
        <v>33</v>
      </c>
      <c r="I28" s="2" t="s">
        <v>26</v>
      </c>
      <c r="J28" s="4">
        <v>10300</v>
      </c>
      <c r="K28" s="4">
        <v>10300</v>
      </c>
      <c r="L28" s="2" t="s">
        <v>54</v>
      </c>
      <c r="M28" s="2">
        <v>78</v>
      </c>
      <c r="N28" s="2">
        <v>45648</v>
      </c>
      <c r="O28" s="2" t="str">
        <f>TEXT(tblProjects[[#This Row],[Start Date]],"mmm")</f>
        <v>Dec</v>
      </c>
      <c r="P28" s="2">
        <f>MONTH(tblProjects[[#This Row],[Start Date]])</f>
        <v>12</v>
      </c>
      <c r="Q28" s="2" t="str">
        <f>"Q"&amp;ROUNDUP(MONTH(tblProjects[[#This Row],[Start Date]])/3,0)</f>
        <v>Q4</v>
      </c>
      <c r="R28" s="2">
        <f>YEAR(tblProjects[[#This Row],[Start Date]])</f>
        <v>2023</v>
      </c>
      <c r="S28" s="2">
        <f ca="1">IFERROR(ROUND((TODAY()-tblProjects[[#This Row],[Start Date]])/365.25,1),0)</f>
        <v>2.8</v>
      </c>
    </row>
    <row r="29" spans="1:19">
      <c r="A29" s="2" t="s">
        <v>117</v>
      </c>
      <c r="B29" s="3">
        <v>45308</v>
      </c>
      <c r="C29" s="2" t="s">
        <v>72</v>
      </c>
      <c r="D29" s="2" t="s">
        <v>118</v>
      </c>
      <c r="E29" s="2" t="s">
        <v>119</v>
      </c>
      <c r="F29" s="2" t="s">
        <v>32</v>
      </c>
      <c r="G29" s="2" t="s">
        <v>105</v>
      </c>
      <c r="H29" s="2" t="s">
        <v>33</v>
      </c>
      <c r="I29" s="2" t="s">
        <v>53</v>
      </c>
      <c r="J29" s="4">
        <v>22000</v>
      </c>
      <c r="K29" s="4">
        <v>22000</v>
      </c>
      <c r="L29" s="2" t="s">
        <v>49</v>
      </c>
      <c r="M29" s="2">
        <v>65</v>
      </c>
      <c r="N29" s="2">
        <v>45911</v>
      </c>
      <c r="O29" s="2" t="str">
        <f>TEXT(tblProjects[[#This Row],[Start Date]],"mmm")</f>
        <v>Jan</v>
      </c>
      <c r="P29" s="2">
        <f>MONTH(tblProjects[[#This Row],[Start Date]])</f>
        <v>1</v>
      </c>
      <c r="Q29" s="2" t="str">
        <f>"Q"&amp;ROUNDUP(MONTH(tblProjects[[#This Row],[Start Date]])/3,0)</f>
        <v>Q1</v>
      </c>
      <c r="R29" s="2">
        <f>YEAR(tblProjects[[#This Row],[Start Date]])</f>
        <v>2024</v>
      </c>
      <c r="S29" s="2">
        <f ca="1">IFERROR(ROUND((TODAY()-tblProjects[[#This Row],[Start Date]])/365.25,1),0)</f>
        <v>2.7</v>
      </c>
    </row>
    <row r="30" spans="1:19">
      <c r="A30" s="2" t="s">
        <v>120</v>
      </c>
      <c r="B30" s="3">
        <v>45323</v>
      </c>
      <c r="C30" s="2" t="s">
        <v>35</v>
      </c>
      <c r="D30" s="2" t="s">
        <v>82</v>
      </c>
      <c r="E30" s="2" t="s">
        <v>121</v>
      </c>
      <c r="F30" s="2" t="s">
        <v>68</v>
      </c>
      <c r="G30" s="2" t="s">
        <v>42</v>
      </c>
      <c r="H30" s="2" t="s">
        <v>33</v>
      </c>
      <c r="I30" s="2" t="s">
        <v>53</v>
      </c>
      <c r="J30" s="4">
        <v>15800</v>
      </c>
      <c r="K30" s="4">
        <v>15800</v>
      </c>
      <c r="L30" s="2" t="s">
        <v>70</v>
      </c>
      <c r="M30" s="2">
        <v>58</v>
      </c>
      <c r="N30" s="2">
        <v>45763</v>
      </c>
      <c r="O30" s="2" t="str">
        <f>TEXT(tblProjects[[#This Row],[Start Date]],"mmm")</f>
        <v>Feb</v>
      </c>
      <c r="P30" s="2">
        <f>MONTH(tblProjects[[#This Row],[Start Date]])</f>
        <v>2</v>
      </c>
      <c r="Q30" s="2" t="str">
        <f>"Q"&amp;ROUNDUP(MONTH(tblProjects[[#This Row],[Start Date]])/3,0)</f>
        <v>Q1</v>
      </c>
      <c r="R30" s="2">
        <f>YEAR(tblProjects[[#This Row],[Start Date]])</f>
        <v>2024</v>
      </c>
      <c r="S30" s="2">
        <f ca="1">IFERROR(ROUND((TODAY()-tblProjects[[#This Row],[Start Date]])/365.25,1),0)</f>
        <v>2.7</v>
      </c>
    </row>
    <row r="31" spans="1:19">
      <c r="A31" s="2" t="s">
        <v>122</v>
      </c>
      <c r="B31" s="3">
        <v>45325</v>
      </c>
      <c r="C31" s="2" t="s">
        <v>20</v>
      </c>
      <c r="D31" s="2" t="s">
        <v>123</v>
      </c>
      <c r="E31" s="2" t="s">
        <v>22</v>
      </c>
      <c r="F31" s="2" t="s">
        <v>32</v>
      </c>
      <c r="G31" s="2" t="s">
        <v>24</v>
      </c>
      <c r="H31" s="2" t="s">
        <v>33</v>
      </c>
      <c r="I31" s="2" t="s">
        <v>26</v>
      </c>
      <c r="J31" s="4">
        <v>13800</v>
      </c>
      <c r="K31" s="4">
        <v>13800</v>
      </c>
      <c r="L31" s="2" t="s">
        <v>49</v>
      </c>
      <c r="M31" s="2">
        <v>66</v>
      </c>
      <c r="N31" s="2">
        <v>45887</v>
      </c>
      <c r="O31" s="2" t="str">
        <f>TEXT(tblProjects[[#This Row],[Start Date]],"mmm")</f>
        <v>Feb</v>
      </c>
      <c r="P31" s="2">
        <f>MONTH(tblProjects[[#This Row],[Start Date]])</f>
        <v>2</v>
      </c>
      <c r="Q31" s="2" t="str">
        <f>"Q"&amp;ROUNDUP(MONTH(tblProjects[[#This Row],[Start Date]])/3,0)</f>
        <v>Q1</v>
      </c>
      <c r="R31" s="2">
        <f>YEAR(tblProjects[[#This Row],[Start Date]])</f>
        <v>2024</v>
      </c>
      <c r="S31" s="2">
        <f ca="1">IFERROR(ROUND((TODAY()-tblProjects[[#This Row],[Start Date]])/365.25,1),0)</f>
        <v>2.7</v>
      </c>
    </row>
    <row r="32" spans="1:19">
      <c r="A32" s="2" t="s">
        <v>124</v>
      </c>
      <c r="B32" s="3">
        <v>45330</v>
      </c>
      <c r="C32" s="2" t="s">
        <v>72</v>
      </c>
      <c r="D32" s="2" t="s">
        <v>95</v>
      </c>
      <c r="E32" s="2" t="s">
        <v>119</v>
      </c>
      <c r="F32" s="2" t="s">
        <v>92</v>
      </c>
      <c r="G32" s="2" t="s">
        <v>65</v>
      </c>
      <c r="H32" s="2" t="s">
        <v>62</v>
      </c>
      <c r="I32" s="2" t="s">
        <v>26</v>
      </c>
      <c r="J32" s="4">
        <v>46000</v>
      </c>
      <c r="K32" s="4">
        <v>46000</v>
      </c>
      <c r="L32" s="2" t="s">
        <v>125</v>
      </c>
      <c r="M32" s="2">
        <v>12</v>
      </c>
      <c r="N32" s="2">
        <v>45753</v>
      </c>
      <c r="O32" s="2" t="str">
        <f>TEXT(tblProjects[[#This Row],[Start Date]],"mmm")</f>
        <v>Feb</v>
      </c>
      <c r="P32" s="2">
        <f>MONTH(tblProjects[[#This Row],[Start Date]])</f>
        <v>2</v>
      </c>
      <c r="Q32" s="2" t="str">
        <f>"Q"&amp;ROUNDUP(MONTH(tblProjects[[#This Row],[Start Date]])/3,0)</f>
        <v>Q1</v>
      </c>
      <c r="R32" s="2">
        <f>YEAR(tblProjects[[#This Row],[Start Date]])</f>
        <v>2024</v>
      </c>
      <c r="S32" s="2">
        <f ca="1">IFERROR(ROUND((TODAY()-tblProjects[[#This Row],[Start Date]])/365.25,1),0)</f>
        <v>2.7</v>
      </c>
    </row>
    <row r="33" spans="1:19">
      <c r="A33" s="2" t="s">
        <v>126</v>
      </c>
      <c r="B33" s="3">
        <v>45335</v>
      </c>
      <c r="C33" s="2" t="s">
        <v>29</v>
      </c>
      <c r="D33" s="2" t="s">
        <v>30</v>
      </c>
      <c r="E33" s="2" t="s">
        <v>61</v>
      </c>
      <c r="F33" s="2" t="s">
        <v>32</v>
      </c>
      <c r="G33" s="2" t="s">
        <v>38</v>
      </c>
      <c r="H33" s="2" t="s">
        <v>33</v>
      </c>
      <c r="I33" s="2" t="s">
        <v>69</v>
      </c>
      <c r="J33" s="4">
        <v>80000</v>
      </c>
      <c r="K33" s="4">
        <v>80000</v>
      </c>
      <c r="L33" s="2" t="s">
        <v>27</v>
      </c>
      <c r="M33" s="2">
        <v>53</v>
      </c>
      <c r="N33" s="2">
        <v>45970</v>
      </c>
      <c r="O33" s="2" t="str">
        <f>TEXT(tblProjects[[#This Row],[Start Date]],"mmm")</f>
        <v>Feb</v>
      </c>
      <c r="P33" s="2">
        <f>MONTH(tblProjects[[#This Row],[Start Date]])</f>
        <v>2</v>
      </c>
      <c r="Q33" s="2" t="str">
        <f>"Q"&amp;ROUNDUP(MONTH(tblProjects[[#This Row],[Start Date]])/3,0)</f>
        <v>Q1</v>
      </c>
      <c r="R33" s="2">
        <f>YEAR(tblProjects[[#This Row],[Start Date]])</f>
        <v>2024</v>
      </c>
      <c r="S33" s="2">
        <f ca="1">IFERROR(ROUND((TODAY()-tblProjects[[#This Row],[Start Date]])/365.25,1),0)</f>
        <v>2.7</v>
      </c>
    </row>
    <row r="34" spans="1:19">
      <c r="A34" s="2" t="s">
        <v>127</v>
      </c>
      <c r="B34" s="3">
        <v>45349</v>
      </c>
      <c r="C34" s="2" t="s">
        <v>72</v>
      </c>
      <c r="D34" s="2" t="s">
        <v>98</v>
      </c>
      <c r="E34" s="2" t="s">
        <v>128</v>
      </c>
      <c r="F34" s="2" t="s">
        <v>115</v>
      </c>
      <c r="G34" s="2" t="s">
        <v>20</v>
      </c>
      <c r="H34" s="2" t="s">
        <v>57</v>
      </c>
      <c r="I34" s="2" t="s">
        <v>26</v>
      </c>
      <c r="J34" s="4">
        <v>80000</v>
      </c>
      <c r="K34" s="4">
        <v>80000</v>
      </c>
      <c r="L34" s="2" t="s">
        <v>27</v>
      </c>
      <c r="M34" s="2">
        <v>56</v>
      </c>
      <c r="N34" s="2">
        <v>45948</v>
      </c>
      <c r="O34" s="2" t="str">
        <f>TEXT(tblProjects[[#This Row],[Start Date]],"mmm")</f>
        <v>Feb</v>
      </c>
      <c r="P34" s="2">
        <f>MONTH(tblProjects[[#This Row],[Start Date]])</f>
        <v>2</v>
      </c>
      <c r="Q34" s="2" t="str">
        <f>"Q"&amp;ROUNDUP(MONTH(tblProjects[[#This Row],[Start Date]])/3,0)</f>
        <v>Q1</v>
      </c>
      <c r="R34" s="2">
        <f>YEAR(tblProjects[[#This Row],[Start Date]])</f>
        <v>2024</v>
      </c>
      <c r="S34" s="2">
        <f ca="1">IFERROR(ROUND((TODAY()-tblProjects[[#This Row],[Start Date]])/365.25,1),0)</f>
        <v>2.6</v>
      </c>
    </row>
    <row r="35" spans="1:19">
      <c r="A35" s="2" t="s">
        <v>129</v>
      </c>
      <c r="B35" s="3">
        <v>45355</v>
      </c>
      <c r="C35" s="2" t="s">
        <v>65</v>
      </c>
      <c r="D35" s="2" t="s">
        <v>130</v>
      </c>
      <c r="E35" s="2" t="s">
        <v>131</v>
      </c>
      <c r="F35" s="2" t="s">
        <v>92</v>
      </c>
      <c r="G35" s="2" t="s">
        <v>20</v>
      </c>
      <c r="H35" s="2" t="s">
        <v>33</v>
      </c>
      <c r="I35" s="2" t="s">
        <v>53</v>
      </c>
      <c r="J35" s="4">
        <v>84000</v>
      </c>
      <c r="K35" s="4">
        <v>84000</v>
      </c>
      <c r="L35" s="2" t="s">
        <v>63</v>
      </c>
      <c r="M35" s="2">
        <v>31</v>
      </c>
      <c r="N35" s="2">
        <v>45574</v>
      </c>
      <c r="O35" s="2" t="str">
        <f>TEXT(tblProjects[[#This Row],[Start Date]],"mmm")</f>
        <v>Mar</v>
      </c>
      <c r="P35" s="2">
        <f>MONTH(tblProjects[[#This Row],[Start Date]])</f>
        <v>3</v>
      </c>
      <c r="Q35" s="2" t="str">
        <f>"Q"&amp;ROUNDUP(MONTH(tblProjects[[#This Row],[Start Date]])/3,0)</f>
        <v>Q1</v>
      </c>
      <c r="R35" s="2">
        <f>YEAR(tblProjects[[#This Row],[Start Date]])</f>
        <v>2024</v>
      </c>
      <c r="S35" s="2">
        <f ca="1">IFERROR(ROUND((TODAY()-tblProjects[[#This Row],[Start Date]])/365.25,1),0)</f>
        <v>2.6</v>
      </c>
    </row>
    <row r="36" spans="1:19">
      <c r="A36" s="2" t="s">
        <v>132</v>
      </c>
      <c r="B36" s="3">
        <v>45362</v>
      </c>
      <c r="C36" s="2" t="s">
        <v>65</v>
      </c>
      <c r="D36" s="2" t="s">
        <v>133</v>
      </c>
      <c r="E36" s="2" t="s">
        <v>134</v>
      </c>
      <c r="F36" s="2" t="s">
        <v>88</v>
      </c>
      <c r="G36" s="2" t="s">
        <v>20</v>
      </c>
      <c r="H36" s="2" t="s">
        <v>33</v>
      </c>
      <c r="I36" s="2" t="s">
        <v>53</v>
      </c>
      <c r="J36" s="4">
        <v>23000</v>
      </c>
      <c r="K36" s="4">
        <v>23000</v>
      </c>
      <c r="L36" s="2" t="s">
        <v>27</v>
      </c>
      <c r="M36" s="2">
        <v>68</v>
      </c>
      <c r="N36" s="2">
        <v>46008</v>
      </c>
      <c r="O36" s="2" t="str">
        <f>TEXT(tblProjects[[#This Row],[Start Date]],"mmm")</f>
        <v>Mar</v>
      </c>
      <c r="P36" s="2">
        <f>MONTH(tblProjects[[#This Row],[Start Date]])</f>
        <v>3</v>
      </c>
      <c r="Q36" s="2" t="str">
        <f>"Q"&amp;ROUNDUP(MONTH(tblProjects[[#This Row],[Start Date]])/3,0)</f>
        <v>Q1</v>
      </c>
      <c r="R36" s="2">
        <f>YEAR(tblProjects[[#This Row],[Start Date]])</f>
        <v>2024</v>
      </c>
      <c r="S36" s="2">
        <f ca="1">IFERROR(ROUND((TODAY()-tblProjects[[#This Row],[Start Date]])/365.25,1),0)</f>
        <v>2.6</v>
      </c>
    </row>
    <row r="37" spans="1:19">
      <c r="A37" s="2" t="s">
        <v>135</v>
      </c>
      <c r="B37" s="3">
        <v>45374</v>
      </c>
      <c r="C37" s="2" t="s">
        <v>35</v>
      </c>
      <c r="D37" s="2" t="s">
        <v>47</v>
      </c>
      <c r="E37" s="2" t="s">
        <v>136</v>
      </c>
      <c r="F37" s="2" t="s">
        <v>88</v>
      </c>
      <c r="G37" s="2" t="s">
        <v>65</v>
      </c>
      <c r="H37" s="2" t="s">
        <v>39</v>
      </c>
      <c r="I37" s="2" t="s">
        <v>69</v>
      </c>
      <c r="J37" s="4">
        <v>19500</v>
      </c>
      <c r="K37" s="4">
        <v>19500</v>
      </c>
      <c r="L37" s="2" t="s">
        <v>27</v>
      </c>
      <c r="M37" s="2">
        <v>3</v>
      </c>
      <c r="N37" s="2">
        <v>45697</v>
      </c>
      <c r="O37" s="2" t="str">
        <f>TEXT(tblProjects[[#This Row],[Start Date]],"mmm")</f>
        <v>Mar</v>
      </c>
      <c r="P37" s="2">
        <f>MONTH(tblProjects[[#This Row],[Start Date]])</f>
        <v>3</v>
      </c>
      <c r="Q37" s="2" t="str">
        <f>"Q"&amp;ROUNDUP(MONTH(tblProjects[[#This Row],[Start Date]])/3,0)</f>
        <v>Q1</v>
      </c>
      <c r="R37" s="2">
        <f>YEAR(tblProjects[[#This Row],[Start Date]])</f>
        <v>2024</v>
      </c>
      <c r="S37" s="2">
        <f ca="1">IFERROR(ROUND((TODAY()-tblProjects[[#This Row],[Start Date]])/365.25,1),0)</f>
        <v>2.5</v>
      </c>
    </row>
    <row r="38" spans="1:19">
      <c r="A38" s="2" t="s">
        <v>137</v>
      </c>
      <c r="B38" s="3">
        <v>45382</v>
      </c>
      <c r="C38" s="2" t="s">
        <v>72</v>
      </c>
      <c r="D38" s="2" t="s">
        <v>95</v>
      </c>
      <c r="E38" s="2" t="s">
        <v>138</v>
      </c>
      <c r="F38" s="2" t="s">
        <v>68</v>
      </c>
      <c r="G38" s="2" t="s">
        <v>42</v>
      </c>
      <c r="H38" s="2" t="s">
        <v>33</v>
      </c>
      <c r="I38" s="2" t="s">
        <v>26</v>
      </c>
      <c r="J38" s="4">
        <v>63000</v>
      </c>
      <c r="K38" s="4">
        <v>63000</v>
      </c>
      <c r="L38" s="2" t="s">
        <v>27</v>
      </c>
      <c r="M38" s="2">
        <v>71</v>
      </c>
      <c r="N38" s="2">
        <v>45659</v>
      </c>
      <c r="O38" s="2" t="str">
        <f>TEXT(tblProjects[[#This Row],[Start Date]],"mmm")</f>
        <v>Mar</v>
      </c>
      <c r="P38" s="2">
        <f>MONTH(tblProjects[[#This Row],[Start Date]])</f>
        <v>3</v>
      </c>
      <c r="Q38" s="2" t="str">
        <f>"Q"&amp;ROUNDUP(MONTH(tblProjects[[#This Row],[Start Date]])/3,0)</f>
        <v>Q1</v>
      </c>
      <c r="R38" s="2">
        <f>YEAR(tblProjects[[#This Row],[Start Date]])</f>
        <v>2024</v>
      </c>
      <c r="S38" s="2">
        <f ca="1">IFERROR(ROUND((TODAY()-tblProjects[[#This Row],[Start Date]])/365.25,1),0)</f>
        <v>2.5</v>
      </c>
    </row>
    <row r="39" spans="1:19">
      <c r="A39" s="2" t="s">
        <v>139</v>
      </c>
      <c r="B39" s="3">
        <v>45428</v>
      </c>
      <c r="C39" s="2" t="s">
        <v>65</v>
      </c>
      <c r="D39" s="2" t="s">
        <v>133</v>
      </c>
      <c r="E39" s="2" t="s">
        <v>131</v>
      </c>
      <c r="F39" s="2" t="s">
        <v>32</v>
      </c>
      <c r="G39" s="2" t="s">
        <v>29</v>
      </c>
      <c r="H39" s="2" t="s">
        <v>25</v>
      </c>
      <c r="I39" s="2" t="s">
        <v>26</v>
      </c>
      <c r="J39" s="4">
        <v>63000</v>
      </c>
      <c r="K39" s="4">
        <v>63000</v>
      </c>
      <c r="L39" s="2" t="s">
        <v>58</v>
      </c>
      <c r="M39" s="2">
        <v>100</v>
      </c>
      <c r="N39" s="2">
        <v>45917</v>
      </c>
      <c r="O39" s="2" t="str">
        <f>TEXT(tblProjects[[#This Row],[Start Date]],"mmm")</f>
        <v>May</v>
      </c>
      <c r="P39" s="2">
        <f>MONTH(tblProjects[[#This Row],[Start Date]])</f>
        <v>5</v>
      </c>
      <c r="Q39" s="2" t="str">
        <f>"Q"&amp;ROUNDUP(MONTH(tblProjects[[#This Row],[Start Date]])/3,0)</f>
        <v>Q2</v>
      </c>
      <c r="R39" s="2">
        <f>YEAR(tblProjects[[#This Row],[Start Date]])</f>
        <v>2024</v>
      </c>
      <c r="S39" s="2">
        <f ca="1">IFERROR(ROUND((TODAY()-tblProjects[[#This Row],[Start Date]])/365.25,1),0)</f>
        <v>2.4</v>
      </c>
    </row>
    <row r="40" spans="1:19">
      <c r="A40" s="2" t="s">
        <v>140</v>
      </c>
      <c r="B40" s="3">
        <v>45442</v>
      </c>
      <c r="C40" s="2" t="s">
        <v>42</v>
      </c>
      <c r="D40" s="2" t="s">
        <v>43</v>
      </c>
      <c r="E40" s="2" t="s">
        <v>141</v>
      </c>
      <c r="F40" s="2" t="s">
        <v>68</v>
      </c>
      <c r="G40" s="2" t="s">
        <v>45</v>
      </c>
      <c r="H40" s="2" t="s">
        <v>57</v>
      </c>
      <c r="I40" s="2" t="s">
        <v>26</v>
      </c>
      <c r="J40" s="4">
        <v>11800</v>
      </c>
      <c r="K40" s="4">
        <v>11800</v>
      </c>
      <c r="L40" s="2" t="s">
        <v>58</v>
      </c>
      <c r="M40" s="2">
        <v>68</v>
      </c>
      <c r="N40" s="2">
        <v>45907</v>
      </c>
      <c r="O40" s="2" t="str">
        <f>TEXT(tblProjects[[#This Row],[Start Date]],"mmm")</f>
        <v>May</v>
      </c>
      <c r="P40" s="2">
        <f>MONTH(tblProjects[[#This Row],[Start Date]])</f>
        <v>5</v>
      </c>
      <c r="Q40" s="2" t="str">
        <f>"Q"&amp;ROUNDUP(MONTH(tblProjects[[#This Row],[Start Date]])/3,0)</f>
        <v>Q2</v>
      </c>
      <c r="R40" s="2">
        <f>YEAR(tblProjects[[#This Row],[Start Date]])</f>
        <v>2024</v>
      </c>
      <c r="S40" s="2">
        <f ca="1">IFERROR(ROUND((TODAY()-tblProjects[[#This Row],[Start Date]])/365.25,1),0)</f>
        <v>2.4</v>
      </c>
    </row>
    <row r="41" spans="1:19">
      <c r="A41" s="2" t="s">
        <v>142</v>
      </c>
      <c r="B41" s="3">
        <v>45493</v>
      </c>
      <c r="C41" s="2" t="s">
        <v>20</v>
      </c>
      <c r="D41" s="2" t="s">
        <v>143</v>
      </c>
      <c r="E41" s="2" t="s">
        <v>22</v>
      </c>
      <c r="F41" s="2" t="s">
        <v>32</v>
      </c>
      <c r="G41" s="2" t="s">
        <v>42</v>
      </c>
      <c r="H41" s="2" t="s">
        <v>57</v>
      </c>
      <c r="I41" s="2" t="s">
        <v>26</v>
      </c>
      <c r="J41" s="4">
        <v>8100</v>
      </c>
      <c r="K41" s="4">
        <v>81000</v>
      </c>
      <c r="L41" s="2" t="s">
        <v>27</v>
      </c>
      <c r="M41" s="2">
        <v>73</v>
      </c>
      <c r="N41" s="2">
        <v>45760</v>
      </c>
      <c r="O41" s="2" t="str">
        <f>TEXT(tblProjects[[#This Row],[Start Date]],"mmm")</f>
        <v>Jul</v>
      </c>
      <c r="P41" s="2">
        <f>MONTH(tblProjects[[#This Row],[Start Date]])</f>
        <v>7</v>
      </c>
      <c r="Q41" s="2" t="str">
        <f>"Q"&amp;ROUNDUP(MONTH(tblProjects[[#This Row],[Start Date]])/3,0)</f>
        <v>Q3</v>
      </c>
      <c r="R41" s="2">
        <f>YEAR(tblProjects[[#This Row],[Start Date]])</f>
        <v>2024</v>
      </c>
      <c r="S41" s="2">
        <f ca="1">IFERROR(ROUND((TODAY()-tblProjects[[#This Row],[Start Date]])/365.25,1),0)</f>
        <v>2.2000000000000002</v>
      </c>
    </row>
    <row r="42" spans="1:19">
      <c r="A42" s="2" t="s">
        <v>144</v>
      </c>
      <c r="B42" s="3">
        <v>45494</v>
      </c>
      <c r="C42" s="2" t="s">
        <v>42</v>
      </c>
      <c r="D42" s="2" t="s">
        <v>145</v>
      </c>
      <c r="E42" s="2" t="s">
        <v>146</v>
      </c>
      <c r="F42" s="2" t="s">
        <v>88</v>
      </c>
      <c r="G42" s="2" t="s">
        <v>45</v>
      </c>
      <c r="H42" s="2" t="s">
        <v>33</v>
      </c>
      <c r="I42" s="2" t="s">
        <v>26</v>
      </c>
      <c r="J42" s="4">
        <v>78000</v>
      </c>
      <c r="K42" s="4">
        <v>78000</v>
      </c>
      <c r="L42" s="2" t="s">
        <v>106</v>
      </c>
      <c r="M42" s="2">
        <v>80</v>
      </c>
      <c r="N42" s="2">
        <v>45856</v>
      </c>
      <c r="O42" s="2" t="str">
        <f>TEXT(tblProjects[[#This Row],[Start Date]],"mmm")</f>
        <v>Jul</v>
      </c>
      <c r="P42" s="2">
        <f>MONTH(tblProjects[[#This Row],[Start Date]])</f>
        <v>7</v>
      </c>
      <c r="Q42" s="2" t="str">
        <f>"Q"&amp;ROUNDUP(MONTH(tblProjects[[#This Row],[Start Date]])/3,0)</f>
        <v>Q3</v>
      </c>
      <c r="R42" s="2">
        <f>YEAR(tblProjects[[#This Row],[Start Date]])</f>
        <v>2024</v>
      </c>
      <c r="S42" s="2">
        <f ca="1">IFERROR(ROUND((TODAY()-tblProjects[[#This Row],[Start Date]])/365.25,1),0)</f>
        <v>2.2000000000000002</v>
      </c>
    </row>
    <row r="43" spans="1:19">
      <c r="A43" s="2" t="s">
        <v>147</v>
      </c>
      <c r="B43" s="3">
        <v>45508</v>
      </c>
      <c r="C43" s="2" t="s">
        <v>35</v>
      </c>
      <c r="D43" s="2" t="s">
        <v>47</v>
      </c>
      <c r="E43" s="2" t="s">
        <v>148</v>
      </c>
      <c r="F43" s="2" t="s">
        <v>92</v>
      </c>
      <c r="G43" s="2" t="s">
        <v>149</v>
      </c>
      <c r="H43" s="2" t="s">
        <v>57</v>
      </c>
      <c r="I43" s="2" t="s">
        <v>69</v>
      </c>
      <c r="J43" s="4">
        <v>80000</v>
      </c>
      <c r="K43" s="4">
        <v>80000</v>
      </c>
      <c r="L43" s="2" t="s">
        <v>63</v>
      </c>
      <c r="M43" s="2">
        <v>54</v>
      </c>
      <c r="N43" s="2">
        <v>46060</v>
      </c>
      <c r="O43" s="2" t="str">
        <f>TEXT(tblProjects[[#This Row],[Start Date]],"mmm")</f>
        <v>Aug</v>
      </c>
      <c r="P43" s="2">
        <f>MONTH(tblProjects[[#This Row],[Start Date]])</f>
        <v>8</v>
      </c>
      <c r="Q43" s="2" t="str">
        <f>"Q"&amp;ROUNDUP(MONTH(tblProjects[[#This Row],[Start Date]])/3,0)</f>
        <v>Q3</v>
      </c>
      <c r="R43" s="2">
        <f>YEAR(tblProjects[[#This Row],[Start Date]])</f>
        <v>2024</v>
      </c>
      <c r="S43" s="2">
        <f ca="1">IFERROR(ROUND((TODAY()-tblProjects[[#This Row],[Start Date]])/365.25,1),0)</f>
        <v>2.2000000000000002</v>
      </c>
    </row>
    <row r="44" spans="1:19">
      <c r="A44" s="2" t="s">
        <v>150</v>
      </c>
      <c r="B44" s="3">
        <v>45534</v>
      </c>
      <c r="C44" s="2" t="s">
        <v>29</v>
      </c>
      <c r="D44" s="2" t="s">
        <v>77</v>
      </c>
      <c r="E44" s="2" t="s">
        <v>151</v>
      </c>
      <c r="F44" s="2" t="s">
        <v>68</v>
      </c>
      <c r="G44" s="2" t="s">
        <v>24</v>
      </c>
      <c r="H44" s="2" t="s">
        <v>39</v>
      </c>
      <c r="I44" s="2" t="s">
        <v>53</v>
      </c>
      <c r="J44" s="4">
        <v>33000</v>
      </c>
      <c r="K44" s="4">
        <v>33000</v>
      </c>
      <c r="L44" s="2" t="s">
        <v>54</v>
      </c>
      <c r="M44" s="2">
        <v>2</v>
      </c>
      <c r="N44" s="2">
        <v>46008</v>
      </c>
      <c r="O44" s="2" t="str">
        <f>TEXT(tblProjects[[#This Row],[Start Date]],"mmm")</f>
        <v>Aug</v>
      </c>
      <c r="P44" s="2">
        <f>MONTH(tblProjects[[#This Row],[Start Date]])</f>
        <v>8</v>
      </c>
      <c r="Q44" s="2" t="str">
        <f>"Q"&amp;ROUNDUP(MONTH(tblProjects[[#This Row],[Start Date]])/3,0)</f>
        <v>Q3</v>
      </c>
      <c r="R44" s="2">
        <f>YEAR(tblProjects[[#This Row],[Start Date]])</f>
        <v>2024</v>
      </c>
      <c r="S44" s="2">
        <f ca="1">IFERROR(ROUND((TODAY()-tblProjects[[#This Row],[Start Date]])/365.25,1),0)</f>
        <v>2.1</v>
      </c>
    </row>
    <row r="45" spans="1:19">
      <c r="A45" s="2" t="s">
        <v>152</v>
      </c>
      <c r="B45" s="3">
        <v>45536</v>
      </c>
      <c r="C45" s="2" t="s">
        <v>72</v>
      </c>
      <c r="D45" s="2" t="s">
        <v>95</v>
      </c>
      <c r="E45" s="2" t="s">
        <v>153</v>
      </c>
      <c r="F45" s="2" t="s">
        <v>23</v>
      </c>
      <c r="G45" s="2" t="s">
        <v>65</v>
      </c>
      <c r="H45" s="2" t="s">
        <v>57</v>
      </c>
      <c r="I45" s="2" t="s">
        <v>26</v>
      </c>
      <c r="J45" s="4">
        <v>82000</v>
      </c>
      <c r="K45" s="4">
        <v>82000</v>
      </c>
      <c r="L45" s="2" t="s">
        <v>106</v>
      </c>
      <c r="M45" s="2">
        <v>56</v>
      </c>
      <c r="N45" s="2">
        <v>45824</v>
      </c>
      <c r="O45" s="2" t="str">
        <f>TEXT(tblProjects[[#This Row],[Start Date]],"mmm")</f>
        <v>Sep</v>
      </c>
      <c r="P45" s="2">
        <f>MONTH(tblProjects[[#This Row],[Start Date]])</f>
        <v>9</v>
      </c>
      <c r="Q45" s="2" t="str">
        <f>"Q"&amp;ROUNDUP(MONTH(tblProjects[[#This Row],[Start Date]])/3,0)</f>
        <v>Q3</v>
      </c>
      <c r="R45" s="2">
        <f>YEAR(tblProjects[[#This Row],[Start Date]])</f>
        <v>2024</v>
      </c>
      <c r="S45" s="2">
        <f ca="1">IFERROR(ROUND((TODAY()-tblProjects[[#This Row],[Start Date]])/365.25,1),0)</f>
        <v>2.1</v>
      </c>
    </row>
    <row r="46" spans="1:19">
      <c r="A46" s="2" t="s">
        <v>154</v>
      </c>
      <c r="B46" s="3">
        <v>45539</v>
      </c>
      <c r="C46" s="2" t="s">
        <v>20</v>
      </c>
      <c r="D46" s="2" t="s">
        <v>123</v>
      </c>
      <c r="E46" s="2" t="s">
        <v>22</v>
      </c>
      <c r="F46" s="2" t="s">
        <v>23</v>
      </c>
      <c r="G46" s="2" t="s">
        <v>29</v>
      </c>
      <c r="H46" s="2" t="s">
        <v>33</v>
      </c>
      <c r="I46" s="2" t="s">
        <v>26</v>
      </c>
      <c r="J46" s="4">
        <v>11600</v>
      </c>
      <c r="K46" s="4">
        <v>11600</v>
      </c>
      <c r="L46" s="2" t="s">
        <v>80</v>
      </c>
      <c r="M46" s="2">
        <v>36</v>
      </c>
      <c r="N46" s="2">
        <v>45895</v>
      </c>
      <c r="O46" s="2" t="str">
        <f>TEXT(tblProjects[[#This Row],[Start Date]],"mmm")</f>
        <v>Sep</v>
      </c>
      <c r="P46" s="2">
        <f>MONTH(tblProjects[[#This Row],[Start Date]])</f>
        <v>9</v>
      </c>
      <c r="Q46" s="2" t="str">
        <f>"Q"&amp;ROUNDUP(MONTH(tblProjects[[#This Row],[Start Date]])/3,0)</f>
        <v>Q3</v>
      </c>
      <c r="R46" s="2">
        <f>YEAR(tblProjects[[#This Row],[Start Date]])</f>
        <v>2024</v>
      </c>
      <c r="S46" s="2">
        <f ca="1">IFERROR(ROUND((TODAY()-tblProjects[[#This Row],[Start Date]])/365.25,1),0)</f>
        <v>2.1</v>
      </c>
    </row>
    <row r="47" spans="1:19">
      <c r="A47" s="2" t="s">
        <v>155</v>
      </c>
      <c r="B47" s="3">
        <v>45540</v>
      </c>
      <c r="C47" s="2" t="s">
        <v>20</v>
      </c>
      <c r="D47" s="2" t="s">
        <v>143</v>
      </c>
      <c r="E47" s="2" t="s">
        <v>22</v>
      </c>
      <c r="F47" s="2" t="s">
        <v>68</v>
      </c>
      <c r="G47" s="2" t="s">
        <v>65</v>
      </c>
      <c r="H47" s="2" t="s">
        <v>57</v>
      </c>
      <c r="I47" s="2" t="s">
        <v>53</v>
      </c>
      <c r="J47" s="4">
        <v>81000</v>
      </c>
      <c r="K47" s="4">
        <v>81000</v>
      </c>
      <c r="L47" s="2" t="s">
        <v>125</v>
      </c>
      <c r="M47" s="2">
        <v>77</v>
      </c>
      <c r="N47" s="2">
        <v>45858</v>
      </c>
      <c r="O47" s="2" t="str">
        <f>TEXT(tblProjects[[#This Row],[Start Date]],"mmm")</f>
        <v>Sep</v>
      </c>
      <c r="P47" s="2">
        <f>MONTH(tblProjects[[#This Row],[Start Date]])</f>
        <v>9</v>
      </c>
      <c r="Q47" s="2" t="str">
        <f>"Q"&amp;ROUNDUP(MONTH(tblProjects[[#This Row],[Start Date]])/3,0)</f>
        <v>Q3</v>
      </c>
      <c r="R47" s="2">
        <f>YEAR(tblProjects[[#This Row],[Start Date]])</f>
        <v>2024</v>
      </c>
      <c r="S47" s="2">
        <f ca="1">IFERROR(ROUND((TODAY()-tblProjects[[#This Row],[Start Date]])/365.25,1),0)</f>
        <v>2.1</v>
      </c>
    </row>
    <row r="48" spans="1:19">
      <c r="A48" s="2" t="s">
        <v>156</v>
      </c>
      <c r="B48" s="3">
        <v>45551</v>
      </c>
      <c r="C48" s="2" t="s">
        <v>20</v>
      </c>
      <c r="D48" s="2" t="s">
        <v>108</v>
      </c>
      <c r="E48" s="2" t="s">
        <v>22</v>
      </c>
      <c r="F48" s="2" t="s">
        <v>84</v>
      </c>
      <c r="G48" s="2" t="s">
        <v>20</v>
      </c>
      <c r="H48" s="2" t="s">
        <v>25</v>
      </c>
      <c r="I48" s="2" t="s">
        <v>53</v>
      </c>
      <c r="J48" s="4">
        <v>12200</v>
      </c>
      <c r="K48" s="4">
        <v>12200</v>
      </c>
      <c r="L48" s="2" t="s">
        <v>58</v>
      </c>
      <c r="M48" s="2">
        <v>100</v>
      </c>
      <c r="N48" s="2">
        <v>45923</v>
      </c>
      <c r="O48" s="2" t="str">
        <f>TEXT(tblProjects[[#This Row],[Start Date]],"mmm")</f>
        <v>Sep</v>
      </c>
      <c r="P48" s="2">
        <f>MONTH(tblProjects[[#This Row],[Start Date]])</f>
        <v>9</v>
      </c>
      <c r="Q48" s="2" t="str">
        <f>"Q"&amp;ROUNDUP(MONTH(tblProjects[[#This Row],[Start Date]])/3,0)</f>
        <v>Q3</v>
      </c>
      <c r="R48" s="2">
        <f>YEAR(tblProjects[[#This Row],[Start Date]])</f>
        <v>2024</v>
      </c>
      <c r="S48" s="2">
        <f ca="1">IFERROR(ROUND((TODAY()-tblProjects[[#This Row],[Start Date]])/365.25,1),0)</f>
        <v>2.1</v>
      </c>
    </row>
    <row r="49" spans="1:19">
      <c r="A49" s="2" t="s">
        <v>157</v>
      </c>
      <c r="B49" s="3">
        <v>45551</v>
      </c>
      <c r="C49" s="2" t="s">
        <v>65</v>
      </c>
      <c r="D49" s="2" t="s">
        <v>66</v>
      </c>
      <c r="E49" s="2" t="s">
        <v>158</v>
      </c>
      <c r="F49" s="2" t="s">
        <v>23</v>
      </c>
      <c r="G49" s="2" t="s">
        <v>24</v>
      </c>
      <c r="H49" s="2" t="s">
        <v>33</v>
      </c>
      <c r="I49" s="2" t="s">
        <v>26</v>
      </c>
      <c r="J49" s="4">
        <v>64000</v>
      </c>
      <c r="K49" s="4">
        <v>64000</v>
      </c>
      <c r="L49" s="2" t="s">
        <v>80</v>
      </c>
      <c r="M49" s="2">
        <v>90</v>
      </c>
      <c r="N49" s="2">
        <v>46054</v>
      </c>
      <c r="O49" s="2" t="str">
        <f>TEXT(tblProjects[[#This Row],[Start Date]],"mmm")</f>
        <v>Sep</v>
      </c>
      <c r="P49" s="2">
        <f>MONTH(tblProjects[[#This Row],[Start Date]])</f>
        <v>9</v>
      </c>
      <c r="Q49" s="2" t="str">
        <f>"Q"&amp;ROUNDUP(MONTH(tblProjects[[#This Row],[Start Date]])/3,0)</f>
        <v>Q3</v>
      </c>
      <c r="R49" s="2">
        <f>YEAR(tblProjects[[#This Row],[Start Date]])</f>
        <v>2024</v>
      </c>
      <c r="S49" s="2">
        <f ca="1">IFERROR(ROUND((TODAY()-tblProjects[[#This Row],[Start Date]])/365.25,1),0)</f>
        <v>2.1</v>
      </c>
    </row>
    <row r="50" spans="1:19">
      <c r="A50" s="2" t="s">
        <v>159</v>
      </c>
      <c r="B50" s="3">
        <v>45575</v>
      </c>
      <c r="C50" s="2" t="s">
        <v>72</v>
      </c>
      <c r="D50" s="2" t="s">
        <v>160</v>
      </c>
      <c r="E50" s="2" t="s">
        <v>74</v>
      </c>
      <c r="F50" s="2" t="s">
        <v>161</v>
      </c>
      <c r="G50" s="2" t="s">
        <v>24</v>
      </c>
      <c r="H50" s="2" t="s">
        <v>33</v>
      </c>
      <c r="I50" s="2" t="s">
        <v>26</v>
      </c>
      <c r="J50" s="4">
        <v>15000</v>
      </c>
      <c r="K50" s="4">
        <v>15000</v>
      </c>
      <c r="L50" s="2" t="s">
        <v>106</v>
      </c>
      <c r="M50" s="2">
        <v>33</v>
      </c>
      <c r="N50" s="2">
        <v>46037</v>
      </c>
      <c r="O50" s="2" t="str">
        <f>TEXT(tblProjects[[#This Row],[Start Date]],"mmm")</f>
        <v>Oct</v>
      </c>
      <c r="P50" s="2">
        <f>MONTH(tblProjects[[#This Row],[Start Date]])</f>
        <v>10</v>
      </c>
      <c r="Q50" s="2" t="str">
        <f>"Q"&amp;ROUNDUP(MONTH(tblProjects[[#This Row],[Start Date]])/3,0)</f>
        <v>Q4</v>
      </c>
      <c r="R50" s="2">
        <f>YEAR(tblProjects[[#This Row],[Start Date]])</f>
        <v>2024</v>
      </c>
      <c r="S50" s="2">
        <f ca="1">IFERROR(ROUND((TODAY()-tblProjects[[#This Row],[Start Date]])/365.25,1),0)</f>
        <v>2</v>
      </c>
    </row>
    <row r="51" spans="1:19">
      <c r="A51" s="2" t="s">
        <v>162</v>
      </c>
      <c r="B51" s="3">
        <v>45590</v>
      </c>
      <c r="C51" s="2" t="s">
        <v>72</v>
      </c>
      <c r="D51" s="2" t="s">
        <v>118</v>
      </c>
      <c r="E51" s="2" t="s">
        <v>138</v>
      </c>
      <c r="F51" s="2" t="s">
        <v>161</v>
      </c>
      <c r="G51" s="2" t="s">
        <v>42</v>
      </c>
      <c r="H51" s="2" t="s">
        <v>33</v>
      </c>
      <c r="I51" s="2" t="s">
        <v>26</v>
      </c>
      <c r="J51" s="4">
        <v>66000</v>
      </c>
      <c r="K51" s="4">
        <v>66000</v>
      </c>
      <c r="L51" s="2" t="s">
        <v>163</v>
      </c>
      <c r="M51" s="2">
        <v>63</v>
      </c>
      <c r="N51" s="2">
        <v>46134</v>
      </c>
      <c r="O51" s="2" t="str">
        <f>TEXT(tblProjects[[#This Row],[Start Date]],"mmm")</f>
        <v>Oct</v>
      </c>
      <c r="P51" s="2">
        <f>MONTH(tblProjects[[#This Row],[Start Date]])</f>
        <v>10</v>
      </c>
      <c r="Q51" s="2" t="str">
        <f>"Q"&amp;ROUNDUP(MONTH(tblProjects[[#This Row],[Start Date]])/3,0)</f>
        <v>Q4</v>
      </c>
      <c r="R51" s="2">
        <f>YEAR(tblProjects[[#This Row],[Start Date]])</f>
        <v>2024</v>
      </c>
      <c r="S51" s="2">
        <f ca="1">IFERROR(ROUND((TODAY()-tblProjects[[#This Row],[Start Date]])/365.25,1),0)</f>
        <v>2</v>
      </c>
    </row>
    <row r="52" spans="1:19">
      <c r="A52" s="2" t="s">
        <v>164</v>
      </c>
      <c r="B52" s="3">
        <v>45593</v>
      </c>
      <c r="C52" s="2" t="s">
        <v>72</v>
      </c>
      <c r="D52" s="2" t="s">
        <v>118</v>
      </c>
      <c r="E52" s="2" t="s">
        <v>138</v>
      </c>
      <c r="F52" s="2" t="s">
        <v>52</v>
      </c>
      <c r="G52" s="2" t="s">
        <v>149</v>
      </c>
      <c r="H52" s="2" t="s">
        <v>39</v>
      </c>
      <c r="I52" s="2" t="s">
        <v>26</v>
      </c>
      <c r="J52" s="4">
        <v>48000</v>
      </c>
      <c r="K52" s="4">
        <v>48000</v>
      </c>
      <c r="L52" s="2" t="s">
        <v>163</v>
      </c>
      <c r="M52" s="2">
        <v>7</v>
      </c>
      <c r="N52" s="2">
        <v>46200</v>
      </c>
      <c r="O52" s="2" t="str">
        <f>TEXT(tblProjects[[#This Row],[Start Date]],"mmm")</f>
        <v>Oct</v>
      </c>
      <c r="P52" s="2">
        <f>MONTH(tblProjects[[#This Row],[Start Date]])</f>
        <v>10</v>
      </c>
      <c r="Q52" s="2" t="str">
        <f>"Q"&amp;ROUNDUP(MONTH(tblProjects[[#This Row],[Start Date]])/3,0)</f>
        <v>Q4</v>
      </c>
      <c r="R52" s="2">
        <f>YEAR(tblProjects[[#This Row],[Start Date]])</f>
        <v>2024</v>
      </c>
      <c r="S52" s="2">
        <f ca="1">IFERROR(ROUND((TODAY()-tblProjects[[#This Row],[Start Date]])/365.25,1),0)</f>
        <v>1.9</v>
      </c>
    </row>
    <row r="53" spans="1:19">
      <c r="A53" s="2" t="s">
        <v>165</v>
      </c>
      <c r="B53" s="3">
        <v>45595</v>
      </c>
      <c r="C53" s="2" t="s">
        <v>42</v>
      </c>
      <c r="D53" s="2" t="s">
        <v>103</v>
      </c>
      <c r="E53" s="2" t="s">
        <v>166</v>
      </c>
      <c r="F53" s="2" t="s">
        <v>52</v>
      </c>
      <c r="G53" s="2" t="s">
        <v>45</v>
      </c>
      <c r="H53" s="2" t="s">
        <v>33</v>
      </c>
      <c r="I53" s="2" t="s">
        <v>26</v>
      </c>
      <c r="J53" s="4">
        <v>11900</v>
      </c>
      <c r="K53" s="4">
        <v>11900</v>
      </c>
      <c r="L53" s="2" t="s">
        <v>85</v>
      </c>
      <c r="M53" s="2">
        <v>39</v>
      </c>
      <c r="N53" s="2">
        <v>45760</v>
      </c>
      <c r="O53" s="2" t="str">
        <f>TEXT(tblProjects[[#This Row],[Start Date]],"mmm")</f>
        <v>Oct</v>
      </c>
      <c r="P53" s="2">
        <f>MONTH(tblProjects[[#This Row],[Start Date]])</f>
        <v>10</v>
      </c>
      <c r="Q53" s="2" t="str">
        <f>"Q"&amp;ROUNDUP(MONTH(tblProjects[[#This Row],[Start Date]])/3,0)</f>
        <v>Q4</v>
      </c>
      <c r="R53" s="2">
        <f>YEAR(tblProjects[[#This Row],[Start Date]])</f>
        <v>2024</v>
      </c>
      <c r="S53" s="2">
        <f ca="1">IFERROR(ROUND((TODAY()-tblProjects[[#This Row],[Start Date]])/365.25,1),0)</f>
        <v>1.9</v>
      </c>
    </row>
    <row r="54" spans="1:19">
      <c r="A54" s="2" t="s">
        <v>167</v>
      </c>
      <c r="B54" s="3">
        <v>45621</v>
      </c>
      <c r="C54" s="2" t="s">
        <v>72</v>
      </c>
      <c r="D54" s="2" t="s">
        <v>118</v>
      </c>
      <c r="E54" s="2" t="s">
        <v>119</v>
      </c>
      <c r="F54" s="2" t="s">
        <v>84</v>
      </c>
      <c r="G54" s="2" t="s">
        <v>149</v>
      </c>
      <c r="H54" s="2" t="s">
        <v>25</v>
      </c>
      <c r="I54" s="2" t="s">
        <v>26</v>
      </c>
      <c r="J54" s="4">
        <v>64000</v>
      </c>
      <c r="K54" s="4">
        <v>64000</v>
      </c>
      <c r="L54" s="2" t="s">
        <v>168</v>
      </c>
      <c r="M54" s="2">
        <v>100</v>
      </c>
      <c r="N54" s="2">
        <v>45922</v>
      </c>
      <c r="O54" s="2" t="str">
        <f>TEXT(tblProjects[[#This Row],[Start Date]],"mmm")</f>
        <v>Nov</v>
      </c>
      <c r="P54" s="2">
        <f>MONTH(tblProjects[[#This Row],[Start Date]])</f>
        <v>11</v>
      </c>
      <c r="Q54" s="2" t="str">
        <f>"Q"&amp;ROUNDUP(MONTH(tblProjects[[#This Row],[Start Date]])/3,0)</f>
        <v>Q4</v>
      </c>
      <c r="R54" s="2">
        <f>YEAR(tblProjects[[#This Row],[Start Date]])</f>
        <v>2024</v>
      </c>
      <c r="S54" s="2">
        <f ca="1">IFERROR(ROUND((TODAY()-tblProjects[[#This Row],[Start Date]])/365.25,1),0)</f>
        <v>1.9</v>
      </c>
    </row>
    <row r="55" spans="1:19">
      <c r="A55" s="2" t="s">
        <v>169</v>
      </c>
      <c r="B55" s="3">
        <v>45624</v>
      </c>
      <c r="C55" s="2" t="s">
        <v>29</v>
      </c>
      <c r="D55" s="2" t="s">
        <v>77</v>
      </c>
      <c r="E55" s="2" t="s">
        <v>151</v>
      </c>
      <c r="F55" s="2" t="s">
        <v>23</v>
      </c>
      <c r="G55" s="2" t="s">
        <v>105</v>
      </c>
      <c r="H55" s="2" t="s">
        <v>33</v>
      </c>
      <c r="I55" s="2" t="s">
        <v>26</v>
      </c>
      <c r="J55" s="4">
        <v>72000</v>
      </c>
      <c r="K55" s="4">
        <v>72000</v>
      </c>
      <c r="L55" s="2" t="s">
        <v>80</v>
      </c>
      <c r="M55" s="2">
        <v>85</v>
      </c>
      <c r="N55" s="2">
        <v>46204</v>
      </c>
      <c r="O55" s="2" t="str">
        <f>TEXT(tblProjects[[#This Row],[Start Date]],"mmm")</f>
        <v>Nov</v>
      </c>
      <c r="P55" s="2">
        <f>MONTH(tblProjects[[#This Row],[Start Date]])</f>
        <v>11</v>
      </c>
      <c r="Q55" s="2" t="str">
        <f>"Q"&amp;ROUNDUP(MONTH(tblProjects[[#This Row],[Start Date]])/3,0)</f>
        <v>Q4</v>
      </c>
      <c r="R55" s="2">
        <f>YEAR(tblProjects[[#This Row],[Start Date]])</f>
        <v>2024</v>
      </c>
      <c r="S55" s="2">
        <f ca="1">IFERROR(ROUND((TODAY()-tblProjects[[#This Row],[Start Date]])/365.25,1),0)</f>
        <v>1.9</v>
      </c>
    </row>
    <row r="56" spans="1:19">
      <c r="A56" s="2" t="s">
        <v>170</v>
      </c>
      <c r="B56" s="3">
        <v>45626</v>
      </c>
      <c r="C56" s="2" t="s">
        <v>65</v>
      </c>
      <c r="D56" s="2" t="s">
        <v>66</v>
      </c>
      <c r="E56" s="2" t="s">
        <v>112</v>
      </c>
      <c r="F56" s="2" t="s">
        <v>88</v>
      </c>
      <c r="G56" s="2" t="s">
        <v>45</v>
      </c>
      <c r="H56" s="2" t="s">
        <v>25</v>
      </c>
      <c r="I56" s="2" t="s">
        <v>53</v>
      </c>
      <c r="J56" s="4">
        <v>52000</v>
      </c>
      <c r="K56" s="4">
        <v>52000</v>
      </c>
      <c r="L56" s="2" t="s">
        <v>70</v>
      </c>
      <c r="M56" s="2">
        <v>100</v>
      </c>
      <c r="N56" s="2">
        <v>45813</v>
      </c>
      <c r="O56" s="2" t="str">
        <f>TEXT(tblProjects[[#This Row],[Start Date]],"mmm")</f>
        <v>Nov</v>
      </c>
      <c r="P56" s="2">
        <f>MONTH(tblProjects[[#This Row],[Start Date]])</f>
        <v>11</v>
      </c>
      <c r="Q56" s="2" t="str">
        <f>"Q"&amp;ROUNDUP(MONTH(tblProjects[[#This Row],[Start Date]])/3,0)</f>
        <v>Q4</v>
      </c>
      <c r="R56" s="2">
        <f>YEAR(tblProjects[[#This Row],[Start Date]])</f>
        <v>2024</v>
      </c>
      <c r="S56" s="2">
        <f ca="1">IFERROR(ROUND((TODAY()-tblProjects[[#This Row],[Start Date]])/365.25,1),0)</f>
        <v>1.9</v>
      </c>
    </row>
    <row r="57" spans="1:19">
      <c r="A57" s="2" t="s">
        <v>171</v>
      </c>
      <c r="B57" s="3">
        <v>45631</v>
      </c>
      <c r="C57" s="2" t="s">
        <v>29</v>
      </c>
      <c r="D57" s="2" t="s">
        <v>60</v>
      </c>
      <c r="E57" s="2" t="s">
        <v>61</v>
      </c>
      <c r="F57" s="2" t="s">
        <v>32</v>
      </c>
      <c r="G57" s="2" t="s">
        <v>42</v>
      </c>
      <c r="H57" s="2" t="s">
        <v>33</v>
      </c>
      <c r="I57" s="2" t="s">
        <v>53</v>
      </c>
      <c r="J57" s="4">
        <v>78000</v>
      </c>
      <c r="K57" s="4">
        <v>78000</v>
      </c>
      <c r="L57" s="2" t="s">
        <v>125</v>
      </c>
      <c r="M57" s="2">
        <v>84</v>
      </c>
      <c r="N57" s="2">
        <v>46291</v>
      </c>
      <c r="O57" s="2" t="str">
        <f>TEXT(tblProjects[[#This Row],[Start Date]],"mmm")</f>
        <v>Dec</v>
      </c>
      <c r="P57" s="2">
        <f>MONTH(tblProjects[[#This Row],[Start Date]])</f>
        <v>12</v>
      </c>
      <c r="Q57" s="2" t="str">
        <f>"Q"&amp;ROUNDUP(MONTH(tblProjects[[#This Row],[Start Date]])/3,0)</f>
        <v>Q4</v>
      </c>
      <c r="R57" s="2">
        <f>YEAR(tblProjects[[#This Row],[Start Date]])</f>
        <v>2024</v>
      </c>
      <c r="S57" s="2">
        <f ca="1">IFERROR(ROUND((TODAY()-tblProjects[[#This Row],[Start Date]])/365.25,1),0)</f>
        <v>1.8</v>
      </c>
    </row>
    <row r="58" spans="1:19">
      <c r="A58" s="2" t="s">
        <v>172</v>
      </c>
      <c r="B58" s="3">
        <v>45657</v>
      </c>
      <c r="C58" s="2" t="s">
        <v>72</v>
      </c>
      <c r="D58" s="2" t="s">
        <v>98</v>
      </c>
      <c r="E58" s="2" t="s">
        <v>74</v>
      </c>
      <c r="F58" s="2" t="s">
        <v>32</v>
      </c>
      <c r="G58" s="2" t="s">
        <v>29</v>
      </c>
      <c r="H58" s="2" t="s">
        <v>33</v>
      </c>
      <c r="I58" s="2" t="s">
        <v>53</v>
      </c>
      <c r="J58" s="4">
        <v>25000</v>
      </c>
      <c r="K58" s="4">
        <v>25000</v>
      </c>
      <c r="L58" s="2" t="s">
        <v>49</v>
      </c>
      <c r="M58" s="2">
        <v>31</v>
      </c>
      <c r="N58" s="2">
        <v>46153</v>
      </c>
      <c r="O58" s="2" t="str">
        <f>TEXT(tblProjects[[#This Row],[Start Date]],"mmm")</f>
        <v>Dec</v>
      </c>
      <c r="P58" s="2">
        <f>MONTH(tblProjects[[#This Row],[Start Date]])</f>
        <v>12</v>
      </c>
      <c r="Q58" s="2" t="str">
        <f>"Q"&amp;ROUNDUP(MONTH(tblProjects[[#This Row],[Start Date]])/3,0)</f>
        <v>Q4</v>
      </c>
      <c r="R58" s="2">
        <f>YEAR(tblProjects[[#This Row],[Start Date]])</f>
        <v>2024</v>
      </c>
      <c r="S58" s="2">
        <f ca="1">IFERROR(ROUND((TODAY()-tblProjects[[#This Row],[Start Date]])/365.25,1),0)</f>
        <v>1.8</v>
      </c>
    </row>
    <row r="59" spans="1:19">
      <c r="A59" s="2" t="s">
        <v>173</v>
      </c>
      <c r="B59" s="3">
        <v>45664</v>
      </c>
      <c r="C59" s="2" t="s">
        <v>72</v>
      </c>
      <c r="D59" s="2" t="s">
        <v>95</v>
      </c>
      <c r="E59" s="2" t="s">
        <v>114</v>
      </c>
      <c r="F59" s="2" t="s">
        <v>161</v>
      </c>
      <c r="G59" s="2" t="s">
        <v>24</v>
      </c>
      <c r="H59" s="2" t="s">
        <v>57</v>
      </c>
      <c r="I59" s="2" t="s">
        <v>26</v>
      </c>
      <c r="J59" s="4">
        <v>81000</v>
      </c>
      <c r="K59" s="4">
        <v>81000</v>
      </c>
      <c r="L59" s="2" t="s">
        <v>70</v>
      </c>
      <c r="M59" s="2">
        <v>49</v>
      </c>
      <c r="N59" s="2">
        <v>45950</v>
      </c>
      <c r="O59" s="2" t="str">
        <f>TEXT(tblProjects[[#This Row],[Start Date]],"mmm")</f>
        <v>Jan</v>
      </c>
      <c r="P59" s="2">
        <f>MONTH(tblProjects[[#This Row],[Start Date]])</f>
        <v>1</v>
      </c>
      <c r="Q59" s="2" t="str">
        <f>"Q"&amp;ROUNDUP(MONTH(tblProjects[[#This Row],[Start Date]])/3,0)</f>
        <v>Q1</v>
      </c>
      <c r="R59" s="2">
        <f>YEAR(tblProjects[[#This Row],[Start Date]])</f>
        <v>2025</v>
      </c>
      <c r="S59" s="2">
        <f ca="1">IFERROR(ROUND((TODAY()-tblProjects[[#This Row],[Start Date]])/365.25,1),0)</f>
        <v>1.7</v>
      </c>
    </row>
    <row r="60" spans="1:19">
      <c r="A60" s="2" t="s">
        <v>174</v>
      </c>
      <c r="B60" s="3">
        <v>45687</v>
      </c>
      <c r="C60" s="2" t="s">
        <v>35</v>
      </c>
      <c r="D60" s="2" t="s">
        <v>47</v>
      </c>
      <c r="E60" s="2" t="s">
        <v>148</v>
      </c>
      <c r="F60" s="2" t="s">
        <v>161</v>
      </c>
      <c r="G60" s="2" t="s">
        <v>20</v>
      </c>
      <c r="H60" s="2" t="s">
        <v>33</v>
      </c>
      <c r="I60" s="2" t="s">
        <v>26</v>
      </c>
      <c r="J60" s="4">
        <v>16300</v>
      </c>
      <c r="K60" s="4">
        <v>16300</v>
      </c>
      <c r="L60" s="2" t="s">
        <v>85</v>
      </c>
      <c r="M60" s="2">
        <v>35</v>
      </c>
      <c r="N60" s="2">
        <v>46249</v>
      </c>
      <c r="O60" s="2" t="str">
        <f>TEXT(tblProjects[[#This Row],[Start Date]],"mmm")</f>
        <v>Jan</v>
      </c>
      <c r="P60" s="2">
        <f>MONTH(tblProjects[[#This Row],[Start Date]])</f>
        <v>1</v>
      </c>
      <c r="Q60" s="2" t="str">
        <f>"Q"&amp;ROUNDUP(MONTH(tblProjects[[#This Row],[Start Date]])/3,0)</f>
        <v>Q1</v>
      </c>
      <c r="R60" s="2">
        <f>YEAR(tblProjects[[#This Row],[Start Date]])</f>
        <v>2025</v>
      </c>
      <c r="S60" s="2">
        <f ca="1">IFERROR(ROUND((TODAY()-tblProjects[[#This Row],[Start Date]])/365.25,1),0)</f>
        <v>1.7</v>
      </c>
    </row>
    <row r="61" spans="1:19">
      <c r="A61" s="2" t="s">
        <v>175</v>
      </c>
      <c r="B61" s="3">
        <v>45689</v>
      </c>
      <c r="C61" s="2" t="s">
        <v>29</v>
      </c>
      <c r="D61" s="2" t="s">
        <v>105</v>
      </c>
      <c r="E61" s="2" t="s">
        <v>31</v>
      </c>
      <c r="F61" s="2" t="s">
        <v>52</v>
      </c>
      <c r="G61" s="2" t="s">
        <v>149</v>
      </c>
      <c r="H61" s="2" t="s">
        <v>33</v>
      </c>
      <c r="I61" s="2" t="s">
        <v>26</v>
      </c>
      <c r="J61" s="4">
        <v>81000</v>
      </c>
      <c r="K61" s="4">
        <v>81000</v>
      </c>
      <c r="L61" s="2" t="s">
        <v>85</v>
      </c>
      <c r="M61" s="2">
        <v>35</v>
      </c>
      <c r="N61" s="2">
        <v>45864</v>
      </c>
      <c r="O61" s="2" t="str">
        <f>TEXT(tblProjects[[#This Row],[Start Date]],"mmm")</f>
        <v>Feb</v>
      </c>
      <c r="P61" s="2">
        <f>MONTH(tblProjects[[#This Row],[Start Date]])</f>
        <v>2</v>
      </c>
      <c r="Q61" s="2" t="str">
        <f>"Q"&amp;ROUNDUP(MONTH(tblProjects[[#This Row],[Start Date]])/3,0)</f>
        <v>Q1</v>
      </c>
      <c r="R61" s="2">
        <f>YEAR(tblProjects[[#This Row],[Start Date]])</f>
        <v>2025</v>
      </c>
      <c r="S61" s="2">
        <f ca="1">IFERROR(ROUND((TODAY()-tblProjects[[#This Row],[Start Date]])/365.25,1),0)</f>
        <v>1.7</v>
      </c>
    </row>
    <row r="62" spans="1:19">
      <c r="A62" s="2" t="s">
        <v>176</v>
      </c>
      <c r="B62" s="3">
        <v>45709</v>
      </c>
      <c r="C62" s="2" t="s">
        <v>42</v>
      </c>
      <c r="D62" s="2" t="s">
        <v>43</v>
      </c>
      <c r="E62" s="2" t="s">
        <v>177</v>
      </c>
      <c r="F62" s="2" t="s">
        <v>23</v>
      </c>
      <c r="G62" s="2" t="s">
        <v>105</v>
      </c>
      <c r="H62" s="2" t="s">
        <v>33</v>
      </c>
      <c r="I62" s="2" t="s">
        <v>69</v>
      </c>
      <c r="J62" s="4">
        <v>56000</v>
      </c>
      <c r="K62" s="4">
        <v>56000</v>
      </c>
      <c r="L62" s="2" t="s">
        <v>93</v>
      </c>
      <c r="M62" s="2">
        <v>43</v>
      </c>
      <c r="N62" s="2">
        <v>46096</v>
      </c>
      <c r="O62" s="2" t="str">
        <f>TEXT(tblProjects[[#This Row],[Start Date]],"mmm")</f>
        <v>Feb</v>
      </c>
      <c r="P62" s="2">
        <f>MONTH(tblProjects[[#This Row],[Start Date]])</f>
        <v>2</v>
      </c>
      <c r="Q62" s="2" t="str">
        <f>"Q"&amp;ROUNDUP(MONTH(tblProjects[[#This Row],[Start Date]])/3,0)</f>
        <v>Q1</v>
      </c>
      <c r="R62" s="2">
        <f>YEAR(tblProjects[[#This Row],[Start Date]])</f>
        <v>2025</v>
      </c>
      <c r="S62" s="2">
        <f ca="1">IFERROR(ROUND((TODAY()-tblProjects[[#This Row],[Start Date]])/365.25,1),0)</f>
        <v>1.6</v>
      </c>
    </row>
    <row r="63" spans="1:19">
      <c r="A63" s="2" t="s">
        <v>178</v>
      </c>
      <c r="B63" s="3">
        <v>45709</v>
      </c>
      <c r="C63" s="2" t="s">
        <v>20</v>
      </c>
      <c r="D63" s="2" t="s">
        <v>143</v>
      </c>
      <c r="E63" s="2" t="s">
        <v>179</v>
      </c>
      <c r="F63" s="2" t="s">
        <v>68</v>
      </c>
      <c r="G63" s="2" t="s">
        <v>65</v>
      </c>
      <c r="H63" s="2" t="s">
        <v>33</v>
      </c>
      <c r="I63" s="2" t="s">
        <v>53</v>
      </c>
      <c r="J63" s="4">
        <v>67000</v>
      </c>
      <c r="K63" s="4">
        <v>67000</v>
      </c>
      <c r="L63" s="2" t="s">
        <v>163</v>
      </c>
      <c r="M63" s="2">
        <v>73</v>
      </c>
      <c r="N63" s="2">
        <v>46002</v>
      </c>
      <c r="O63" s="2" t="str">
        <f>TEXT(tblProjects[[#This Row],[Start Date]],"mmm")</f>
        <v>Feb</v>
      </c>
      <c r="P63" s="2">
        <f>MONTH(tblProjects[[#This Row],[Start Date]])</f>
        <v>2</v>
      </c>
      <c r="Q63" s="2" t="str">
        <f>"Q"&amp;ROUNDUP(MONTH(tblProjects[[#This Row],[Start Date]])/3,0)</f>
        <v>Q1</v>
      </c>
      <c r="R63" s="2">
        <f>YEAR(tblProjects[[#This Row],[Start Date]])</f>
        <v>2025</v>
      </c>
      <c r="S63" s="2">
        <f ca="1">IFERROR(ROUND((TODAY()-tblProjects[[#This Row],[Start Date]])/365.25,1),0)</f>
        <v>1.6</v>
      </c>
    </row>
    <row r="64" spans="1:19">
      <c r="A64" s="2" t="s">
        <v>180</v>
      </c>
      <c r="B64" s="3">
        <v>45713</v>
      </c>
      <c r="C64" s="2" t="s">
        <v>42</v>
      </c>
      <c r="D64" s="2" t="s">
        <v>145</v>
      </c>
      <c r="E64" s="2" t="s">
        <v>177</v>
      </c>
      <c r="F64" s="2" t="s">
        <v>32</v>
      </c>
      <c r="G64" s="2" t="s">
        <v>45</v>
      </c>
      <c r="H64" s="2" t="s">
        <v>33</v>
      </c>
      <c r="I64" s="2" t="s">
        <v>26</v>
      </c>
      <c r="J64" s="4">
        <v>85000</v>
      </c>
      <c r="K64" s="4">
        <v>85000</v>
      </c>
      <c r="L64" s="2" t="s">
        <v>80</v>
      </c>
      <c r="M64" s="2">
        <v>42</v>
      </c>
      <c r="N64" s="2">
        <v>46101</v>
      </c>
      <c r="O64" s="2" t="str">
        <f>TEXT(tblProjects[[#This Row],[Start Date]],"mmm")</f>
        <v>Feb</v>
      </c>
      <c r="P64" s="2">
        <f>MONTH(tblProjects[[#This Row],[Start Date]])</f>
        <v>2</v>
      </c>
      <c r="Q64" s="2" t="str">
        <f>"Q"&amp;ROUNDUP(MONTH(tblProjects[[#This Row],[Start Date]])/3,0)</f>
        <v>Q1</v>
      </c>
      <c r="R64" s="2">
        <f>YEAR(tblProjects[[#This Row],[Start Date]])</f>
        <v>2025</v>
      </c>
      <c r="S64" s="2">
        <f ca="1">IFERROR(ROUND((TODAY()-tblProjects[[#This Row],[Start Date]])/365.25,1),0)</f>
        <v>1.6</v>
      </c>
    </row>
    <row r="65" spans="1:19">
      <c r="A65" s="2" t="s">
        <v>181</v>
      </c>
      <c r="B65" s="3">
        <v>45719</v>
      </c>
      <c r="C65" s="2" t="s">
        <v>29</v>
      </c>
      <c r="D65" s="2" t="s">
        <v>77</v>
      </c>
      <c r="E65" s="2" t="s">
        <v>56</v>
      </c>
      <c r="F65" s="2" t="s">
        <v>52</v>
      </c>
      <c r="G65" s="2" t="s">
        <v>149</v>
      </c>
      <c r="H65" s="2" t="s">
        <v>33</v>
      </c>
      <c r="I65" s="2" t="s">
        <v>53</v>
      </c>
      <c r="J65" s="4">
        <v>34000</v>
      </c>
      <c r="K65" s="4">
        <v>34000</v>
      </c>
      <c r="L65" s="2" t="s">
        <v>101</v>
      </c>
      <c r="M65" s="2">
        <v>66</v>
      </c>
      <c r="N65" s="2">
        <v>45933</v>
      </c>
      <c r="O65" s="2" t="str">
        <f>TEXT(tblProjects[[#This Row],[Start Date]],"mmm")</f>
        <v>Mar</v>
      </c>
      <c r="P65" s="2">
        <f>MONTH(tblProjects[[#This Row],[Start Date]])</f>
        <v>3</v>
      </c>
      <c r="Q65" s="2" t="str">
        <f>"Q"&amp;ROUNDUP(MONTH(tblProjects[[#This Row],[Start Date]])/3,0)</f>
        <v>Q1</v>
      </c>
      <c r="R65" s="2">
        <f>YEAR(tblProjects[[#This Row],[Start Date]])</f>
        <v>2025</v>
      </c>
      <c r="S65" s="2">
        <f ca="1">IFERROR(ROUND((TODAY()-tblProjects[[#This Row],[Start Date]])/365.25,1),0)</f>
        <v>1.6</v>
      </c>
    </row>
    <row r="66" spans="1:19">
      <c r="A66" s="2" t="s">
        <v>182</v>
      </c>
      <c r="B66" s="3">
        <v>45732</v>
      </c>
      <c r="C66" s="2" t="s">
        <v>20</v>
      </c>
      <c r="D66" s="2" t="s">
        <v>21</v>
      </c>
      <c r="E66" s="2" t="s">
        <v>51</v>
      </c>
      <c r="F66" s="2" t="s">
        <v>88</v>
      </c>
      <c r="G66" s="2" t="s">
        <v>42</v>
      </c>
      <c r="H66" s="2" t="s">
        <v>33</v>
      </c>
      <c r="I66" s="2" t="s">
        <v>69</v>
      </c>
      <c r="J66" s="4">
        <v>86000</v>
      </c>
      <c r="K66" s="4">
        <v>86000</v>
      </c>
      <c r="L66" s="2" t="s">
        <v>93</v>
      </c>
      <c r="M66" s="2">
        <v>91</v>
      </c>
      <c r="N66" s="2">
        <v>45908</v>
      </c>
      <c r="O66" s="2" t="str">
        <f>TEXT(tblProjects[[#This Row],[Start Date]],"mmm")</f>
        <v>Mar</v>
      </c>
      <c r="P66" s="2">
        <f>MONTH(tblProjects[[#This Row],[Start Date]])</f>
        <v>3</v>
      </c>
      <c r="Q66" s="2" t="str">
        <f>"Q"&amp;ROUNDUP(MONTH(tblProjects[[#This Row],[Start Date]])/3,0)</f>
        <v>Q1</v>
      </c>
      <c r="R66" s="2">
        <f>YEAR(tblProjects[[#This Row],[Start Date]])</f>
        <v>2025</v>
      </c>
      <c r="S66" s="2">
        <f ca="1">IFERROR(ROUND((TODAY()-tblProjects[[#This Row],[Start Date]])/365.25,1),0)</f>
        <v>1.6</v>
      </c>
    </row>
    <row r="67" spans="1:19">
      <c r="A67" s="2" t="s">
        <v>183</v>
      </c>
      <c r="B67" s="3">
        <v>45756</v>
      </c>
      <c r="C67" s="2" t="s">
        <v>42</v>
      </c>
      <c r="D67" s="2" t="s">
        <v>82</v>
      </c>
      <c r="E67" s="2" t="s">
        <v>184</v>
      </c>
      <c r="F67" s="2" t="s">
        <v>52</v>
      </c>
      <c r="G67" s="2" t="s">
        <v>29</v>
      </c>
      <c r="H67" s="2" t="s">
        <v>62</v>
      </c>
      <c r="I67" s="2" t="s">
        <v>53</v>
      </c>
      <c r="J67" s="4">
        <v>96000</v>
      </c>
      <c r="K67" s="4">
        <v>96000</v>
      </c>
      <c r="L67" s="2" t="s">
        <v>168</v>
      </c>
      <c r="M67" s="2">
        <v>34</v>
      </c>
      <c r="N67" s="2">
        <v>45985</v>
      </c>
      <c r="O67" s="2" t="str">
        <f>TEXT(tblProjects[[#This Row],[Start Date]],"mmm")</f>
        <v>Apr</v>
      </c>
      <c r="P67" s="2">
        <f>MONTH(tblProjects[[#This Row],[Start Date]])</f>
        <v>4</v>
      </c>
      <c r="Q67" s="2" t="str">
        <f>"Q"&amp;ROUNDUP(MONTH(tblProjects[[#This Row],[Start Date]])/3,0)</f>
        <v>Q2</v>
      </c>
      <c r="R67" s="2">
        <f>YEAR(tblProjects[[#This Row],[Start Date]])</f>
        <v>2025</v>
      </c>
      <c r="S67" s="2">
        <f ca="1">IFERROR(ROUND((TODAY()-tblProjects[[#This Row],[Start Date]])/365.25,1),0)</f>
        <v>1.5</v>
      </c>
    </row>
    <row r="68" spans="1:19">
      <c r="A68" s="2" t="s">
        <v>185</v>
      </c>
      <c r="B68" s="3">
        <v>45768</v>
      </c>
      <c r="C68" s="2" t="s">
        <v>29</v>
      </c>
      <c r="D68" s="2" t="s">
        <v>60</v>
      </c>
      <c r="E68" s="2" t="s">
        <v>56</v>
      </c>
      <c r="F68" s="2" t="s">
        <v>23</v>
      </c>
      <c r="G68" s="2" t="s">
        <v>42</v>
      </c>
      <c r="H68" s="2" t="s">
        <v>33</v>
      </c>
      <c r="I68" s="2" t="s">
        <v>53</v>
      </c>
      <c r="J68" s="4">
        <v>42000</v>
      </c>
      <c r="K68" s="4">
        <v>42000</v>
      </c>
      <c r="L68" s="2" t="s">
        <v>106</v>
      </c>
      <c r="M68" s="2">
        <v>49</v>
      </c>
      <c r="N68" s="2">
        <v>46027</v>
      </c>
      <c r="O68" s="2" t="str">
        <f>TEXT(tblProjects[[#This Row],[Start Date]],"mmm")</f>
        <v>Apr</v>
      </c>
      <c r="P68" s="2">
        <f>MONTH(tblProjects[[#This Row],[Start Date]])</f>
        <v>4</v>
      </c>
      <c r="Q68" s="2" t="str">
        <f>"Q"&amp;ROUNDUP(MONTH(tblProjects[[#This Row],[Start Date]])/3,0)</f>
        <v>Q2</v>
      </c>
      <c r="R68" s="2">
        <f>YEAR(tblProjects[[#This Row],[Start Date]])</f>
        <v>2025</v>
      </c>
      <c r="S68" s="2">
        <f ca="1">IFERROR(ROUND((TODAY()-tblProjects[[#This Row],[Start Date]])/365.25,1),0)</f>
        <v>1.5</v>
      </c>
    </row>
    <row r="69" spans="1:19">
      <c r="A69" s="2" t="s">
        <v>186</v>
      </c>
      <c r="B69" s="3">
        <v>45768</v>
      </c>
      <c r="C69" s="2" t="s">
        <v>29</v>
      </c>
      <c r="D69" s="2" t="s">
        <v>105</v>
      </c>
      <c r="E69" s="2" t="s">
        <v>151</v>
      </c>
      <c r="F69" s="2" t="s">
        <v>32</v>
      </c>
      <c r="G69" s="2" t="s">
        <v>149</v>
      </c>
      <c r="H69" s="2" t="s">
        <v>62</v>
      </c>
      <c r="I69" s="2" t="s">
        <v>53</v>
      </c>
      <c r="J69" s="4">
        <v>43000</v>
      </c>
      <c r="K69" s="4">
        <v>43000</v>
      </c>
      <c r="L69" s="2" t="s">
        <v>106</v>
      </c>
      <c r="M69" s="2">
        <v>13</v>
      </c>
      <c r="N69" s="2">
        <v>46042</v>
      </c>
      <c r="O69" s="2" t="str">
        <f>TEXT(tblProjects[[#This Row],[Start Date]],"mmm")</f>
        <v>Apr</v>
      </c>
      <c r="P69" s="2">
        <f>MONTH(tblProjects[[#This Row],[Start Date]])</f>
        <v>4</v>
      </c>
      <c r="Q69" s="2" t="str">
        <f>"Q"&amp;ROUNDUP(MONTH(tblProjects[[#This Row],[Start Date]])/3,0)</f>
        <v>Q2</v>
      </c>
      <c r="R69" s="2">
        <f>YEAR(tblProjects[[#This Row],[Start Date]])</f>
        <v>2025</v>
      </c>
      <c r="S69" s="2">
        <f ca="1">IFERROR(ROUND((TODAY()-tblProjects[[#This Row],[Start Date]])/365.25,1),0)</f>
        <v>1.5</v>
      </c>
    </row>
    <row r="70" spans="1:19">
      <c r="A70" s="2" t="s">
        <v>187</v>
      </c>
      <c r="B70" s="3">
        <v>45769</v>
      </c>
      <c r="C70" s="2" t="s">
        <v>42</v>
      </c>
      <c r="D70" s="2" t="s">
        <v>145</v>
      </c>
      <c r="E70" s="2" t="s">
        <v>188</v>
      </c>
      <c r="F70" s="2" t="s">
        <v>115</v>
      </c>
      <c r="G70" s="2" t="s">
        <v>149</v>
      </c>
      <c r="H70" s="2" t="s">
        <v>33</v>
      </c>
      <c r="I70" s="2" t="s">
        <v>26</v>
      </c>
      <c r="J70" s="4">
        <v>12200</v>
      </c>
      <c r="K70" s="4">
        <v>12200</v>
      </c>
      <c r="L70" s="2" t="s">
        <v>63</v>
      </c>
      <c r="M70" s="2">
        <v>71</v>
      </c>
      <c r="N70" s="2">
        <v>45968</v>
      </c>
      <c r="O70" s="2" t="str">
        <f>TEXT(tblProjects[[#This Row],[Start Date]],"mmm")</f>
        <v>Apr</v>
      </c>
      <c r="P70" s="2">
        <f>MONTH(tblProjects[[#This Row],[Start Date]])</f>
        <v>4</v>
      </c>
      <c r="Q70" s="2" t="str">
        <f>"Q"&amp;ROUNDUP(MONTH(tblProjects[[#This Row],[Start Date]])/3,0)</f>
        <v>Q2</v>
      </c>
      <c r="R70" s="2">
        <f>YEAR(tblProjects[[#This Row],[Start Date]])</f>
        <v>2025</v>
      </c>
      <c r="S70" s="2">
        <f ca="1">IFERROR(ROUND((TODAY()-tblProjects[[#This Row],[Start Date]])/365.25,1),0)</f>
        <v>1.5</v>
      </c>
    </row>
    <row r="71" spans="1:19">
      <c r="A71" s="2" t="s">
        <v>189</v>
      </c>
      <c r="B71" s="3">
        <v>45787</v>
      </c>
      <c r="C71" s="2" t="s">
        <v>35</v>
      </c>
      <c r="D71" s="2" t="s">
        <v>82</v>
      </c>
      <c r="E71" s="2" t="s">
        <v>90</v>
      </c>
      <c r="F71" s="2" t="s">
        <v>161</v>
      </c>
      <c r="G71" s="2" t="s">
        <v>149</v>
      </c>
      <c r="H71" s="2" t="s">
        <v>39</v>
      </c>
      <c r="I71" s="2" t="s">
        <v>26</v>
      </c>
      <c r="J71" s="4">
        <v>19900</v>
      </c>
      <c r="K71" s="4">
        <v>19900</v>
      </c>
      <c r="L71" s="2" t="s">
        <v>58</v>
      </c>
      <c r="M71" s="2">
        <v>9</v>
      </c>
      <c r="N71" s="2">
        <v>46193</v>
      </c>
      <c r="O71" s="2" t="str">
        <f>TEXT(tblProjects[[#This Row],[Start Date]],"mmm")</f>
        <v>May</v>
      </c>
      <c r="P71" s="2">
        <f>MONTH(tblProjects[[#This Row],[Start Date]])</f>
        <v>5</v>
      </c>
      <c r="Q71" s="2" t="str">
        <f>"Q"&amp;ROUNDUP(MONTH(tblProjects[[#This Row],[Start Date]])/3,0)</f>
        <v>Q2</v>
      </c>
      <c r="R71" s="2">
        <f>YEAR(tblProjects[[#This Row],[Start Date]])</f>
        <v>2025</v>
      </c>
      <c r="S71" s="2">
        <f ca="1">IFERROR(ROUND((TODAY()-tblProjects[[#This Row],[Start Date]])/365.25,1),0)</f>
        <v>1.4</v>
      </c>
    </row>
    <row r="72" spans="1:19">
      <c r="A72" s="2" t="s">
        <v>190</v>
      </c>
      <c r="B72" s="3">
        <v>45796</v>
      </c>
      <c r="C72" s="2" t="s">
        <v>20</v>
      </c>
      <c r="D72" s="2" t="s">
        <v>123</v>
      </c>
      <c r="E72" s="2" t="s">
        <v>51</v>
      </c>
      <c r="F72" s="2" t="s">
        <v>52</v>
      </c>
      <c r="G72" s="2" t="s">
        <v>149</v>
      </c>
      <c r="H72" s="2" t="s">
        <v>57</v>
      </c>
      <c r="I72" s="2" t="s">
        <v>53</v>
      </c>
      <c r="J72" s="4">
        <v>43000</v>
      </c>
      <c r="K72" s="4">
        <v>43000</v>
      </c>
      <c r="L72" s="2" t="s">
        <v>54</v>
      </c>
      <c r="M72" s="2">
        <v>59</v>
      </c>
      <c r="N72" s="2">
        <v>46354</v>
      </c>
      <c r="O72" s="2" t="str">
        <f>TEXT(tblProjects[[#This Row],[Start Date]],"mmm")</f>
        <v>May</v>
      </c>
      <c r="P72" s="2">
        <f>MONTH(tblProjects[[#This Row],[Start Date]])</f>
        <v>5</v>
      </c>
      <c r="Q72" s="2" t="str">
        <f>"Q"&amp;ROUNDUP(MONTH(tblProjects[[#This Row],[Start Date]])/3,0)</f>
        <v>Q2</v>
      </c>
      <c r="R72" s="2">
        <f>YEAR(tblProjects[[#This Row],[Start Date]])</f>
        <v>2025</v>
      </c>
      <c r="S72" s="2">
        <f ca="1">IFERROR(ROUND((TODAY()-tblProjects[[#This Row],[Start Date]])/365.25,1),0)</f>
        <v>1.4</v>
      </c>
    </row>
    <row r="73" spans="1:19">
      <c r="A73" s="2" t="s">
        <v>191</v>
      </c>
      <c r="B73" s="3">
        <v>45811</v>
      </c>
      <c r="C73" s="2" t="s">
        <v>42</v>
      </c>
      <c r="D73" s="2" t="s">
        <v>43</v>
      </c>
      <c r="E73" s="2" t="s">
        <v>188</v>
      </c>
      <c r="F73" s="2" t="s">
        <v>32</v>
      </c>
      <c r="G73" s="2" t="s">
        <v>24</v>
      </c>
      <c r="H73" s="2" t="s">
        <v>57</v>
      </c>
      <c r="I73" s="2" t="s">
        <v>53</v>
      </c>
      <c r="J73" s="4">
        <v>76000</v>
      </c>
      <c r="K73" s="4">
        <v>76000</v>
      </c>
      <c r="L73" s="2" t="s">
        <v>168</v>
      </c>
      <c r="M73" s="2">
        <v>50</v>
      </c>
      <c r="N73" s="2">
        <v>45963</v>
      </c>
      <c r="O73" s="2" t="str">
        <f>TEXT(tblProjects[[#This Row],[Start Date]],"mmm")</f>
        <v>Jun</v>
      </c>
      <c r="P73" s="2">
        <f>MONTH(tblProjects[[#This Row],[Start Date]])</f>
        <v>6</v>
      </c>
      <c r="Q73" s="2" t="str">
        <f>"Q"&amp;ROUNDUP(MONTH(tblProjects[[#This Row],[Start Date]])/3,0)</f>
        <v>Q2</v>
      </c>
      <c r="R73" s="2">
        <f>YEAR(tblProjects[[#This Row],[Start Date]])</f>
        <v>2025</v>
      </c>
      <c r="S73" s="2">
        <f ca="1">IFERROR(ROUND((TODAY()-tblProjects[[#This Row],[Start Date]])/365.25,1),0)</f>
        <v>1.3</v>
      </c>
    </row>
    <row r="74" spans="1:19">
      <c r="A74" s="2" t="s">
        <v>192</v>
      </c>
      <c r="B74" s="3">
        <v>45823</v>
      </c>
      <c r="C74" s="2" t="s">
        <v>72</v>
      </c>
      <c r="D74" s="2" t="s">
        <v>118</v>
      </c>
      <c r="E74" s="2" t="s">
        <v>74</v>
      </c>
      <c r="F74" s="2" t="s">
        <v>84</v>
      </c>
      <c r="G74" s="2" t="s">
        <v>42</v>
      </c>
      <c r="H74" s="2" t="s">
        <v>33</v>
      </c>
      <c r="I74" s="2" t="s">
        <v>53</v>
      </c>
      <c r="J74" s="4">
        <v>49000</v>
      </c>
      <c r="K74" s="4">
        <v>49000</v>
      </c>
      <c r="L74" s="2" t="s">
        <v>40</v>
      </c>
      <c r="M74" s="2">
        <v>38</v>
      </c>
      <c r="N74" s="2">
        <v>46024</v>
      </c>
      <c r="O74" s="2" t="str">
        <f>TEXT(tblProjects[[#This Row],[Start Date]],"mmm")</f>
        <v>Jun</v>
      </c>
      <c r="P74" s="2">
        <f>MONTH(tblProjects[[#This Row],[Start Date]])</f>
        <v>6</v>
      </c>
      <c r="Q74" s="2" t="str">
        <f>"Q"&amp;ROUNDUP(MONTH(tblProjects[[#This Row],[Start Date]])/3,0)</f>
        <v>Q2</v>
      </c>
      <c r="R74" s="2">
        <f>YEAR(tblProjects[[#This Row],[Start Date]])</f>
        <v>2025</v>
      </c>
      <c r="S74" s="2">
        <f ca="1">IFERROR(ROUND((TODAY()-tblProjects[[#This Row],[Start Date]])/365.25,1),0)</f>
        <v>1.3</v>
      </c>
    </row>
    <row r="75" spans="1:19">
      <c r="A75" s="2" t="s">
        <v>193</v>
      </c>
      <c r="B75" s="3">
        <v>45826</v>
      </c>
      <c r="C75" s="2" t="s">
        <v>20</v>
      </c>
      <c r="D75" s="2" t="s">
        <v>21</v>
      </c>
      <c r="E75" s="2" t="s">
        <v>194</v>
      </c>
      <c r="F75" s="2" t="s">
        <v>88</v>
      </c>
      <c r="G75" s="2" t="s">
        <v>42</v>
      </c>
      <c r="H75" s="2" t="s">
        <v>57</v>
      </c>
      <c r="I75" s="2" t="s">
        <v>53</v>
      </c>
      <c r="J75" s="4">
        <v>15800</v>
      </c>
      <c r="K75" s="4">
        <v>15800</v>
      </c>
      <c r="L75" s="2" t="s">
        <v>168</v>
      </c>
      <c r="M75" s="2">
        <v>64</v>
      </c>
      <c r="N75" s="2">
        <v>46466</v>
      </c>
      <c r="O75" s="2" t="str">
        <f>TEXT(tblProjects[[#This Row],[Start Date]],"mmm")</f>
        <v>Jun</v>
      </c>
      <c r="P75" s="2">
        <f>MONTH(tblProjects[[#This Row],[Start Date]])</f>
        <v>6</v>
      </c>
      <c r="Q75" s="2" t="str">
        <f>"Q"&amp;ROUNDUP(MONTH(tblProjects[[#This Row],[Start Date]])/3,0)</f>
        <v>Q2</v>
      </c>
      <c r="R75" s="2">
        <f>YEAR(tblProjects[[#This Row],[Start Date]])</f>
        <v>2025</v>
      </c>
      <c r="S75" s="2">
        <f ca="1">IFERROR(ROUND((TODAY()-tblProjects[[#This Row],[Start Date]])/365.25,1),0)</f>
        <v>1.3</v>
      </c>
    </row>
    <row r="76" spans="1:19">
      <c r="A76" s="2" t="s">
        <v>195</v>
      </c>
      <c r="B76" s="3">
        <v>45828</v>
      </c>
      <c r="C76" s="2" t="s">
        <v>20</v>
      </c>
      <c r="D76" s="2" t="s">
        <v>123</v>
      </c>
      <c r="E76" s="2" t="s">
        <v>22</v>
      </c>
      <c r="F76" s="2" t="s">
        <v>161</v>
      </c>
      <c r="G76" s="2" t="s">
        <v>38</v>
      </c>
      <c r="H76" s="2" t="s">
        <v>62</v>
      </c>
      <c r="I76" s="2" t="s">
        <v>26</v>
      </c>
      <c r="J76" s="4">
        <v>98000</v>
      </c>
      <c r="K76" s="4">
        <v>98000</v>
      </c>
      <c r="L76" s="2" t="s">
        <v>70</v>
      </c>
      <c r="M76" s="2">
        <v>28</v>
      </c>
      <c r="N76" s="2">
        <v>46172</v>
      </c>
      <c r="O76" s="2" t="str">
        <f>TEXT(tblProjects[[#This Row],[Start Date]],"mmm")</f>
        <v>Jun</v>
      </c>
      <c r="P76" s="2">
        <f>MONTH(tblProjects[[#This Row],[Start Date]])</f>
        <v>6</v>
      </c>
      <c r="Q76" s="2" t="str">
        <f>"Q"&amp;ROUNDUP(MONTH(tblProjects[[#This Row],[Start Date]])/3,0)</f>
        <v>Q2</v>
      </c>
      <c r="R76" s="2">
        <f>YEAR(tblProjects[[#This Row],[Start Date]])</f>
        <v>2025</v>
      </c>
      <c r="S76" s="2">
        <f ca="1">IFERROR(ROUND((TODAY()-tblProjects[[#This Row],[Start Date]])/365.25,1),0)</f>
        <v>1.3</v>
      </c>
    </row>
  </sheetData>
  <pageMargins left="0.7" right="0.7" top="0.75" bottom="0.75" header="0.3" footer="0.3"/>
  <pageSetup orientation="portrait"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Armaan</cp:lastModifiedBy>
  <dcterms:created xsi:type="dcterms:W3CDTF">2026-09-02T10:32:53Z</dcterms:created>
  <dcterms:modified xsi:type="dcterms:W3CDTF">2026-10-08T16:16:17Z</dcterms:modified>
</cp:coreProperties>
</file>